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01" sheetId="2" state="visible" r:id="rId2"/>
    <sheet name="02" sheetId="3" state="visible" r:id="rId3"/>
    <sheet name="03" sheetId="4" state="visible" r:id="rId4"/>
    <sheet name="04" sheetId="5" state="visible" r:id="rId5"/>
    <sheet name="05" sheetId="6" state="visible" r:id="rId6"/>
    <sheet name="06" sheetId="7" state="visible" r:id="rId7"/>
    <sheet name="07" sheetId="8" state="visible" r:id="rId8"/>
    <sheet name="08" sheetId="9" state="visible" r:id="rId9"/>
    <sheet name="09" sheetId="10" state="visible" r:id="rId10"/>
    <sheet name="10" sheetId="11" state="visible" r:id="rId11"/>
    <sheet name="11" sheetId="12" state="visible" r:id="rId12"/>
    <sheet name="12" sheetId="13" state="visible" r:id="rId13"/>
    <sheet name="13" sheetId="14" state="visible" r:id="rId14"/>
    <sheet name="14" sheetId="15" state="visible" r:id="rId15"/>
    <sheet name="15" sheetId="16" state="visible" r:id="rId16"/>
    <sheet name="16" sheetId="17" state="visible" r:id="rId17"/>
    <sheet name="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/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0" borderId="1" applyAlignment="1">
      <alignment shrinkToFit="1"/>
    </xf>
    <xf numFmtId="0" fontId="2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2" fillId="0" borderId="0" pivotButton="0" quotePrefix="0" xfId="2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1" fillId="0" borderId="1" applyAlignment="1" pivotButton="0" quotePrefix="0" xfId="1">
      <alignment shrinkToFit="1"/>
    </xf>
    <xf numFmtId="165" fontId="0" fillId="0" borderId="0" pivotButton="0" quotePrefix="0" xfId="0"/>
  </cellXfs>
  <cellStyles count="3">
    <cellStyle name="Normal" xfId="0" builtinId="0" hidden="0"/>
    <cellStyle name="uuid" xfId="1" hidden="0"/>
    <cellStyle name="Hyperlink" xfId="2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ables/table1.xml><?xml version="1.0" encoding="utf-8"?>
<table xmlns="http://schemas.openxmlformats.org/spreadsheetml/2006/main" id="1" name="table_info" displayName="table_info" ref="A1:E18" headerRowCount="1">
  <autoFilter ref="A1:E18"/>
  <tableColumns count="5">
    <tableColumn id="1" name="sheet_name"/>
    <tableColumn id="2" name="table_name"/>
    <tableColumn id="3" name="description"/>
    <tableColumn id="4" name="num_records"/>
    <tableColumn id="5" name="link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AppUser" displayName="AppUser" ref="A1:K2" headerRowCount="1">
  <autoFilter ref="A1:K2"/>
  <tableColumns count="11">
    <tableColumn id="1" name="last_login"/>
    <tableColumn id="2" name="is_superuser"/>
    <tableColumn id="3" name="username"/>
    <tableColumn id="4" name="first_name"/>
    <tableColumn id="5" name="last_name"/>
    <tableColumn id="6" name="email"/>
    <tableColumn id="7" name="is_staff"/>
    <tableColumn id="8" name="is_active"/>
    <tableColumn id="9" name="date_joined"/>
    <tableColumn id="10" name="id"/>
    <tableColumn id="11" name="default_account_i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FiscalYearType" displayName="FiscalYearType" ref="A1:D2" headerRowCount="1">
  <autoFilter ref="A1:D2"/>
  <tableColumns count="4">
    <tableColumn id="1" name="id"/>
    <tableColumn id="2" name="description"/>
    <tableColumn id="3" name="start_month"/>
    <tableColumn id="4" name="start_da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FiscalYear" displayName="FiscalYear" ref="A1:D13" headerRowCount="1">
  <autoFilter ref="A1:D13"/>
  <tableColumns count="4">
    <tableColumn id="1" name="id"/>
    <tableColumn id="2" name="fiscal_year_type_id"/>
    <tableColumn id="3" name="start_year"/>
    <tableColumn id="4" name="nam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Account" displayName="Account" ref="A1:M2" headerRowCount="1">
  <autoFilter ref="A1:M2"/>
  <tableColumns count="13">
    <tableColumn id="1" name="id"/>
    <tableColumn id="2" name="description"/>
    <tableColumn id="3" name="created_at"/>
    <tableColumn id="4" name="updated_at"/>
    <tableColumn id="5" name="currency"/>
    <tableColumn id="6" name="owner_id"/>
    <tableColumn id="7" name="fiscal_year_type_id"/>
    <tableColumn id="8" name="update_price_history"/>
    <tableColumn id="9" name="taxpayer_type"/>
    <tableColumn id="10" name="tax_settings_reviewed_at"/>
    <tableColumn id="11" name="model_2027_regime"/>
    <tableColumn id="12" name="calculated_portfolio_value_converted_currency"/>
    <tableColumn id="13" name="calculated_portfolio_value_converted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LogEntry" displayName="LogEntry" ref="A1:J270" headerRowCount="1">
  <autoFilter ref="A1:J270"/>
  <tableColumns count="10">
    <tableColumn id="1" name="id"/>
    <tableColumn id="2" name="legacy_id"/>
    <tableColumn id="3" name="description"/>
    <tableColumn id="4" name="account_id"/>
    <tableColumn id="5" name="created_at"/>
    <tableColumn id="6" name="updated_at"/>
    <tableColumn id="7" name="is_active"/>
    <tableColumn id="8" name="event"/>
    <tableColumn id="9" name="content_type__name"/>
    <tableColumn id="10" name="object_id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Market" displayName="Market" ref="A1:L12" headerRowCount="1">
  <autoFilter ref="A1:L12"/>
  <tableColumns count="12">
    <tableColumn id="1" name="id"/>
    <tableColumn id="2" name="legacy_id"/>
    <tableColumn id="3" name="description"/>
    <tableColumn id="4" name="account_id"/>
    <tableColumn id="5" name="created_at"/>
    <tableColumn id="6" name="updated_at"/>
    <tableColumn id="7" name="is_active"/>
    <tableColumn id="8" name="notes"/>
    <tableColumn id="9" name="code"/>
    <tableColumn id="10" name="suffix"/>
    <tableColumn id="11" name="country"/>
    <tableColumn id="12" name="is_exchange_listed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Instrument" displayName="Instrument" ref="A1:U2350" headerRowCount="1">
  <autoFilter ref="A1:U2350"/>
  <tableColumns count="21">
    <tableColumn id="1" name="id"/>
    <tableColumn id="2" name="legacy_id"/>
    <tableColumn id="3" name="account_id"/>
    <tableColumn id="4" name="created_at"/>
    <tableColumn id="5" name="updated_at"/>
    <tableColumn id="6" name="is_active"/>
    <tableColumn id="7" name="notes"/>
    <tableColumn id="8" name="name"/>
    <tableColumn id="9" name="description"/>
    <tableColumn id="10" name="currency"/>
    <tableColumn id="11" name="market_id"/>
    <tableColumn id="12" name="current_unit_price"/>
    <tableColumn id="13" name="legal_form"/>
    <tableColumn id="14" name="legal_form_source"/>
    <tableColumn id="15" name="cgt_asset_category_override"/>
    <tableColumn id="16" name="is_taxable_australian_property_override"/>
    <tableColumn id="17" name="calculated_quantity_held"/>
    <tableColumn id="18" name="calculated_value_held_currency"/>
    <tableColumn id="19" name="calculated_value_held"/>
    <tableColumn id="20" name="calculated_value_held_converted_currency"/>
    <tableColumn id="21" name="calculated_value_held_converted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Buy" displayName="Buy" ref="A1:Y40" headerRowCount="1">
  <autoFilter ref="A1:Y40"/>
  <tableColumns count="25">
    <tableColumn id="1" name="id"/>
    <tableColumn id="2" name="legacy_id"/>
    <tableColumn id="3" name="account_id"/>
    <tableColumn id="4" name="created_at"/>
    <tableColumn id="5" name="updated_at"/>
    <tableColumn id="6" name="is_active"/>
    <tableColumn id="7" name="notes"/>
    <tableColumn id="8" name="description"/>
    <tableColumn id="9" name="instrument__name"/>
    <tableColumn id="10" name="date"/>
    <tableColumn id="11" name="quantity"/>
    <tableColumn id="12" name="unit_price_currency"/>
    <tableColumn id="13" name="unit_price"/>
    <tableColumn id="14" name="total_brokerage_currency"/>
    <tableColumn id="15" name="total_brokerage"/>
    <tableColumn id="16" name="file"/>
    <tableColumn id="17" name="calculated_fiscal_year__name"/>
    <tableColumn id="18" name="calculated_total_brokerage_converted_currency"/>
    <tableColumn id="19" name="calculated_total_brokerage_converted"/>
    <tableColumn id="20" name="calculated_unit_brokerage_converted_currency"/>
    <tableColumn id="21" name="calculated_unit_brokerage_converted"/>
    <tableColumn id="22" name="calculated_unit_price_converted_currency"/>
    <tableColumn id="23" name="calculated_unit_price_converted"/>
    <tableColumn id="24" name="_creation_handled"/>
    <tableColumn id="25" name="calculated_related_parcel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Sell" displayName="Sell" ref="A1:AD4" headerRowCount="1">
  <autoFilter ref="A1:AD4"/>
  <tableColumns count="30">
    <tableColumn id="1" name="id"/>
    <tableColumn id="2" name="legacy_id"/>
    <tableColumn id="3" name="account_id"/>
    <tableColumn id="4" name="created_at"/>
    <tableColumn id="5" name="updated_at"/>
    <tableColumn id="6" name="is_active"/>
    <tableColumn id="7" name="notes"/>
    <tableColumn id="8" name="description"/>
    <tableColumn id="9" name="instrument__name"/>
    <tableColumn id="10" name="date"/>
    <tableColumn id="11" name="quantity"/>
    <tableColumn id="12" name="unit_price_currency"/>
    <tableColumn id="13" name="unit_price"/>
    <tableColumn id="14" name="total_brokerage_currency"/>
    <tableColumn id="15" name="total_brokerage"/>
    <tableColumn id="16" name="file"/>
    <tableColumn id="17" name="calculated_fiscal_year__name"/>
    <tableColumn id="18" name="calculated_total_brokerage_converted_currency"/>
    <tableColumn id="19" name="calculated_total_brokerage_converted"/>
    <tableColumn id="20" name="calculated_unit_brokerage_converted_currency"/>
    <tableColumn id="21" name="calculated_unit_brokerage_converted"/>
    <tableColumn id="22" name="calculated_unit_price_converted_currency"/>
    <tableColumn id="23" name="calculated_unit_price_converted"/>
    <tableColumn id="24" name="_creation_handled"/>
    <tableColumn id="25" name="strategy"/>
    <tableColumn id="26" name="calculated_proceeds_currency"/>
    <tableColumn id="27" name="calculated_proceeds"/>
    <tableColumn id="28" name="calculated_unit_proceeds_currency"/>
    <tableColumn id="29" name="calculated_unit_proceeds"/>
    <tableColumn id="30" name="calculated_unallocated_quantit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Parcel" displayName="Parcel" ref="A1:X44" headerRowCount="1">
  <autoFilter ref="A1:X44"/>
  <tableColumns count="24">
    <tableColumn id="1" name="id"/>
    <tableColumn id="2" name="legacy_id"/>
    <tableColumn id="3" name="account_id"/>
    <tableColumn id="4" name="created_at"/>
    <tableColumn id="5" name="updated_at"/>
    <tableColumn id="6" name="is_active"/>
    <tableColumn id="7" name="notes"/>
    <tableColumn id="8" name="description"/>
    <tableColumn id="9" name="buy_id"/>
    <tableColumn id="10" name="parcel_quantity"/>
    <tableColumn id="11" name="cumulative_split_multiplier"/>
    <tableColumn id="12" name="activation_date"/>
    <tableColumn id="13" name="deactivation_date"/>
    <tableColumn id="14" name="sale_date"/>
    <tableColumn id="15" name="calculated_instrument_name"/>
    <tableColumn id="16" name="calculated_remaining_quantity"/>
    <tableColumn id="17" name="calculated_is_sold"/>
    <tableColumn id="18" name="calculated_adjusted_unit_brokerage_currency"/>
    <tableColumn id="19" name="calculated_adjusted_unit_brokerage"/>
    <tableColumn id="20" name="calculated_total_cost_base_currency"/>
    <tableColumn id="21" name="calculated_total_cost_base"/>
    <tableColumn id="22" name="calculated_unit_cost_base_currency"/>
    <tableColumn id="23" name="calculated_unit_cost_base"/>
    <tableColumn id="24" name="parent_parcel_id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SellAllocation" displayName="SellAllocation" ref="A1:Q13" headerRowCount="1">
  <autoFilter ref="A1:Q13"/>
  <tableColumns count="17">
    <tableColumn id="1" name="id"/>
    <tableColumn id="2" name="legacy_id"/>
    <tableColumn id="3" name="account_id"/>
    <tableColumn id="4" name="created_at"/>
    <tableColumn id="5" name="updated_at"/>
    <tableColumn id="6" name="is_active"/>
    <tableColumn id="7" name="notes"/>
    <tableColumn id="8" name="description"/>
    <tableColumn id="9" name="_creation_handled"/>
    <tableColumn id="10" name="parcel_id"/>
    <tableColumn id="11" name="sell_id"/>
    <tableColumn id="12" name="quantity"/>
    <tableColumn id="13" name="calculated_sale_date"/>
    <tableColumn id="14" name="calculated_fiscal_year__name"/>
    <tableColumn id="15" name="calculated_days_held"/>
    <tableColumn id="16" name="calculated_total_capital_gain_currency"/>
    <tableColumn id="17" name="calculated_total_capital_gain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CostBaseAdjustment" displayName="CostBaseAdjustment" ref="A1:R16" headerRowCount="1">
  <autoFilter ref="A1:R16"/>
  <tableColumns count="18">
    <tableColumn id="1" name="id"/>
    <tableColumn id="2" name="legacy_id"/>
    <tableColumn id="3" name="description"/>
    <tableColumn id="4" name="account_id"/>
    <tableColumn id="5" name="created_at"/>
    <tableColumn id="6" name="updated_at"/>
    <tableColumn id="7" name="is_active"/>
    <tableColumn id="8" name="notes"/>
    <tableColumn id="9" name="cost_base_increase_currency"/>
    <tableColumn id="10" name="cost_base_increase"/>
    <tableColumn id="11" name="instrument__name"/>
    <tableColumn id="12" name="financial_year_end_date"/>
    <tableColumn id="13" name="file"/>
    <tableColumn id="14" name="_creation_handled"/>
    <tableColumn id="15" name="calculated_fiscal_year__name"/>
    <tableColumn id="16" name="calculated_cost_base_increase_converted_currency"/>
    <tableColumn id="17" name="calculated_cost_base_increase_converted"/>
    <tableColumn id="18" name="allocation_method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CostBaseAdjustmentAllocation" displayName="CostBaseAdjustmentAllocation" ref="A1:N220" headerRowCount="1">
  <autoFilter ref="A1:N220"/>
  <tableColumns count="14">
    <tableColumn id="1" name="id"/>
    <tableColumn id="2" name="legacy_id"/>
    <tableColumn id="3" name="description"/>
    <tableColumn id="4" name="account_id"/>
    <tableColumn id="5" name="created_at"/>
    <tableColumn id="6" name="updated_at"/>
    <tableColumn id="7" name="is_active"/>
    <tableColumn id="8" name="notes"/>
    <tableColumn id="9" name="cost_base_increase_currency"/>
    <tableColumn id="10" name="cost_base_increase"/>
    <tableColumn id="11" name="parcel_id"/>
    <tableColumn id="12" name="cost_base_adjustment_id"/>
    <tableColumn id="13" name="activation_date"/>
    <tableColumn id="14" name="deactivation_dat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Dividend" displayName="Dividend" ref="A1:AI9" headerRowCount="1">
  <autoFilter ref="A1:AI9"/>
  <tableColumns count="35">
    <tableColumn id="1" name="id"/>
    <tableColumn id="2" name="legacy_id"/>
    <tableColumn id="3" name="account_id"/>
    <tableColumn id="4" name="created_at"/>
    <tableColumn id="5" name="updated_at"/>
    <tableColumn id="6" name="is_active"/>
    <tableColumn id="7" name="notes"/>
    <tableColumn id="8" name="description"/>
    <tableColumn id="9" name="instrument__name"/>
    <tableColumn id="10" name="date"/>
    <tableColumn id="11" name="quantity"/>
    <tableColumn id="12" name="file"/>
    <tableColumn id="13" name="calculated_fiscal_year__name"/>
    <tableColumn id="14" name="dividend_type"/>
    <tableColumn id="15" name="unfranked_amount_per_share_currency"/>
    <tableColumn id="16" name="unfranked_amount_per_share"/>
    <tableColumn id="17" name="franked_amount_per_share_currency"/>
    <tableColumn id="18" name="franked_amount_per_share"/>
    <tableColumn id="19" name="local_withholding_tax_currency"/>
    <tableColumn id="20" name="local_withholding_tax"/>
    <tableColumn id="21" name="foreign_tax_credit_currency"/>
    <tableColumn id="22" name="foreign_tax_credit"/>
    <tableColumn id="23" name="lic_capital_gain_currency"/>
    <tableColumn id="24" name="lic_capital_gain"/>
    <tableColumn id="25" name="corporate_tax_rate_percentage"/>
    <tableColumn id="26" name="calculated_total_unfranked_amount_currency"/>
    <tableColumn id="27" name="calculated_total_unfranked_amount"/>
    <tableColumn id="28" name="calculated_total_franked_amount_currency"/>
    <tableColumn id="29" name="calculated_total_franked_amount"/>
    <tableColumn id="30" name="calculated_total_franking_credits_currency"/>
    <tableColumn id="31" name="calculated_total_franking_credits"/>
    <tableColumn id="32" name="calculated_total_dividend_currency"/>
    <tableColumn id="33" name="calculated_total_dividend"/>
    <tableColumn id="34" name="calculated_total_dividend_converted_currency"/>
    <tableColumn id="35" name="calculated_total_dividend_converted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Distribution" displayName="Distribution" ref="A1:U59" headerRowCount="1">
  <autoFilter ref="A1:U59"/>
  <tableColumns count="21">
    <tableColumn id="1" name="id"/>
    <tableColumn id="2" name="legacy_id"/>
    <tableColumn id="3" name="account_id"/>
    <tableColumn id="4" name="created_at"/>
    <tableColumn id="5" name="updated_at"/>
    <tableColumn id="6" name="is_active"/>
    <tableColumn id="7" name="notes"/>
    <tableColumn id="8" name="description"/>
    <tableColumn id="9" name="instrument__name"/>
    <tableColumn id="10" name="date"/>
    <tableColumn id="11" name="quantity"/>
    <tableColumn id="12" name="file"/>
    <tableColumn id="13" name="calculated_fiscal_year__name"/>
    <tableColumn id="14" name="distribution_amount_per_share_currency"/>
    <tableColumn id="15" name="distribution_amount_per_share"/>
    <tableColumn id="16" name="total_withholding_tax_currency"/>
    <tableColumn id="17" name="total_withholding_tax"/>
    <tableColumn id="18" name="calculated_total_distribution_currency"/>
    <tableColumn id="19" name="calculated_total_distribution"/>
    <tableColumn id="20" name="calculated_total_distribution_converted_currency"/>
    <tableColumn id="21" name="calculated_total_distribution_converted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DataExport" displayName="DataExport" ref="A1:J2" headerRowCount="1">
  <autoFilter ref="A1:J2"/>
  <tableColumns count="10">
    <tableColumn id="1" name="id"/>
    <tableColumn id="2" name="legacy_id"/>
    <tableColumn id="3" name="description"/>
    <tableColumn id="4" name="created_at"/>
    <tableColumn id="5" name="updated_at"/>
    <tableColumn id="6" name="is_active"/>
    <tableColumn id="7" name="notes"/>
    <tableColumn id="8" name="file"/>
    <tableColumn id="9" name="account_id"/>
    <tableColumn id="10" name="include_price_history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RealisedCapitalGains" displayName="RealisedCapitalGains" ref="A1:M13" headerRowCount="1">
  <autoFilter ref="A1:M13"/>
  <tableColumns count="13">
    <tableColumn id="1" name="sell_date"/>
    <tableColumn id="2" name="instrument"/>
    <tableColumn id="3" name="quantity_sold"/>
    <tableColumn id="4" name="buy_id"/>
    <tableColumn id="5" name="parcel_id"/>
    <tableColumn id="6" name="sell_id"/>
    <tableColumn id="7" name="sell_allocation_id"/>
    <tableColumn id="8" name="buy_date"/>
    <tableColumn id="9" name="days_held"/>
    <tableColumn id="10" name="proceeds"/>
    <tableColumn id="11" name="cost_base"/>
    <tableColumn id="12" name="capital_gain"/>
    <tableColumn id="13" name="fiscal_ye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2" customWidth="1" min="1" max="1"/>
    <col width="30.2" customWidth="1" min="2" max="2"/>
    <col width="82.2" customWidth="1" min="3" max="3"/>
    <col width="13.2" customWidth="1" min="4" max="4"/>
    <col width="30.2" customWidth="1" min="5" max="5"/>
  </cols>
  <sheetData>
    <row r="1" ht="32" customHeight="1">
      <c r="A1" s="1" t="inlineStr">
        <is>
          <t>sheet_name</t>
        </is>
      </c>
      <c r="B1" s="1" t="inlineStr">
        <is>
          <t>table_name</t>
        </is>
      </c>
      <c r="C1" s="1" t="inlineStr">
        <is>
          <t>description</t>
        </is>
      </c>
      <c r="D1" s="1" t="inlineStr">
        <is>
          <t>num_records</t>
        </is>
      </c>
      <c r="E1" s="1" t="inlineStr">
        <is>
          <t>link</t>
        </is>
      </c>
    </row>
    <row r="2">
      <c r="A2" t="inlineStr">
        <is>
          <t>01</t>
        </is>
      </c>
      <c r="B2" t="inlineStr">
        <is>
          <t>AppUser</t>
        </is>
      </c>
      <c r="C2" t="inlineStr">
        <is>
          <t>User accounts registered in the application.</t>
        </is>
      </c>
      <c r="D2" t="n">
        <v>1</v>
      </c>
      <c r="E2" s="2">
        <f>HYPERLINK("#'01'!A1", "01")</f>
        <v/>
      </c>
    </row>
    <row r="3">
      <c r="A3" t="inlineStr">
        <is>
          <t>02</t>
        </is>
      </c>
      <c r="B3" t="inlineStr">
        <is>
          <t>FiscalYearType</t>
        </is>
      </c>
      <c r="C3" s="3" t="inlineStr">
        <is>
          <t>A system table used to define configuration for the financial year, such as its start day and month.</t>
        </is>
      </c>
      <c r="D3" t="n">
        <v>1</v>
      </c>
      <c r="E3" s="2">
        <f>HYPERLINK("#'02'!A1", "02")</f>
        <v/>
      </c>
    </row>
    <row r="4">
      <c r="A4" t="inlineStr">
        <is>
          <t>03</t>
        </is>
      </c>
      <c r="B4" t="inlineStr">
        <is>
          <t>FiscalYear</t>
        </is>
      </c>
      <c r="C4" t="inlineStr">
        <is>
          <t>A particular fiscal year</t>
        </is>
      </c>
      <c r="D4" t="n">
        <v>12</v>
      </c>
      <c r="E4" s="2">
        <f>HYPERLINK("#'03'!A1", "03")</f>
        <v/>
      </c>
    </row>
    <row r="5">
      <c r="A5" t="inlineStr">
        <is>
          <t>04</t>
        </is>
      </c>
      <c r="B5" t="inlineStr">
        <is>
          <t>Account</t>
        </is>
      </c>
      <c r="C5" t="inlineStr">
        <is>
          <t>Represents a particular portfolio.</t>
        </is>
      </c>
      <c r="D5" t="n">
        <v>1</v>
      </c>
      <c r="E5" s="2">
        <f>HYPERLINK("#'04'!A1", "04")</f>
        <v/>
      </c>
    </row>
    <row r="6">
      <c r="A6" t="inlineStr">
        <is>
          <t>05</t>
        </is>
      </c>
      <c r="B6" t="inlineStr">
        <is>
          <t>LogEntry</t>
        </is>
      </c>
      <c r="C6" t="inlineStr">
        <is>
          <t>Log entries. Key events are recorded here.</t>
        </is>
      </c>
      <c r="D6" t="n">
        <v>269</v>
      </c>
      <c r="E6" s="2">
        <f>HYPERLINK("#'05'!A1", "05")</f>
        <v/>
      </c>
    </row>
    <row r="7">
      <c r="A7" t="inlineStr">
        <is>
          <t>06</t>
        </is>
      </c>
      <c r="B7" t="inlineStr">
        <is>
          <t>Market</t>
        </is>
      </c>
      <c r="C7" t="inlineStr">
        <is>
          <t>Share markets, such as ASX, NASDAQ, LSE, etc</t>
        </is>
      </c>
      <c r="D7" t="n">
        <v>11</v>
      </c>
      <c r="E7" s="2">
        <f>HYPERLINK("#'06'!A1", "06")</f>
        <v/>
      </c>
    </row>
    <row r="8">
      <c r="A8" t="inlineStr">
        <is>
          <t>07</t>
        </is>
      </c>
      <c r="B8" t="inlineStr">
        <is>
          <t>Instrument</t>
        </is>
      </c>
      <c r="C8" t="inlineStr">
        <is>
          <t>Share codes, eg BHP, VGS, VAS, etc</t>
        </is>
      </c>
      <c r="D8" t="n">
        <v>2349</v>
      </c>
      <c r="E8" s="2">
        <f>HYPERLINK("#'07'!A1", "07")</f>
        <v/>
      </c>
    </row>
    <row r="9">
      <c r="A9" t="inlineStr">
        <is>
          <t>08</t>
        </is>
      </c>
      <c r="B9" t="inlineStr">
        <is>
          <t>Buy</t>
        </is>
      </c>
      <c r="C9" t="inlineStr">
        <is>
          <t>Purchases of share parcels.</t>
        </is>
      </c>
      <c r="D9" t="n">
        <v>39</v>
      </c>
      <c r="E9" s="2">
        <f>HYPERLINK("#'08'!A1", "08")</f>
        <v/>
      </c>
    </row>
    <row r="10">
      <c r="A10" t="inlineStr">
        <is>
          <t>09</t>
        </is>
      </c>
      <c r="B10" t="inlineStr">
        <is>
          <t>Sell</t>
        </is>
      </c>
      <c r="C10" t="inlineStr">
        <is>
          <t>Sales of shares.</t>
        </is>
      </c>
      <c r="D10" t="n">
        <v>3</v>
      </c>
      <c r="E10" s="2">
        <f>HYPERLINK("#'09'!A1", "09")</f>
        <v/>
      </c>
    </row>
    <row r="11">
      <c r="A11" t="inlineStr">
        <is>
          <t>10</t>
        </is>
      </c>
      <c r="B11" t="inlineStr">
        <is>
          <t>Parcel</t>
        </is>
      </c>
      <c r="C11" s="3" t="inlineStr">
        <is>
          <t>Collections of shares with the same unit properties. Can be split into other parcels.</t>
        </is>
      </c>
      <c r="D11" t="n">
        <v>43</v>
      </c>
      <c r="E11" s="2">
        <f>HYPERLINK("#'10'!A1", "10")</f>
        <v/>
      </c>
    </row>
    <row r="12">
      <c r="A12" t="inlineStr">
        <is>
          <t>11</t>
        </is>
      </c>
      <c r="B12" t="inlineStr">
        <is>
          <t>SellAllocation</t>
        </is>
      </c>
      <c r="C12" t="inlineStr">
        <is>
          <t>Allocations of sell events to specific parcels.</t>
        </is>
      </c>
      <c r="D12" t="n">
        <v>12</v>
      </c>
      <c r="E12" s="2">
        <f>HYPERLINK("#'11'!A1", "11")</f>
        <v/>
      </c>
    </row>
    <row r="13">
      <c r="A13" t="inlineStr">
        <is>
          <t>12</t>
        </is>
      </c>
      <c r="B13" t="inlineStr">
        <is>
          <t>CostBaseAdjustment</t>
        </is>
      </c>
      <c r="C13" t="inlineStr">
        <is>
          <t>Cost base adjustments applied to instruments, i.e. AMIT cost base adjustments.</t>
        </is>
      </c>
      <c r="D13" t="n">
        <v>15</v>
      </c>
      <c r="E13" s="2">
        <f>HYPERLINK("#'12'!A1", "12")</f>
        <v/>
      </c>
    </row>
    <row r="14">
      <c r="A14" t="inlineStr">
        <is>
          <t>13</t>
        </is>
      </c>
      <c r="B14" t="inlineStr">
        <is>
          <t>CostBaseAdjustmentAllocation</t>
        </is>
      </c>
      <c r="C14" t="inlineStr">
        <is>
          <t>Allocations of cost base adjustments to specific parcels.</t>
        </is>
      </c>
      <c r="D14" t="n">
        <v>219</v>
      </c>
      <c r="E14" s="2">
        <f>HYPERLINK("#'13'!A1", "13")</f>
        <v/>
      </c>
    </row>
    <row r="15">
      <c r="A15" t="inlineStr">
        <is>
          <t>14</t>
        </is>
      </c>
      <c r="B15" t="inlineStr">
        <is>
          <t>Dividend</t>
        </is>
      </c>
      <c r="C15" t="inlineStr">
        <is>
          <t>Dividends, including local dividends and foreign dividends.</t>
        </is>
      </c>
      <c r="D15" t="n">
        <v>8</v>
      </c>
      <c r="E15" s="2">
        <f>HYPERLINK("#'14'!A1", "14")</f>
        <v/>
      </c>
    </row>
    <row r="16">
      <c r="A16" t="inlineStr">
        <is>
          <t>15</t>
        </is>
      </c>
      <c r="B16" t="inlineStr">
        <is>
          <t>Distribution</t>
        </is>
      </c>
      <c r="C16" t="inlineStr">
        <is>
          <t>Distributions, such as the income received from ETFs</t>
        </is>
      </c>
      <c r="D16" t="n">
        <v>58</v>
      </c>
      <c r="E16" s="2">
        <f>HYPERLINK("#'15'!A1", "15")</f>
        <v/>
      </c>
    </row>
    <row r="17">
      <c r="A17" t="inlineStr">
        <is>
          <t>16</t>
        </is>
      </c>
      <c r="B17" t="inlineStr">
        <is>
          <t>DataExport</t>
        </is>
      </c>
      <c r="C17" t="inlineStr">
        <is>
          <t>Data export events, referencing the associated output file.</t>
        </is>
      </c>
      <c r="D17" t="n">
        <v>1</v>
      </c>
      <c r="E17" s="2">
        <f>HYPERLINK("#'16'!A1", "16")</f>
        <v/>
      </c>
    </row>
    <row r="18">
      <c r="A18" t="inlineStr">
        <is>
          <t>17</t>
        </is>
      </c>
      <c r="B18" t="inlineStr">
        <is>
          <t>RealisedCapitalGains</t>
        </is>
      </c>
      <c r="C18" t="inlineStr">
        <is>
          <t>Report of realised capital gains per sale allocation.</t>
        </is>
      </c>
      <c r="D18" t="n">
        <v>12</v>
      </c>
      <c r="E18" s="2">
        <f>HYPERLINK("#'17'!A1", "17")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2" customWidth="1" min="1" max="1"/>
    <col width="14.2" customWidth="1" min="2" max="2"/>
    <col width="10.2" customWidth="1" min="3" max="3"/>
    <col width="12.2" customWidth="1" min="4" max="4"/>
    <col width="11.2" customWidth="1" min="5" max="5"/>
    <col width="7.2" customWidth="1" min="6" max="6"/>
    <col width="10.2" customWidth="1" min="7" max="7"/>
    <col width="11.2" customWidth="1" min="8" max="8"/>
    <col width="28.2" customWidth="1" min="9" max="9"/>
    <col width="38.2" customWidth="1" min="10" max="10"/>
    <col width="38.2" customWidth="1" min="11" max="11"/>
  </cols>
  <sheetData>
    <row r="1" ht="32" customHeight="1">
      <c r="A1" s="1" t="inlineStr">
        <is>
          <t>last_login</t>
        </is>
      </c>
      <c r="B1" s="1" t="inlineStr">
        <is>
          <t>is_superuser</t>
        </is>
      </c>
      <c r="C1" s="1" t="inlineStr">
        <is>
          <t>username</t>
        </is>
      </c>
      <c r="D1" s="1" t="inlineStr">
        <is>
          <t>first_name</t>
        </is>
      </c>
      <c r="E1" s="1" t="inlineStr">
        <is>
          <t>last_name</t>
        </is>
      </c>
      <c r="F1" s="1" t="inlineStr">
        <is>
          <t>email</t>
        </is>
      </c>
      <c r="G1" s="1" t="inlineStr">
        <is>
          <t>is_staff</t>
        </is>
      </c>
      <c r="H1" s="1" t="inlineStr">
        <is>
          <t>is_active</t>
        </is>
      </c>
      <c r="I1" s="1" t="inlineStr">
        <is>
          <t>date_joined</t>
        </is>
      </c>
      <c r="J1" s="1" t="inlineStr">
        <is>
          <t>id</t>
        </is>
      </c>
      <c r="K1" s="1" t="inlineStr">
        <is>
          <t>default_account_id</t>
        </is>
      </c>
    </row>
    <row r="2">
      <c r="B2" t="b">
        <v>0</v>
      </c>
      <c r="C2" t="inlineStr">
        <is>
          <t>fixture</t>
        </is>
      </c>
      <c r="D2" t="inlineStr"/>
      <c r="E2" t="inlineStr"/>
      <c r="F2" t="inlineStr"/>
      <c r="G2" t="b">
        <v>0</v>
      </c>
      <c r="H2" t="b">
        <v>1</v>
      </c>
      <c r="I2" s="4" t="n">
        <v>46314.24590926334</v>
      </c>
      <c r="J2" s="5" t="inlineStr">
        <is>
          <t>01a152b9-6e60-749e-957b-e4901c04deb6</t>
        </is>
      </c>
      <c r="K2" s="5" t="inlineStr">
        <is>
          <t>01a152b9-6e67-75da-8adb-b03e5d07fd21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2" customWidth="1" min="1" max="1"/>
    <col width="21.2" customWidth="1" min="2" max="2"/>
    <col width="13.2" customWidth="1" min="3" max="3"/>
    <col width="11.2" customWidth="1" min="4" max="4"/>
  </cols>
  <sheetData>
    <row r="1" ht="32" customHeight="1">
      <c r="A1" s="1" t="inlineStr">
        <is>
          <t>id</t>
        </is>
      </c>
      <c r="B1" s="1" t="inlineStr">
        <is>
          <t>description</t>
        </is>
      </c>
      <c r="C1" s="1" t="inlineStr">
        <is>
          <t>start_month</t>
        </is>
      </c>
      <c r="D1" s="1" t="inlineStr">
        <is>
          <t>start_day</t>
        </is>
      </c>
    </row>
    <row r="2">
      <c r="A2" s="5" t="inlineStr">
        <is>
          <t>01a152b9-6e64-739d-96d6-9160ce90ff68</t>
        </is>
      </c>
      <c r="B2" t="inlineStr">
        <is>
          <t>Australian Tax Year</t>
        </is>
      </c>
      <c r="C2" t="n">
        <v>7</v>
      </c>
      <c r="D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2" customWidth="1" min="1" max="1"/>
    <col width="38.2" customWidth="1" min="2" max="2"/>
    <col width="12.2" customWidth="1" min="3" max="3"/>
    <col width="11.2" customWidth="1" min="4" max="4"/>
  </cols>
  <sheetData>
    <row r="1" ht="32" customHeight="1">
      <c r="A1" s="1" t="inlineStr">
        <is>
          <t>id</t>
        </is>
      </c>
      <c r="B1" s="1" t="inlineStr">
        <is>
          <t>fiscal_year_type_id</t>
        </is>
      </c>
      <c r="C1" s="1" t="inlineStr">
        <is>
          <t>start_year</t>
        </is>
      </c>
      <c r="D1" s="1" t="inlineStr">
        <is>
          <t>name</t>
        </is>
      </c>
    </row>
    <row r="2">
      <c r="A2" s="5" t="inlineStr">
        <is>
          <t>01a152b9-931f-76b0-96c2-d464c9bf2fc0</t>
        </is>
      </c>
      <c r="B2" s="5" t="inlineStr">
        <is>
          <t>01a152b9-6e64-739d-96d6-9160ce90ff68</t>
        </is>
      </c>
      <c r="C2" t="n">
        <v>2017</v>
      </c>
      <c r="D2" t="inlineStr">
        <is>
          <t>FY2017/18</t>
        </is>
      </c>
    </row>
    <row r="3">
      <c r="A3" s="5" t="inlineStr">
        <is>
          <t>01a152b9-9357-75ef-9e36-b70e8a9f011b</t>
        </is>
      </c>
      <c r="B3" s="5" t="inlineStr">
        <is>
          <t>01a152b9-6e64-739d-96d6-9160ce90ff68</t>
        </is>
      </c>
      <c r="C3" t="n">
        <v>2018</v>
      </c>
      <c r="D3" t="inlineStr">
        <is>
          <t>FY2018/19</t>
        </is>
      </c>
    </row>
    <row r="4">
      <c r="A4" s="5" t="inlineStr">
        <is>
          <t>01a152b9-9376-7044-8606-efc642c293f8</t>
        </is>
      </c>
      <c r="B4" s="5" t="inlineStr">
        <is>
          <t>01a152b9-6e64-739d-96d6-9160ce90ff68</t>
        </is>
      </c>
      <c r="C4" t="n">
        <v>2019</v>
      </c>
      <c r="D4" t="inlineStr">
        <is>
          <t>FY2019/20</t>
        </is>
      </c>
    </row>
    <row r="5">
      <c r="A5" s="5" t="inlineStr">
        <is>
          <t>01a152b9-9478-74ea-b9ff-adb2534a0a19</t>
        </is>
      </c>
      <c r="B5" s="5" t="inlineStr">
        <is>
          <t>01a152b9-6e64-739d-96d6-9160ce90ff68</t>
        </is>
      </c>
      <c r="C5" t="n">
        <v>2020</v>
      </c>
      <c r="D5" t="inlineStr">
        <is>
          <t>FY2020/21</t>
        </is>
      </c>
    </row>
    <row r="6">
      <c r="A6" s="5" t="inlineStr">
        <is>
          <t>01a152b9-9494-723d-98dc-473208174d45</t>
        </is>
      </c>
      <c r="B6" s="5" t="inlineStr">
        <is>
          <t>01a152b9-6e64-739d-96d6-9160ce90ff68</t>
        </is>
      </c>
      <c r="C6" t="n">
        <v>2014</v>
      </c>
      <c r="D6" t="inlineStr">
        <is>
          <t>FY2014/15</t>
        </is>
      </c>
    </row>
    <row r="7">
      <c r="A7" s="5" t="inlineStr">
        <is>
          <t>01a152b9-94d4-71d7-b130-424efeb3c635</t>
        </is>
      </c>
      <c r="B7" s="5" t="inlineStr">
        <is>
          <t>01a152b9-6e64-739d-96d6-9160ce90ff68</t>
        </is>
      </c>
      <c r="C7" t="n">
        <v>2015</v>
      </c>
      <c r="D7" t="inlineStr">
        <is>
          <t>FY2015/16</t>
        </is>
      </c>
    </row>
    <row r="8">
      <c r="A8" s="5" t="inlineStr">
        <is>
          <t>01a152b9-9546-77af-a0c6-fbc02f2dbab3</t>
        </is>
      </c>
      <c r="B8" s="5" t="inlineStr">
        <is>
          <t>01a152b9-6e64-739d-96d6-9160ce90ff68</t>
        </is>
      </c>
      <c r="C8" t="n">
        <v>2016</v>
      </c>
      <c r="D8" t="inlineStr">
        <is>
          <t>FY2016/17</t>
        </is>
      </c>
    </row>
    <row r="9">
      <c r="A9" s="5" t="inlineStr">
        <is>
          <t>01a152b9-9de7-7362-a4ed-732c72537a5b</t>
        </is>
      </c>
      <c r="B9" s="5" t="inlineStr">
        <is>
          <t>01a152b9-6e64-739d-96d6-9160ce90ff68</t>
        </is>
      </c>
      <c r="C9" t="n">
        <v>2021</v>
      </c>
      <c r="D9" t="inlineStr">
        <is>
          <t>FY2021/22</t>
        </is>
      </c>
    </row>
    <row r="10">
      <c r="A10" s="5" t="inlineStr">
        <is>
          <t>01a152b9-a0dd-7797-bf9b-deb87eb48136</t>
        </is>
      </c>
      <c r="B10" s="5" t="inlineStr">
        <is>
          <t>01a152b9-6e64-739d-96d6-9160ce90ff68</t>
        </is>
      </c>
      <c r="C10" t="n">
        <v>2022</v>
      </c>
      <c r="D10" t="inlineStr">
        <is>
          <t>FY2022/23</t>
        </is>
      </c>
    </row>
    <row r="11">
      <c r="A11" s="5" t="inlineStr">
        <is>
          <t>01a152b9-a509-72f7-b27b-f382a3c45cd1</t>
        </is>
      </c>
      <c r="B11" s="5" t="inlineStr">
        <is>
          <t>01a152b9-6e64-739d-96d6-9160ce90ff68</t>
        </is>
      </c>
      <c r="C11" t="n">
        <v>2023</v>
      </c>
      <c r="D11" t="inlineStr">
        <is>
          <t>FY2023/24</t>
        </is>
      </c>
    </row>
    <row r="12">
      <c r="A12" s="5" t="inlineStr">
        <is>
          <t>01a152b9-a532-71ca-a6bd-173055a86cb4</t>
        </is>
      </c>
      <c r="B12" s="5" t="inlineStr">
        <is>
          <t>01a152b9-6e64-739d-96d6-9160ce90ff68</t>
        </is>
      </c>
      <c r="C12" t="n">
        <v>2024</v>
      </c>
      <c r="D12" t="inlineStr">
        <is>
          <t>FY2024/25</t>
        </is>
      </c>
    </row>
    <row r="13">
      <c r="A13" s="5" t="inlineStr">
        <is>
          <t>01a152b9-a619-75df-809d-de05299863c5</t>
        </is>
      </c>
      <c r="B13" s="5" t="inlineStr">
        <is>
          <t>01a152b9-6e64-739d-96d6-9160ce90ff68</t>
        </is>
      </c>
      <c r="C13" t="n">
        <v>2025</v>
      </c>
      <c r="D13" t="inlineStr">
        <is>
          <t>FY2025/26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2" customWidth="1" min="1" max="1"/>
    <col width="19.2" customWidth="1" min="2" max="2"/>
    <col width="28.2" customWidth="1" min="3" max="3"/>
    <col width="28.2" customWidth="1" min="4" max="4"/>
    <col width="10.2" customWidth="1" min="5" max="5"/>
    <col width="38.2" customWidth="1" min="6" max="6"/>
    <col width="38.2" customWidth="1" min="7" max="7"/>
    <col width="22.2" customWidth="1" min="8" max="8"/>
    <col width="15.2" customWidth="1" min="9" max="9"/>
    <col width="26.2" customWidth="1" min="10" max="10"/>
    <col width="19.2" customWidth="1" min="11" max="11"/>
    <col width="47.2" customWidth="1" min="12" max="12"/>
    <col width="38.2" customWidth="1" min="13" max="13"/>
  </cols>
  <sheetData>
    <row r="1" ht="32" customHeight="1">
      <c r="A1" s="1" t="inlineStr">
        <is>
          <t>id</t>
        </is>
      </c>
      <c r="B1" s="1" t="inlineStr">
        <is>
          <t>description</t>
        </is>
      </c>
      <c r="C1" s="1" t="inlineStr">
        <is>
          <t>created_at</t>
        </is>
      </c>
      <c r="D1" s="1" t="inlineStr">
        <is>
          <t>updated_at</t>
        </is>
      </c>
      <c r="E1" s="1" t="inlineStr">
        <is>
          <t>currency</t>
        </is>
      </c>
      <c r="F1" s="1" t="inlineStr">
        <is>
          <t>owner_id</t>
        </is>
      </c>
      <c r="G1" s="1" t="inlineStr">
        <is>
          <t>fiscal_year_type_id</t>
        </is>
      </c>
      <c r="H1" s="1" t="inlineStr">
        <is>
          <t>update_price_history</t>
        </is>
      </c>
      <c r="I1" s="1" t="inlineStr">
        <is>
          <t>taxpayer_type</t>
        </is>
      </c>
      <c r="J1" s="1" t="inlineStr">
        <is>
          <t>tax_settings_reviewed_at</t>
        </is>
      </c>
      <c r="K1" s="1" t="inlineStr">
        <is>
          <t>model_2027_regime</t>
        </is>
      </c>
      <c r="L1" s="1" t="inlineStr">
        <is>
          <t>calculated_portfolio_value_converted_currency</t>
        </is>
      </c>
      <c r="M1" s="1" t="inlineStr">
        <is>
          <t>calculated_portfolio_value_converted</t>
        </is>
      </c>
    </row>
    <row r="2">
      <c r="A2" s="5" t="inlineStr">
        <is>
          <t>01a152b9-6e67-75da-8adb-b03e5d07fd21</t>
        </is>
      </c>
      <c r="B2" t="inlineStr">
        <is>
          <t>Fixture Portfolio</t>
        </is>
      </c>
      <c r="C2" s="4" t="n">
        <v>46314.24590934663</v>
      </c>
      <c r="D2" s="4" t="n">
        <v>46314.24590934678</v>
      </c>
      <c r="E2" t="inlineStr">
        <is>
          <t>AUD</t>
        </is>
      </c>
      <c r="F2" s="5" t="inlineStr">
        <is>
          <t>01a152b9-6e60-749e-957b-e4901c04deb6</t>
        </is>
      </c>
      <c r="G2" s="5" t="inlineStr">
        <is>
          <t>01a152b9-6e64-739d-96d6-9160ce90ff68</t>
        </is>
      </c>
      <c r="H2" t="b">
        <v>0</v>
      </c>
      <c r="I2" t="inlineStr">
        <is>
          <t>UNDECLARED</t>
        </is>
      </c>
      <c r="K2" t="b">
        <v>0</v>
      </c>
      <c r="L2" t="inlineStr">
        <is>
          <t>AUD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2" customWidth="1" min="1" max="1"/>
    <col width="11.2" customWidth="1" min="2" max="2"/>
    <col width="13.2" customWidth="1" min="3" max="3"/>
    <col width="38.2" customWidth="1" min="4" max="4"/>
    <col width="28.2" customWidth="1" min="5" max="5"/>
    <col width="28.2" customWidth="1" min="6" max="6"/>
    <col width="11.2" customWidth="1" min="7" max="7"/>
    <col width="82.2" customWidth="1" min="8" max="8"/>
    <col width="33.2" customWidth="1" min="9" max="9"/>
    <col width="38.2" customWidth="1" min="10" max="10"/>
  </cols>
  <sheetData>
    <row r="1" ht="32" customHeight="1">
      <c r="A1" s="1" t="inlineStr">
        <is>
          <t>id</t>
        </is>
      </c>
      <c r="B1" s="1" t="inlineStr">
        <is>
          <t>legacy_id</t>
        </is>
      </c>
      <c r="C1" s="1" t="inlineStr">
        <is>
          <t>description</t>
        </is>
      </c>
      <c r="D1" s="1" t="inlineStr">
        <is>
          <t>account_id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is_active</t>
        </is>
      </c>
      <c r="H1" s="1" t="inlineStr">
        <is>
          <t>event</t>
        </is>
      </c>
      <c r="I1" s="1" t="inlineStr">
        <is>
          <t>content_type__name</t>
        </is>
      </c>
      <c r="J1" s="1" t="inlineStr">
        <is>
          <t>object_id</t>
        </is>
      </c>
    </row>
    <row r="2">
      <c r="A2" s="5" t="inlineStr">
        <is>
          <t>01a152b9-9317-73af-9c15-96e7b8d592d9</t>
        </is>
      </c>
      <c r="D2" s="5" t="inlineStr">
        <is>
          <t>01a152b9-6e67-75da-8adb-b03e5d07fd21</t>
        </is>
      </c>
      <c r="E2" s="4" t="n">
        <v>46314.24601805439</v>
      </c>
      <c r="F2" s="4" t="n">
        <v>46314.24601805455</v>
      </c>
      <c r="G2" t="b">
        <v>1</v>
      </c>
      <c r="H2" s="3" t="inlineStr">
        <is>
          <t>This parcel was created from trade 2018-03-29 | Buy | VDHG | 121.0000 unit @ A$49.44 / unit</t>
        </is>
      </c>
      <c r="I2" t="inlineStr">
        <is>
          <t>parcel</t>
        </is>
      </c>
      <c r="J2" s="5" t="inlineStr">
        <is>
          <t>01a152b9-9310-73e5-9fb3-d0a2d881b358</t>
        </is>
      </c>
    </row>
    <row r="3">
      <c r="A3" s="5" t="inlineStr">
        <is>
          <t>01a152b9-9335-74d0-81f9-d9c853a80cb4</t>
        </is>
      </c>
      <c r="D3" s="5" t="inlineStr">
        <is>
          <t>01a152b9-6e67-75da-8adb-b03e5d07fd21</t>
        </is>
      </c>
      <c r="E3" s="4" t="n">
        <v>46314.24601839385</v>
      </c>
      <c r="F3" s="4" t="n">
        <v>46314.24601839398</v>
      </c>
      <c r="G3" t="b">
        <v>1</v>
      </c>
      <c r="H3" s="3" t="inlineStr">
        <is>
          <t>This parcel was created from trade 2018-04-24 | Buy | VDHG | 209.0000 unit @ A$48.22 / unit</t>
        </is>
      </c>
      <c r="I3" t="inlineStr">
        <is>
          <t>parcel</t>
        </is>
      </c>
      <c r="J3" s="5" t="inlineStr">
        <is>
          <t>01a152b9-9330-70a0-a8f8-e4bd1c0a37d1</t>
        </is>
      </c>
    </row>
    <row r="4">
      <c r="A4" s="5" t="inlineStr">
        <is>
          <t>01a152b9-9350-745a-875b-d8d89e2f8eb6</t>
        </is>
      </c>
      <c r="D4" s="5" t="inlineStr">
        <is>
          <t>01a152b9-6e67-75da-8adb-b03e5d07fd21</t>
        </is>
      </c>
      <c r="E4" s="4" t="n">
        <v>46314.24601871116</v>
      </c>
      <c r="F4" s="4" t="n">
        <v>46314.24601871126</v>
      </c>
      <c r="G4" t="b">
        <v>1</v>
      </c>
      <c r="H4" s="3" t="inlineStr">
        <is>
          <t>This parcel was created from trade 2019-03-29 | Buy | VDHG | 238.0000 unit @ A$50.80 / unit</t>
        </is>
      </c>
      <c r="I4" t="inlineStr">
        <is>
          <t>parcel</t>
        </is>
      </c>
      <c r="J4" s="5" t="inlineStr">
        <is>
          <t>01a152b9-934b-7247-b088-6dad534183ec</t>
        </is>
      </c>
    </row>
    <row r="5">
      <c r="A5" s="5" t="inlineStr">
        <is>
          <t>01a152b9-9370-7340-a1b8-18d79c8c8d2a</t>
        </is>
      </c>
      <c r="D5" s="5" t="inlineStr">
        <is>
          <t>01a152b9-6e67-75da-8adb-b03e5d07fd21</t>
        </is>
      </c>
      <c r="E5" s="4" t="n">
        <v>46314.24601908217</v>
      </c>
      <c r="F5" s="4" t="n">
        <v>46314.24601908233</v>
      </c>
      <c r="G5" t="b">
        <v>1</v>
      </c>
      <c r="H5" s="3" t="inlineStr">
        <is>
          <t>This parcel was created from trade 2019-08-06 | Buy | VDHG | 210.0000 unit @ A$54.86 / unit</t>
        </is>
      </c>
      <c r="I5" t="inlineStr">
        <is>
          <t>parcel</t>
        </is>
      </c>
      <c r="J5" s="5" t="inlineStr">
        <is>
          <t>01a152b9-936b-763f-b2ea-0377d064edc9</t>
        </is>
      </c>
    </row>
    <row r="6">
      <c r="A6" s="5" t="inlineStr">
        <is>
          <t>01a152b9-938a-7626-8c89-69df43606c19</t>
        </is>
      </c>
      <c r="D6" s="5" t="inlineStr">
        <is>
          <t>01a152b9-6e67-75da-8adb-b03e5d07fd21</t>
        </is>
      </c>
      <c r="E6" s="4" t="n">
        <v>46314.24601938366</v>
      </c>
      <c r="F6" s="4" t="n">
        <v>46314.24601938375</v>
      </c>
      <c r="G6" t="b">
        <v>1</v>
      </c>
      <c r="H6" s="3" t="inlineStr">
        <is>
          <t>This parcel was created from trade 2019-09-30 | Buy | VDHG | 344.0000 unit @ A$54.82 / unit</t>
        </is>
      </c>
      <c r="I6" t="inlineStr">
        <is>
          <t>parcel</t>
        </is>
      </c>
      <c r="J6" s="5" t="inlineStr">
        <is>
          <t>01a152b9-9386-7582-9aa2-0771b5a4639a</t>
        </is>
      </c>
    </row>
    <row r="7">
      <c r="A7" s="5" t="inlineStr">
        <is>
          <t>01a152b9-93a4-7732-b7e6-8e782699e289</t>
        </is>
      </c>
      <c r="D7" s="5" t="inlineStr">
        <is>
          <t>01a152b9-6e67-75da-8adb-b03e5d07fd21</t>
        </is>
      </c>
      <c r="E7" s="4" t="n">
        <v>46314.2460196852</v>
      </c>
      <c r="F7" s="4" t="n">
        <v>46314.24601968529</v>
      </c>
      <c r="G7" t="b">
        <v>1</v>
      </c>
      <c r="H7" s="3" t="inlineStr">
        <is>
          <t>This parcel was created from trade 2019-10-21 | Buy | VDHG | 257.0000 unit @ A$56.78 / unit</t>
        </is>
      </c>
      <c r="I7" t="inlineStr">
        <is>
          <t>parcel</t>
        </is>
      </c>
      <c r="J7" s="5" t="inlineStr">
        <is>
          <t>01a152b9-93a0-7020-914d-afff81d3a029</t>
        </is>
      </c>
    </row>
    <row r="8">
      <c r="A8" s="5" t="inlineStr">
        <is>
          <t>01a152b9-93bf-7637-89b6-683dd1ae2c8e</t>
        </is>
      </c>
      <c r="D8" s="5" t="inlineStr">
        <is>
          <t>01a152b9-6e67-75da-8adb-b03e5d07fd21</t>
        </is>
      </c>
      <c r="E8" s="4" t="n">
        <v>46314.24601999759</v>
      </c>
      <c r="F8" s="4" t="n">
        <v>46314.2460199977</v>
      </c>
      <c r="G8" t="b">
        <v>1</v>
      </c>
      <c r="H8" s="3" t="inlineStr">
        <is>
          <t>This parcel was created from trade 2020-04-02 | Buy | VDHG | 291.0000 unit @ A$40.80 / unit</t>
        </is>
      </c>
      <c r="I8" t="inlineStr">
        <is>
          <t>parcel</t>
        </is>
      </c>
      <c r="J8" s="5" t="inlineStr">
        <is>
          <t>01a152b9-93ba-7162-b94e-4a96e2f43e27</t>
        </is>
      </c>
    </row>
    <row r="9">
      <c r="A9" s="5" t="inlineStr">
        <is>
          <t>01a152b9-9410-73bd-9f8a-c63a41548662</t>
        </is>
      </c>
      <c r="D9" s="5" t="inlineStr">
        <is>
          <t>01a152b9-6e67-75da-8adb-b03e5d07fd21</t>
        </is>
      </c>
      <c r="E9" s="4" t="n">
        <v>46314.24602093903</v>
      </c>
      <c r="F9" s="4" t="n">
        <v>46314.24602093922</v>
      </c>
      <c r="G9" t="b">
        <v>1</v>
      </c>
      <c r="H9" s="3" t="inlineStr">
        <is>
          <t>This parcel was created from trade 2020-05-05 | Buy | VDHG | 233.0000 unit @ A$47.68 / unit</t>
        </is>
      </c>
      <c r="I9" t="inlineStr">
        <is>
          <t>parcel</t>
        </is>
      </c>
      <c r="J9" s="5" t="inlineStr">
        <is>
          <t>01a152b9-93d8-741c-b03f-96b816de68cf</t>
        </is>
      </c>
    </row>
    <row r="10">
      <c r="A10" s="5" t="inlineStr">
        <is>
          <t>01a152b9-9434-7243-a57c-c7564fbee92b</t>
        </is>
      </c>
      <c r="D10" s="5" t="inlineStr">
        <is>
          <t>01a152b9-6e67-75da-8adb-b03e5d07fd21</t>
        </is>
      </c>
      <c r="E10" s="4" t="n">
        <v>46314.24602134632</v>
      </c>
      <c r="F10" s="4" t="n">
        <v>46314.24602134646</v>
      </c>
      <c r="G10" t="b">
        <v>1</v>
      </c>
      <c r="H10" s="3" t="inlineStr">
        <is>
          <t>This parcel was created from trade 2020-06-08 | Buy | VDHG | 400.0000 unit @ A$53.04 / unit</t>
        </is>
      </c>
      <c r="I10" t="inlineStr">
        <is>
          <t>parcel</t>
        </is>
      </c>
      <c r="J10" s="5" t="inlineStr">
        <is>
          <t>01a152b9-942e-76dc-a2de-ceec571c1474</t>
        </is>
      </c>
    </row>
    <row r="11">
      <c r="A11" s="5" t="inlineStr">
        <is>
          <t>01a152b9-9453-70a9-8366-2c9fe844a921</t>
        </is>
      </c>
      <c r="D11" s="5" t="inlineStr">
        <is>
          <t>01a152b9-6e67-75da-8adb-b03e5d07fd21</t>
        </is>
      </c>
      <c r="E11" s="4" t="n">
        <v>46314.24602170859</v>
      </c>
      <c r="F11" s="4" t="n">
        <v>46314.24602170871</v>
      </c>
      <c r="G11" t="b">
        <v>1</v>
      </c>
      <c r="H11" s="3" t="inlineStr">
        <is>
          <t>This parcel was created from trade 2020-06-26 | Buy | VDHG | 154.0000 unit @ A$52.41 / unit</t>
        </is>
      </c>
      <c r="I11" t="inlineStr">
        <is>
          <t>parcel</t>
        </is>
      </c>
      <c r="J11" s="5" t="inlineStr">
        <is>
          <t>01a152b9-944e-753e-b691-b12012b84d66</t>
        </is>
      </c>
    </row>
    <row r="12">
      <c r="A12" s="5" t="inlineStr">
        <is>
          <t>01a152b9-9471-7019-b295-047eccf0edbc</t>
        </is>
      </c>
      <c r="D12" s="5" t="inlineStr">
        <is>
          <t>01a152b9-6e67-75da-8adb-b03e5d07fd21</t>
        </is>
      </c>
      <c r="E12" s="4" t="n">
        <v>46314.24602205503</v>
      </c>
      <c r="F12" s="4" t="n">
        <v>46314.24602205515</v>
      </c>
      <c r="G12" t="b">
        <v>1</v>
      </c>
      <c r="H12" s="3" t="inlineStr">
        <is>
          <t>This parcel was created from trade 2021-01-01 | Buy | AFI | 4000.0000 unit @ A$7.30 / unit</t>
        </is>
      </c>
      <c r="I12" t="inlineStr">
        <is>
          <t>parcel</t>
        </is>
      </c>
      <c r="J12" s="5" t="inlineStr">
        <is>
          <t>01a152b9-946c-70e4-830b-02b4052686b6</t>
        </is>
      </c>
    </row>
    <row r="13">
      <c r="A13" s="5" t="inlineStr">
        <is>
          <t>01a152b9-948d-7775-b6fa-a3acd661a750</t>
        </is>
      </c>
      <c r="D13" s="5" t="inlineStr">
        <is>
          <t>01a152b9-6e67-75da-8adb-b03e5d07fd21</t>
        </is>
      </c>
      <c r="E13" s="4" t="n">
        <v>46314.24602238086</v>
      </c>
      <c r="F13" s="4" t="n">
        <v>46314.24602238098</v>
      </c>
      <c r="G13" t="b">
        <v>1</v>
      </c>
      <c r="H13" s="3" t="inlineStr">
        <is>
          <t>This parcel was created from trade 2015-05-04 | Buy | VGS | 250.0000 unit @ A$57.81 / unit</t>
        </is>
      </c>
      <c r="I13" t="inlineStr">
        <is>
          <t>parcel</t>
        </is>
      </c>
      <c r="J13" s="5" t="inlineStr">
        <is>
          <t>01a152b9-9489-75d9-9632-6da6174dc905</t>
        </is>
      </c>
    </row>
    <row r="14">
      <c r="A14" s="5" t="inlineStr">
        <is>
          <t>01a152b9-94ad-74fc-b6ef-4d282e1c3fca</t>
        </is>
      </c>
      <c r="D14" s="5" t="inlineStr">
        <is>
          <t>01a152b9-6e67-75da-8adb-b03e5d07fd21</t>
        </is>
      </c>
      <c r="E14" s="4" t="n">
        <v>46314.24602274995</v>
      </c>
      <c r="F14" s="4" t="n">
        <v>46314.24602275011</v>
      </c>
      <c r="G14" t="b">
        <v>1</v>
      </c>
      <c r="H14" s="3" t="inlineStr">
        <is>
          <t>This parcel was created from trade 2015-06-25 | Buy | VGS | 250.0000 unit @ A$59.32 / unit</t>
        </is>
      </c>
      <c r="I14" t="inlineStr">
        <is>
          <t>parcel</t>
        </is>
      </c>
      <c r="J14" s="5" t="inlineStr">
        <is>
          <t>01a152b9-94a7-731e-bcf5-1459d6c541b5</t>
        </is>
      </c>
    </row>
    <row r="15">
      <c r="A15" s="5" t="inlineStr">
        <is>
          <t>01a152b9-94cd-7448-9d65-8e32d69be2a8</t>
        </is>
      </c>
      <c r="D15" s="5" t="inlineStr">
        <is>
          <t>01a152b9-6e67-75da-8adb-b03e5d07fd21</t>
        </is>
      </c>
      <c r="E15" s="4" t="n">
        <v>46314.24602311652</v>
      </c>
      <c r="F15" s="4" t="n">
        <v>46314.24602311663</v>
      </c>
      <c r="G15" t="b">
        <v>1</v>
      </c>
      <c r="H15" s="3" t="inlineStr">
        <is>
          <t>This parcel was created from trade 2015-07-29 | Buy | VGS | 250.0000 unit @ A$60.70 / unit</t>
        </is>
      </c>
      <c r="I15" t="inlineStr">
        <is>
          <t>parcel</t>
        </is>
      </c>
      <c r="J15" s="5" t="inlineStr">
        <is>
          <t>01a152b9-94c8-7073-9619-9f770f6e7fc2</t>
        </is>
      </c>
    </row>
    <row r="16">
      <c r="A16" s="5" t="inlineStr">
        <is>
          <t>01a152b9-94e9-75c5-bd91-565d7b4219c3</t>
        </is>
      </c>
      <c r="D16" s="5" t="inlineStr">
        <is>
          <t>01a152b9-6e67-75da-8adb-b03e5d07fd21</t>
        </is>
      </c>
      <c r="E16" s="4" t="n">
        <v>46314.24602344479</v>
      </c>
      <c r="F16" s="4" t="n">
        <v>46314.24602344488</v>
      </c>
      <c r="G16" t="b">
        <v>1</v>
      </c>
      <c r="H16" s="3" t="inlineStr">
        <is>
          <t>This parcel was created from trade 2015-08-12 | Buy | VGS | 100.0000 unit @ A$59.74 / unit</t>
        </is>
      </c>
      <c r="I16" t="inlineStr">
        <is>
          <t>parcel</t>
        </is>
      </c>
      <c r="J16" s="5" t="inlineStr">
        <is>
          <t>01a152b9-94e5-7643-9595-d903ba15e5b7</t>
        </is>
      </c>
    </row>
    <row r="17">
      <c r="A17" s="5" t="inlineStr">
        <is>
          <t>01a152b9-9505-74fe-a6cb-b4aa4287f12b</t>
        </is>
      </c>
      <c r="D17" s="5" t="inlineStr">
        <is>
          <t>01a152b9-6e67-75da-8adb-b03e5d07fd21</t>
        </is>
      </c>
      <c r="E17" s="4" t="n">
        <v>46314.24602376763</v>
      </c>
      <c r="F17" s="4" t="n">
        <v>46314.24602376773</v>
      </c>
      <c r="G17" t="b">
        <v>1</v>
      </c>
      <c r="H17" s="3" t="inlineStr">
        <is>
          <t>This parcel was created from trade 2016-03-07 | Buy | VGS | 200.0000 unit @ A$54.34 / unit</t>
        </is>
      </c>
      <c r="I17" t="inlineStr">
        <is>
          <t>parcel</t>
        </is>
      </c>
      <c r="J17" s="5" t="inlineStr">
        <is>
          <t>01a152b9-9500-709e-8410-7a936bd089c9</t>
        </is>
      </c>
    </row>
    <row r="18">
      <c r="A18" s="5" t="inlineStr">
        <is>
          <t>01a152b9-9520-73ac-a64b-9f4f71f2a1c3</t>
        </is>
      </c>
      <c r="D18" s="5" t="inlineStr">
        <is>
          <t>01a152b9-6e67-75da-8adb-b03e5d07fd21</t>
        </is>
      </c>
      <c r="E18" s="4" t="n">
        <v>46314.24602408679</v>
      </c>
      <c r="F18" s="4" t="n">
        <v>46314.24602408687</v>
      </c>
      <c r="G18" t="b">
        <v>1</v>
      </c>
      <c r="H18" s="3" t="inlineStr">
        <is>
          <t>This parcel was created from trade 2016-06-23 | Buy | VGS | 200.0000 unit @ A$56.12 / unit</t>
        </is>
      </c>
      <c r="I18" t="inlineStr">
        <is>
          <t>parcel</t>
        </is>
      </c>
      <c r="J18" s="5" t="inlineStr">
        <is>
          <t>01a152b9-951c-75db-abc6-3b68329be7a6</t>
        </is>
      </c>
    </row>
    <row r="19">
      <c r="A19" s="5" t="inlineStr">
        <is>
          <t>01a152b9-9540-7181-a435-f80f0c85220e</t>
        </is>
      </c>
      <c r="D19" s="5" t="inlineStr">
        <is>
          <t>01a152b9-6e67-75da-8adb-b03e5d07fd21</t>
        </is>
      </c>
      <c r="E19" s="4" t="n">
        <v>46314.24602444726</v>
      </c>
      <c r="F19" s="4" t="n">
        <v>46314.24602444737</v>
      </c>
      <c r="G19" t="b">
        <v>1</v>
      </c>
      <c r="H19" s="3" t="inlineStr">
        <is>
          <t>This parcel was created from trade 2016-09-21 | Buy | VGS | 200.0000 unit @ A$56.08 / unit</t>
        </is>
      </c>
      <c r="I19" t="inlineStr">
        <is>
          <t>parcel</t>
        </is>
      </c>
      <c r="J19" s="5" t="inlineStr">
        <is>
          <t>01a152b9-953a-77b8-8f2e-2d4feaabe9bc</t>
        </is>
      </c>
    </row>
    <row r="20">
      <c r="A20" s="5" t="inlineStr">
        <is>
          <t>01a152b9-955c-75f2-85bf-367c7f5768f3</t>
        </is>
      </c>
      <c r="D20" s="5" t="inlineStr">
        <is>
          <t>01a152b9-6e67-75da-8adb-b03e5d07fd21</t>
        </is>
      </c>
      <c r="E20" s="4" t="n">
        <v>46314.24602477465</v>
      </c>
      <c r="F20" s="4" t="n">
        <v>46314.24602477474</v>
      </c>
      <c r="G20" t="b">
        <v>1</v>
      </c>
      <c r="H20" s="3" t="inlineStr">
        <is>
          <t>This parcel was created from trade 2016-11-06 | Buy | VGS | 200.0000 unit @ A$54.17 / unit</t>
        </is>
      </c>
      <c r="I20" t="inlineStr">
        <is>
          <t>parcel</t>
        </is>
      </c>
      <c r="J20" s="5" t="inlineStr">
        <is>
          <t>01a152b9-9557-73d7-96a4-1c9494e1cc27</t>
        </is>
      </c>
    </row>
    <row r="21">
      <c r="A21" s="5" t="inlineStr">
        <is>
          <t>01a152b9-9579-7732-9ae4-41692fcb14ba</t>
        </is>
      </c>
      <c r="D21" s="5" t="inlineStr">
        <is>
          <t>01a152b9-6e67-75da-8adb-b03e5d07fd21</t>
        </is>
      </c>
      <c r="E21" s="4" t="n">
        <v>46314.24602511301</v>
      </c>
      <c r="F21" s="4" t="n">
        <v>46314.24602511313</v>
      </c>
      <c r="G21" t="b">
        <v>1</v>
      </c>
      <c r="H21" s="3" t="inlineStr">
        <is>
          <t>This parcel was created from trade 2018-05-20 | Buy | VGS | 180.0000 unit @ A$69.57 / unit</t>
        </is>
      </c>
      <c r="I21" t="inlineStr">
        <is>
          <t>parcel</t>
        </is>
      </c>
      <c r="J21" s="5" t="inlineStr">
        <is>
          <t>01a152b9-9574-7264-bf24-1c4e0839a2c8</t>
        </is>
      </c>
    </row>
    <row r="22">
      <c r="A22" s="5" t="inlineStr">
        <is>
          <t>01a152b9-9594-7532-b851-72da1c43ab2c</t>
        </is>
      </c>
      <c r="D22" s="5" t="inlineStr">
        <is>
          <t>01a152b9-6e67-75da-8adb-b03e5d07fd21</t>
        </is>
      </c>
      <c r="E22" s="4" t="n">
        <v>46314.24602542795</v>
      </c>
      <c r="F22" s="4" t="n">
        <v>46314.24602542818</v>
      </c>
      <c r="G22" t="b">
        <v>1</v>
      </c>
      <c r="H22" s="3" t="inlineStr">
        <is>
          <t>This parcel was created from trade 2018-06-18 | Buy | VGS | 200.0000 unit @ A$70.36 / unit</t>
        </is>
      </c>
      <c r="I22" t="inlineStr">
        <is>
          <t>parcel</t>
        </is>
      </c>
      <c r="J22" s="5" t="inlineStr">
        <is>
          <t>01a152b9-958f-7703-a5c4-c31e1306711f</t>
        </is>
      </c>
    </row>
    <row r="23">
      <c r="A23" s="5" t="inlineStr">
        <is>
          <t>01a152b9-95b0-72fe-8ad4-b792c24450ce</t>
        </is>
      </c>
      <c r="D23" s="5" t="inlineStr">
        <is>
          <t>01a152b9-6e67-75da-8adb-b03e5d07fd21</t>
        </is>
      </c>
      <c r="E23" s="4" t="n">
        <v>46314.24602574992</v>
      </c>
      <c r="F23" s="4" t="n">
        <v>46314.24602575001</v>
      </c>
      <c r="G23" t="b">
        <v>1</v>
      </c>
      <c r="H23" s="3" t="inlineStr">
        <is>
          <t>This parcel was created from trade 2018-07-16 | Buy | VGS | 100.0000 unit @ A$69.86 / unit</t>
        </is>
      </c>
      <c r="I23" t="inlineStr">
        <is>
          <t>parcel</t>
        </is>
      </c>
      <c r="J23" s="5" t="inlineStr">
        <is>
          <t>01a152b9-95ac-746c-9a8c-b4eb3f58a5a6</t>
        </is>
      </c>
    </row>
    <row r="24">
      <c r="A24" s="5" t="inlineStr">
        <is>
          <t>01a152b9-95cb-734d-bb75-84251f917954</t>
        </is>
      </c>
      <c r="D24" s="5" t="inlineStr">
        <is>
          <t>01a152b9-6e67-75da-8adb-b03e5d07fd21</t>
        </is>
      </c>
      <c r="E24" s="4" t="n">
        <v>46314.24602605507</v>
      </c>
      <c r="F24" s="4" t="n">
        <v>46314.24602605516</v>
      </c>
      <c r="G24" t="b">
        <v>1</v>
      </c>
      <c r="H24" s="3" t="inlineStr">
        <is>
          <t>This parcel was created from trade 2018-09-05 | Buy | VGS | 100.0000 unit @ A$72.86 / unit</t>
        </is>
      </c>
      <c r="I24" t="inlineStr">
        <is>
          <t>parcel</t>
        </is>
      </c>
      <c r="J24" s="5" t="inlineStr">
        <is>
          <t>01a152b9-95c6-742f-9e96-a37e19627f89</t>
        </is>
      </c>
    </row>
    <row r="25">
      <c r="A25" s="5" t="inlineStr">
        <is>
          <t>01a152b9-95e5-76f1-9839-bd1523bcbce2</t>
        </is>
      </c>
      <c r="D25" s="5" t="inlineStr">
        <is>
          <t>01a152b9-6e67-75da-8adb-b03e5d07fd21</t>
        </is>
      </c>
      <c r="E25" s="4" t="n">
        <v>46314.24602636035</v>
      </c>
      <c r="F25" s="4" t="n">
        <v>46314.24602636043</v>
      </c>
      <c r="G25" t="b">
        <v>1</v>
      </c>
      <c r="H25" s="3" t="inlineStr">
        <is>
          <t>This parcel was created from trade 2019-01-23 | Buy | VGS | 50.0000 unit @ A$67.17 / unit</t>
        </is>
      </c>
      <c r="I25" t="inlineStr">
        <is>
          <t>parcel</t>
        </is>
      </c>
      <c r="J25" s="5" t="inlineStr">
        <is>
          <t>01a152b9-95e1-7395-82be-501ffc413824</t>
        </is>
      </c>
    </row>
    <row r="26">
      <c r="A26" s="5" t="inlineStr">
        <is>
          <t>01a152b9-95ff-7167-9847-0dd21a00ecad</t>
        </is>
      </c>
      <c r="D26" s="5" t="inlineStr">
        <is>
          <t>01a152b9-6e67-75da-8adb-b03e5d07fd21</t>
        </is>
      </c>
      <c r="E26" s="4" t="n">
        <v>46314.24602666573</v>
      </c>
      <c r="F26" s="4" t="n">
        <v>46314.24602666585</v>
      </c>
      <c r="G26" t="b">
        <v>1</v>
      </c>
      <c r="H26" s="3" t="inlineStr">
        <is>
          <t>This parcel was created from trade 2019-03-18 | Buy | VGS | 100.0000 unit @ A$72.64 / unit</t>
        </is>
      </c>
      <c r="I26" t="inlineStr">
        <is>
          <t>parcel</t>
        </is>
      </c>
      <c r="J26" s="5" t="inlineStr">
        <is>
          <t>01a152b9-95fb-7120-b341-b6f29d875206</t>
        </is>
      </c>
    </row>
    <row r="27">
      <c r="A27" s="5" t="inlineStr">
        <is>
          <t>01a152b9-961a-7475-8a39-3d964abbebf0</t>
        </is>
      </c>
      <c r="D27" s="5" t="inlineStr">
        <is>
          <t>01a152b9-6e67-75da-8adb-b03e5d07fd21</t>
        </is>
      </c>
      <c r="E27" s="4" t="n">
        <v>46314.24602696881</v>
      </c>
      <c r="F27" s="4" t="n">
        <v>46314.2460269689</v>
      </c>
      <c r="G27" t="b">
        <v>1</v>
      </c>
      <c r="H27" s="3" t="inlineStr">
        <is>
          <t>This parcel was created from trade 2019-05-06 | Buy | VGS | 100.0000 unit @ A$74.84 / unit</t>
        </is>
      </c>
      <c r="I27" t="inlineStr">
        <is>
          <t>parcel</t>
        </is>
      </c>
      <c r="J27" s="5" t="inlineStr">
        <is>
          <t>01a152b9-9615-743d-b72a-abe2116267b7</t>
        </is>
      </c>
    </row>
    <row r="28">
      <c r="A28" s="5" t="inlineStr">
        <is>
          <t>01a152b9-9633-7336-9aac-48d21fcc1aef</t>
        </is>
      </c>
      <c r="D28" s="5" t="inlineStr">
        <is>
          <t>01a152b9-6e67-75da-8adb-b03e5d07fd21</t>
        </is>
      </c>
      <c r="E28" s="4" t="n">
        <v>46314.24602726231</v>
      </c>
      <c r="F28" s="4" t="n">
        <v>46314.24602726241</v>
      </c>
      <c r="G28" t="b">
        <v>1</v>
      </c>
      <c r="H28" s="3" t="inlineStr">
        <is>
          <t>This parcel was created from trade 2019-05-15 | Buy | VGS | 80.0000 unit @ A$73.82 / unit</t>
        </is>
      </c>
      <c r="I28" t="inlineStr">
        <is>
          <t>parcel</t>
        </is>
      </c>
      <c r="J28" s="5" t="inlineStr">
        <is>
          <t>01a152b9-962f-7367-a84a-0c600737cd69</t>
        </is>
      </c>
    </row>
    <row r="29">
      <c r="A29" s="5" t="inlineStr">
        <is>
          <t>01a152b9-9652-76a5-ae83-59bca34c0463</t>
        </is>
      </c>
      <c r="D29" s="5" t="inlineStr">
        <is>
          <t>01a152b9-6e67-75da-8adb-b03e5d07fd21</t>
        </is>
      </c>
      <c r="E29" s="4" t="n">
        <v>46314.24602761804</v>
      </c>
      <c r="F29" s="4" t="n">
        <v>46314.24602761817</v>
      </c>
      <c r="G29" t="b">
        <v>1</v>
      </c>
      <c r="H29" s="3" t="inlineStr">
        <is>
          <t>This parcel was created from trade 2019-11-14 | Buy | VGS | 100.0000 unit @ A$80.88 / unit</t>
        </is>
      </c>
      <c r="I29" t="inlineStr">
        <is>
          <t>parcel</t>
        </is>
      </c>
      <c r="J29" s="5" t="inlineStr">
        <is>
          <t>01a152b9-964c-760f-b649-b5089fe2f69f</t>
        </is>
      </c>
    </row>
    <row r="30">
      <c r="A30" s="5" t="inlineStr">
        <is>
          <t>01a152b9-9672-7560-91f1-d3bffdde70d6</t>
        </is>
      </c>
      <c r="D30" s="5" t="inlineStr">
        <is>
          <t>01a152b9-6e67-75da-8adb-b03e5d07fd21</t>
        </is>
      </c>
      <c r="E30" s="4" t="n">
        <v>46314.24602799272</v>
      </c>
      <c r="F30" s="4" t="n">
        <v>46314.24602799286</v>
      </c>
      <c r="G30" t="b">
        <v>1</v>
      </c>
      <c r="H30" s="3" t="inlineStr">
        <is>
          <t>This parcel was created from trade 2019-12-16 | Buy | VGS | 100.0000 unit @ A$82.30 / unit</t>
        </is>
      </c>
      <c r="I30" t="inlineStr">
        <is>
          <t>parcel</t>
        </is>
      </c>
      <c r="J30" s="5" t="inlineStr">
        <is>
          <t>01a152b9-966d-7399-b21c-89ba0f404c00</t>
        </is>
      </c>
    </row>
    <row r="31">
      <c r="A31" s="5" t="inlineStr">
        <is>
          <t>01a152b9-9690-7713-ad0c-e93d377e1fa4</t>
        </is>
      </c>
      <c r="D31" s="5" t="inlineStr">
        <is>
          <t>01a152b9-6e67-75da-8adb-b03e5d07fd21</t>
        </is>
      </c>
      <c r="E31" s="4" t="n">
        <v>46314.24602833552</v>
      </c>
      <c r="F31" s="4" t="n">
        <v>46314.24602833563</v>
      </c>
      <c r="G31" t="b">
        <v>1</v>
      </c>
      <c r="H31" s="3" t="inlineStr">
        <is>
          <t>This parcel was created from trade 2020-02-25 | Buy | VGS | 50.0000 unit @ A$83.14 / unit</t>
        </is>
      </c>
      <c r="I31" t="inlineStr">
        <is>
          <t>parcel</t>
        </is>
      </c>
      <c r="J31" s="5" t="inlineStr">
        <is>
          <t>01a152b9-968b-7582-a40a-451d61aca7f6</t>
        </is>
      </c>
    </row>
    <row r="32">
      <c r="A32" s="5" t="inlineStr">
        <is>
          <t>01a152b9-96a9-70df-81f0-67632f57b9d5</t>
        </is>
      </c>
      <c r="D32" s="5" t="inlineStr">
        <is>
          <t>01a152b9-6e67-75da-8adb-b03e5d07fd21</t>
        </is>
      </c>
      <c r="E32" s="4" t="n">
        <v>46314.24602862763</v>
      </c>
      <c r="F32" s="4" t="n">
        <v>46314.24602862771</v>
      </c>
      <c r="G32" t="b">
        <v>1</v>
      </c>
      <c r="H32" s="3" t="inlineStr">
        <is>
          <t>This parcel was created from trade 2020-07-16 | Buy | VGS | 100.0000 unit @ A$78.80 / unit</t>
        </is>
      </c>
      <c r="I32" t="inlineStr">
        <is>
          <t>parcel</t>
        </is>
      </c>
      <c r="J32" s="5" t="inlineStr">
        <is>
          <t>01a152b9-96a5-755d-8cd5-b9f3af1122f4</t>
        </is>
      </c>
    </row>
    <row r="33">
      <c r="A33" s="5" t="inlineStr">
        <is>
          <t>01a152b9-96ce-769b-b5d2-5631ccc178d7</t>
        </is>
      </c>
      <c r="D33" s="5" t="inlineStr">
        <is>
          <t>01a152b9-6e67-75da-8adb-b03e5d07fd21</t>
        </is>
      </c>
      <c r="E33" s="4" t="n">
        <v>46314.24602905528</v>
      </c>
      <c r="F33" s="4" t="n">
        <v>46314.24602905547</v>
      </c>
      <c r="G33" t="b">
        <v>1</v>
      </c>
      <c r="H33" s="3" t="inlineStr">
        <is>
          <t>This parcel was created from trade 2020-09-06 | Buy | VGS | 100.0000 unit @ A$79.41 / unit</t>
        </is>
      </c>
      <c r="I33" t="inlineStr">
        <is>
          <t>parcel</t>
        </is>
      </c>
      <c r="J33" s="5" t="inlineStr">
        <is>
          <t>01a152b9-96c7-7247-9b18-b04e067b75ed</t>
        </is>
      </c>
    </row>
    <row r="34">
      <c r="A34" s="5" t="inlineStr">
        <is>
          <t>01a152b9-96eb-775e-8328-075846455ebd</t>
        </is>
      </c>
      <c r="D34" s="5" t="inlineStr">
        <is>
          <t>01a152b9-6e67-75da-8adb-b03e5d07fd21</t>
        </is>
      </c>
      <c r="E34" s="4" t="n">
        <v>46314.24602939603</v>
      </c>
      <c r="F34" s="4" t="n">
        <v>46314.24602939613</v>
      </c>
      <c r="G34" t="b">
        <v>1</v>
      </c>
      <c r="H34" s="3" t="inlineStr">
        <is>
          <t>This parcel was created from trade 2020-10-19 | Buy | VGS | 50.0000 unit @ A$82.82 / unit</t>
        </is>
      </c>
      <c r="I34" t="inlineStr">
        <is>
          <t>parcel</t>
        </is>
      </c>
      <c r="J34" s="5" t="inlineStr">
        <is>
          <t>01a152b9-96e6-73de-aad9-0b8f9536b51d</t>
        </is>
      </c>
    </row>
    <row r="35">
      <c r="A35" s="5" t="inlineStr">
        <is>
          <t>01a152b9-970a-73de-8d15-a6b1bfabc36d</t>
        </is>
      </c>
      <c r="D35" s="5" t="inlineStr">
        <is>
          <t>01a152b9-6e67-75da-8adb-b03e5d07fd21</t>
        </is>
      </c>
      <c r="E35" s="4" t="n">
        <v>46314.24602974876</v>
      </c>
      <c r="F35" s="4" t="n">
        <v>46314.24602974888</v>
      </c>
      <c r="G35" t="b">
        <v>1</v>
      </c>
      <c r="H35" s="3" t="inlineStr">
        <is>
          <t>This parcel was created from trade 2020-11-17 | Buy | VGS | 50.0000 unit @ A$84.40 / unit</t>
        </is>
      </c>
      <c r="I35" t="inlineStr">
        <is>
          <t>parcel</t>
        </is>
      </c>
      <c r="J35" s="5" t="inlineStr">
        <is>
          <t>01a152b9-9705-75c9-9088-a143adf8e95a</t>
        </is>
      </c>
    </row>
    <row r="36">
      <c r="A36" s="5" t="inlineStr">
        <is>
          <t>01a152b9-9727-7294-b41d-e0a7d3718fd1</t>
        </is>
      </c>
      <c r="D36" s="5" t="inlineStr">
        <is>
          <t>01a152b9-6e67-75da-8adb-b03e5d07fd21</t>
        </is>
      </c>
      <c r="E36" s="4" t="n">
        <v>46314.24603008244</v>
      </c>
      <c r="F36" s="4" t="n">
        <v>46314.24603008253</v>
      </c>
      <c r="G36" t="b">
        <v>1</v>
      </c>
      <c r="H36" s="3" t="inlineStr">
        <is>
          <t>This parcel was created from trade 2020-12-15 | Buy | VGS | 50.0000 unit @ A$84.30 / unit</t>
        </is>
      </c>
      <c r="I36" t="inlineStr">
        <is>
          <t>parcel</t>
        </is>
      </c>
      <c r="J36" s="5" t="inlineStr">
        <is>
          <t>01a152b9-9722-7470-9f99-1a35c33b284d</t>
        </is>
      </c>
    </row>
    <row r="37">
      <c r="A37" s="5" t="inlineStr">
        <is>
          <t>01a152b9-9743-71f3-86c1-e3610b9f4f42</t>
        </is>
      </c>
      <c r="D37" s="5" t="inlineStr">
        <is>
          <t>01a152b9-6e67-75da-8adb-b03e5d07fd21</t>
        </is>
      </c>
      <c r="E37" s="4" t="n">
        <v>46314.24603041299</v>
      </c>
      <c r="F37" s="4" t="n">
        <v>46314.24603041308</v>
      </c>
      <c r="G37" t="b">
        <v>1</v>
      </c>
      <c r="H37" s="3" t="inlineStr">
        <is>
          <t>This parcel was created from trade 2021-01-18 | Buy | VGS | 50.0000 unit @ A$84.94 / unit</t>
        </is>
      </c>
      <c r="I37" t="inlineStr">
        <is>
          <t>parcel</t>
        </is>
      </c>
      <c r="J37" s="5" t="inlineStr">
        <is>
          <t>01a152b9-973f-7476-a1c5-8dd9c2e5ff83</t>
        </is>
      </c>
    </row>
    <row r="38">
      <c r="A38" s="5" t="inlineStr">
        <is>
          <t>01a152b9-9760-75e2-8554-8e85b6ec2362</t>
        </is>
      </c>
      <c r="D38" s="5" t="inlineStr">
        <is>
          <t>01a152b9-6e67-75da-8adb-b03e5d07fd21</t>
        </is>
      </c>
      <c r="E38" s="4" t="n">
        <v>46314.2460307525</v>
      </c>
      <c r="F38" s="4" t="n">
        <v>46314.24603075258</v>
      </c>
      <c r="G38" t="b">
        <v>1</v>
      </c>
      <c r="H38" s="3" t="inlineStr">
        <is>
          <t>This parcel was created from trade 2021-03-15 | Buy | VGS | 50.0000 unit @ A$87.66 / unit</t>
        </is>
      </c>
      <c r="I38" t="inlineStr">
        <is>
          <t>parcel</t>
        </is>
      </c>
      <c r="J38" s="5" t="inlineStr">
        <is>
          <t>01a152b9-975c-7693-b7fc-10db74004923</t>
        </is>
      </c>
    </row>
    <row r="39">
      <c r="A39" s="5" t="inlineStr">
        <is>
          <t>01a152b9-977b-71f6-b389-0dd59b6d8a4a</t>
        </is>
      </c>
      <c r="D39" s="5" t="inlineStr">
        <is>
          <t>01a152b9-6e67-75da-8adb-b03e5d07fd21</t>
        </is>
      </c>
      <c r="E39" s="4" t="n">
        <v>46314.24603105469</v>
      </c>
      <c r="F39" s="4" t="n">
        <v>46314.24603105478</v>
      </c>
      <c r="G39" t="b">
        <v>1</v>
      </c>
      <c r="H39" s="3" t="inlineStr">
        <is>
          <t>This parcel was created from trade 2021-03-29 | Buy | VGS | 100.0000 unit @ A$88.52 / unit</t>
        </is>
      </c>
      <c r="I39" t="inlineStr">
        <is>
          <t>parcel</t>
        </is>
      </c>
      <c r="J39" s="5" t="inlineStr">
        <is>
          <t>01a152b9-9776-73a9-82d2-82fb7d3d8ad6</t>
        </is>
      </c>
    </row>
    <row r="40">
      <c r="A40" s="5" t="inlineStr">
        <is>
          <t>01a152b9-9793-76e8-ac2c-6bdbe3732d96</t>
        </is>
      </c>
      <c r="D40" s="5" t="inlineStr">
        <is>
          <t>01a152b9-6e67-75da-8adb-b03e5d07fd21</t>
        </is>
      </c>
      <c r="E40" s="4" t="n">
        <v>46314.24603133998</v>
      </c>
      <c r="F40" s="4" t="n">
        <v>46314.24603134007</v>
      </c>
      <c r="G40" t="b">
        <v>1</v>
      </c>
      <c r="H40" s="3" t="inlineStr">
        <is>
          <t>This parcel was created from trade 2021-04-21 | Buy | VGS | 50.0000 unit @ A$90.95 / unit</t>
        </is>
      </c>
      <c r="I40" t="inlineStr">
        <is>
          <t>parcel</t>
        </is>
      </c>
      <c r="J40" s="5" t="inlineStr">
        <is>
          <t>01a152b9-978f-76b8-9e81-87c8ddd6856a</t>
        </is>
      </c>
    </row>
    <row r="41">
      <c r="A41" s="5" t="inlineStr">
        <is>
          <t>01a152b9-97c7-7333-965c-97cd8d30c10f</t>
        </is>
      </c>
      <c r="D41" s="5" t="inlineStr">
        <is>
          <t>01a152b9-6e67-75da-8adb-b03e5d07fd21</t>
        </is>
      </c>
      <c r="E41" s="4" t="n">
        <v>46314.24603194618</v>
      </c>
      <c r="F41" s="4" t="n">
        <v>46314.24603194636</v>
      </c>
      <c r="G41" t="b">
        <v>1</v>
      </c>
      <c r="H41" s="3" t="inlineStr">
        <is>
          <t>Added fraction 0.09375 of cost base adjustment 01a152b9-97bb-70df-bbec-14d053d00d24 | 2015-06-30 | Adjustment of VGS | Cost base increase = A$0.00</t>
        </is>
      </c>
      <c r="I41" t="inlineStr">
        <is>
          <t>cost base adjustment allocation</t>
        </is>
      </c>
      <c r="J41" s="5" t="inlineStr">
        <is>
          <t>01a152b9-97be-7516-ae8e-261fe08bd73c</t>
        </is>
      </c>
    </row>
    <row r="42">
      <c r="A42" s="5" t="inlineStr">
        <is>
          <t>01a152b9-97cf-760c-8aa9-e8ae9fa0c308</t>
        </is>
      </c>
      <c r="D42" s="5" t="inlineStr">
        <is>
          <t>01a152b9-6e67-75da-8adb-b03e5d07fd21</t>
        </is>
      </c>
      <c r="E42" s="4" t="n">
        <v>46314.24603203722</v>
      </c>
      <c r="F42" s="4" t="n">
        <v>46314.24603203734</v>
      </c>
      <c r="G42" t="b">
        <v>1</v>
      </c>
      <c r="H42" s="3" t="inlineStr">
        <is>
          <t>residual of cost base adjustment 01a152b9-97bb-70df-bbec-14d053d00d24 | 2015-06-30 | Adjustment of VGS | Cost base increase = A$0.00</t>
        </is>
      </c>
      <c r="I42" t="inlineStr">
        <is>
          <t>cost base adjustment allocation</t>
        </is>
      </c>
      <c r="J42" s="5" t="inlineStr">
        <is>
          <t>01a152b9-97c9-73f8-9690-b4968de27399</t>
        </is>
      </c>
    </row>
    <row r="43">
      <c r="A43" s="5" t="inlineStr">
        <is>
          <t>01a152b9-97eb-7735-8ae7-127e195eb2f8</t>
        </is>
      </c>
      <c r="D43" s="5" t="inlineStr">
        <is>
          <t>01a152b9-6e67-75da-8adb-b03e5d07fd21</t>
        </is>
      </c>
      <c r="E43" s="4" t="n">
        <v>46314.24603235199</v>
      </c>
      <c r="F43" s="4" t="n">
        <v>46314.24603235212</v>
      </c>
      <c r="G43" t="b">
        <v>1</v>
      </c>
      <c r="H43" s="3" t="inlineStr">
        <is>
          <t>Added fraction 0.004927625500461964890668309209 of cost base adjustment 01a152b9-97e1-75d4-8281-98a9bf797052 | 2016-06-30 | Adjustment of VGS | Cost base increase = A$0.00</t>
        </is>
      </c>
      <c r="I43" t="inlineStr">
        <is>
          <t>cost base adjustment allocation</t>
        </is>
      </c>
      <c r="J43" s="5" t="inlineStr">
        <is>
          <t>01a152b9-97e4-727c-a134-1e71a1d0fb1d</t>
        </is>
      </c>
    </row>
    <row r="44">
      <c r="A44" s="5" t="inlineStr">
        <is>
          <t>01a152b9-97f4-7479-b111-63b2b4519b05</t>
        </is>
      </c>
      <c r="D44" s="5" t="inlineStr">
        <is>
          <t>01a152b9-6e67-75da-8adb-b03e5d07fd21</t>
        </is>
      </c>
      <c r="E44" s="4" t="n">
        <v>46314.24603246457</v>
      </c>
      <c r="F44" s="4" t="n">
        <v>46314.24603246467</v>
      </c>
      <c r="G44" t="b">
        <v>1</v>
      </c>
      <c r="H44" s="3" t="inlineStr">
        <is>
          <t>Added fraction 0.07145056975669849091469048352 of cost base adjustment 01a152b9-97e1-75d4-8281-98a9bf797052 | 2016-06-30 | Adjustment of VGS | Cost base increase = A$0.00</t>
        </is>
      </c>
      <c r="I44" t="inlineStr">
        <is>
          <t>cost base adjustment allocation</t>
        </is>
      </c>
      <c r="J44" s="5" t="inlineStr">
        <is>
          <t>01a152b9-97ec-75a8-b145-23d1c7271c2c</t>
        </is>
      </c>
    </row>
    <row r="45">
      <c r="A45" s="5" t="inlineStr">
        <is>
          <t>01a152b9-97fb-75b9-98f7-0dd07ba87744</t>
        </is>
      </c>
      <c r="D45" s="5" t="inlineStr">
        <is>
          <t>01a152b9-6e67-75da-8adb-b03e5d07fd21</t>
        </is>
      </c>
      <c r="E45" s="4" t="n">
        <v>46314.24603254624</v>
      </c>
      <c r="F45" s="4" t="n">
        <v>46314.24603254634</v>
      </c>
      <c r="G45" t="b">
        <v>1</v>
      </c>
      <c r="H45" s="3" t="inlineStr">
        <is>
          <t>Added fraction 0.09978441638435478903603326147 of cost base adjustment 01a152b9-97e1-75d4-8281-98a9bf797052 | 2016-06-30 | Adjustment of VGS | Cost base increase = A$0.00</t>
        </is>
      </c>
      <c r="I45" t="inlineStr">
        <is>
          <t>cost base adjustment allocation</t>
        </is>
      </c>
      <c r="J45" s="5" t="inlineStr">
        <is>
          <t>01a152b9-97f5-729e-aa89-64e495a69d0a</t>
        </is>
      </c>
    </row>
    <row r="46">
      <c r="A46" s="5" t="inlineStr">
        <is>
          <t>01a152b9-9802-761a-93a0-e80811e75b2b</t>
        </is>
      </c>
      <c r="D46" s="5" t="inlineStr">
        <is>
          <t>01a152b9-6e67-75da-8adb-b03e5d07fd21</t>
        </is>
      </c>
      <c r="E46" s="4" t="n">
        <v>46314.24603262811</v>
      </c>
      <c r="F46" s="4" t="n">
        <v>46314.24603262825</v>
      </c>
      <c r="G46" t="b">
        <v>1</v>
      </c>
      <c r="H46" s="3" t="inlineStr">
        <is>
          <t>Added fraction 0.2602402217431475207884200801 of cost base adjustment 01a152b9-97e1-75d4-8281-98a9bf797052 | 2016-06-30 | Adjustment of VGS | Cost base increase = A$0.00</t>
        </is>
      </c>
      <c r="I46" t="inlineStr">
        <is>
          <t>cost base adjustment allocation</t>
        </is>
      </c>
      <c r="J46" s="5" t="inlineStr">
        <is>
          <t>01a152b9-97fc-7021-8ee6-7deee56ecf7b</t>
        </is>
      </c>
    </row>
    <row r="47">
      <c r="A47" s="5" t="inlineStr">
        <is>
          <t>01a152b9-980b-76cf-8d33-155bb1265275</t>
        </is>
      </c>
      <c r="D47" s="5" t="inlineStr">
        <is>
          <t>01a152b9-6e67-75da-8adb-b03e5d07fd21</t>
        </is>
      </c>
      <c r="E47" s="4" t="n">
        <v>46314.24603272676</v>
      </c>
      <c r="F47" s="4" t="n">
        <v>46314.24603272686</v>
      </c>
      <c r="G47" t="b">
        <v>1</v>
      </c>
      <c r="H47" s="3" t="inlineStr">
        <is>
          <t>Added fraction 0.2817985833076686171850939329 of cost base adjustment 01a152b9-97e1-75d4-8281-98a9bf797052 | 2016-06-30 | Adjustment of VGS | Cost base increase = A$0.00</t>
        </is>
      </c>
      <c r="I47" t="inlineStr">
        <is>
          <t>cost base adjustment allocation</t>
        </is>
      </c>
      <c r="J47" s="5" t="inlineStr">
        <is>
          <t>01a152b9-9804-77e6-804d-005f0b9d7318</t>
        </is>
      </c>
    </row>
    <row r="48">
      <c r="A48" s="5" t="inlineStr">
        <is>
          <t>01a152b9-9813-7627-b92e-9fdf7b727548</t>
        </is>
      </c>
      <c r="D48" s="5" t="inlineStr">
        <is>
          <t>01a152b9-6e67-75da-8adb-b03e5d07fd21</t>
        </is>
      </c>
      <c r="E48" s="4" t="n">
        <v>46314.24603281815</v>
      </c>
      <c r="F48" s="4" t="n">
        <v>46314.24603281825</v>
      </c>
      <c r="G48" t="b">
        <v>1</v>
      </c>
      <c r="H48" s="3" t="inlineStr">
        <is>
          <t>residual of cost base adjustment 01a152b9-97e1-75d4-8281-98a9bf797052 | 2016-06-30 | Adjustment of VGS | Cost base increase = A$0.00</t>
        </is>
      </c>
      <c r="I48" t="inlineStr">
        <is>
          <t>cost base adjustment allocation</t>
        </is>
      </c>
      <c r="J48" s="5" t="inlineStr">
        <is>
          <t>01a152b9-980c-7493-99a2-be77ff07b98f</t>
        </is>
      </c>
    </row>
    <row r="49">
      <c r="A49" s="5" t="inlineStr">
        <is>
          <t>01a152b9-9840-7180-84c6-4bdd647123b9</t>
        </is>
      </c>
      <c r="D49" s="5" t="inlineStr">
        <is>
          <t>01a152b9-6e67-75da-8adb-b03e5d07fd21</t>
        </is>
      </c>
      <c r="E49" s="4" t="n">
        <v>46314.24603334182</v>
      </c>
      <c r="F49" s="4" t="n">
        <v>46314.24603334191</v>
      </c>
      <c r="G49" t="b">
        <v>1</v>
      </c>
      <c r="H49" s="3" t="inlineStr">
        <is>
          <t>Added fraction 0.06514948683623382418563141455 of cost base adjustment 01a152b9-9837-7595-b9ad-b59b29e2f41a | 2017-06-30 | Adjustment of VGS | Cost base increase = A$0.00</t>
        </is>
      </c>
      <c r="I49" t="inlineStr">
        <is>
          <t>cost base adjustment allocation</t>
        </is>
      </c>
      <c r="J49" s="5" t="inlineStr">
        <is>
          <t>01a152b9-983a-724b-b361-c14cfc00b9be</t>
        </is>
      </c>
    </row>
    <row r="50">
      <c r="A50" s="5" t="inlineStr">
        <is>
          <t>01a152b9-9848-74c4-9ff5-7a6b07eff918</t>
        </is>
      </c>
      <c r="D50" s="5" t="inlineStr">
        <is>
          <t>01a152b9-6e67-75da-8adb-b03e5d07fd21</t>
        </is>
      </c>
      <c r="E50" s="4" t="n">
        <v>46314.24603342803</v>
      </c>
      <c r="F50" s="4" t="n">
        <v>46314.24603342813</v>
      </c>
      <c r="G50" t="b">
        <v>1</v>
      </c>
      <c r="H50" s="3" t="inlineStr">
        <is>
          <t>Added fraction 0.08460508701472556894243641232 of cost base adjustment 01a152b9-9837-7595-b9ad-b59b29e2f41a | 2017-06-30 | Adjustment of VGS | Cost base increase = A$0.00</t>
        </is>
      </c>
      <c r="I50" t="inlineStr">
        <is>
          <t>cost base adjustment allocation</t>
        </is>
      </c>
      <c r="J50" s="5" t="inlineStr">
        <is>
          <t>01a152b9-9841-7544-8c26-4837cbbf4280</t>
        </is>
      </c>
    </row>
    <row r="51">
      <c r="A51" s="5" t="inlineStr">
        <is>
          <t>01a152b9-984f-7000-b115-36bc8e7fa6b2</t>
        </is>
      </c>
      <c r="D51" s="5" t="inlineStr">
        <is>
          <t>01a152b9-6e67-75da-8adb-b03e5d07fd21</t>
        </is>
      </c>
      <c r="E51" s="4" t="n">
        <v>46314.24603351213</v>
      </c>
      <c r="F51" s="4" t="n">
        <v>46314.24603351223</v>
      </c>
      <c r="G51" t="b">
        <v>1</v>
      </c>
      <c r="H51" s="3" t="inlineStr">
        <is>
          <t>Added fraction 0.1010263275323516287371709058 of cost base adjustment 01a152b9-9837-7595-b9ad-b59b29e2f41a | 2017-06-30 | Adjustment of VGS | Cost base increase = A$0.00</t>
        </is>
      </c>
      <c r="I51" t="inlineStr">
        <is>
          <t>cost base adjustment allocation</t>
        </is>
      </c>
      <c r="J51" s="5" t="inlineStr">
        <is>
          <t>01a152b9-9848-74c4-9ff5-7a6cd4ae654f</t>
        </is>
      </c>
    </row>
    <row r="52">
      <c r="A52" s="5" t="inlineStr">
        <is>
          <t>01a152b9-9857-731c-bd4d-58a1dc6af6ba</t>
        </is>
      </c>
      <c r="D52" s="5" t="inlineStr">
        <is>
          <t>01a152b9-6e67-75da-8adb-b03e5d07fd21</t>
        </is>
      </c>
      <c r="E52" s="4" t="n">
        <v>46314.2460336078</v>
      </c>
      <c r="F52" s="4" t="n">
        <v>46314.24603360792</v>
      </c>
      <c r="G52" t="b">
        <v>1</v>
      </c>
      <c r="H52" s="3" t="inlineStr">
        <is>
          <t>Added fraction 0.1302989736724676483712628291 of cost base adjustment 01a152b9-9837-7595-b9ad-b59b29e2f41a | 2017-06-30 | Adjustment of VGS | Cost base increase = A$0.00</t>
        </is>
      </c>
      <c r="I52" t="inlineStr">
        <is>
          <t>cost base adjustment allocation</t>
        </is>
      </c>
      <c r="J52" s="5" t="inlineStr">
        <is>
          <t>01a152b9-9850-7514-b535-ec928d2f4e6d</t>
        </is>
      </c>
    </row>
    <row r="53">
      <c r="A53" s="5" t="inlineStr">
        <is>
          <t>01a152b9-985f-7208-b1b5-ac6a5a44fb4a</t>
        </is>
      </c>
      <c r="D53" s="5" t="inlineStr">
        <is>
          <t>01a152b9-6e67-75da-8adb-b03e5d07fd21</t>
        </is>
      </c>
      <c r="E53" s="4" t="n">
        <v>46314.24603369871</v>
      </c>
      <c r="F53" s="4" t="n">
        <v>46314.24603369881</v>
      </c>
      <c r="G53" t="b">
        <v>1</v>
      </c>
      <c r="H53" s="3" t="inlineStr">
        <is>
          <t>Added fraction 0.1302989736724676483712628291 of cost base adjustment 01a152b9-9837-7595-b9ad-b59b29e2f41a | 2017-06-30 | Adjustment of VGS | Cost base increase = A$0.00</t>
        </is>
      </c>
      <c r="I53" t="inlineStr">
        <is>
          <t>cost base adjustment allocation</t>
        </is>
      </c>
      <c r="J53" s="5" t="inlineStr">
        <is>
          <t>01a152b9-9858-7231-bc35-b820c0117587</t>
        </is>
      </c>
    </row>
    <row r="54">
      <c r="A54" s="5" t="inlineStr">
        <is>
          <t>01a152b9-9868-7277-8840-382338f98f28</t>
        </is>
      </c>
      <c r="D54" s="5" t="inlineStr">
        <is>
          <t>01a152b9-6e67-75da-8adb-b03e5d07fd21</t>
        </is>
      </c>
      <c r="E54" s="4" t="n">
        <v>46314.24603380371</v>
      </c>
      <c r="F54" s="4" t="n">
        <v>46314.24603380383</v>
      </c>
      <c r="G54" t="b">
        <v>1</v>
      </c>
      <c r="H54" s="3" t="inlineStr">
        <is>
          <t>Added fraction 0.1628737170905845604640785364 of cost base adjustment 01a152b9-9837-7595-b9ad-b59b29e2f41a | 2017-06-30 | Adjustment of VGS | Cost base increase = A$0.00</t>
        </is>
      </c>
      <c r="I54" t="inlineStr">
        <is>
          <t>cost base adjustment allocation</t>
        </is>
      </c>
      <c r="J54" s="5" t="inlineStr">
        <is>
          <t>01a152b9-9860-70c7-8f7a-cb6aaea8f7d3</t>
        </is>
      </c>
    </row>
    <row r="55">
      <c r="A55" s="5" t="inlineStr">
        <is>
          <t>01a152b9-9870-7259-b7c7-4e34cfc49053</t>
        </is>
      </c>
      <c r="D55" s="5" t="inlineStr">
        <is>
          <t>01a152b9-6e67-75da-8adb-b03e5d07fd21</t>
        </is>
      </c>
      <c r="E55" s="4" t="n">
        <v>46314.24603390163</v>
      </c>
      <c r="F55" s="4" t="n">
        <v>46314.24603390177</v>
      </c>
      <c r="G55" t="b">
        <v>1</v>
      </c>
      <c r="H55" s="3" t="inlineStr">
        <is>
          <t>Added fraction 0.1628737170905845604640785364 of cost base adjustment 01a152b9-9837-7595-b9ad-b59b29e2f41a | 2017-06-30 | Adjustment of VGS | Cost base increase = A$0.00</t>
        </is>
      </c>
      <c r="I55" t="inlineStr">
        <is>
          <t>cost base adjustment allocation</t>
        </is>
      </c>
      <c r="J55" s="5" t="inlineStr">
        <is>
          <t>01a152b9-9869-71ea-901f-c86eb74d6c32</t>
        </is>
      </c>
    </row>
    <row r="56">
      <c r="A56" s="5" t="inlineStr">
        <is>
          <t>01a152b9-9878-7258-9a44-548835b12768</t>
        </is>
      </c>
      <c r="D56" s="5" t="inlineStr">
        <is>
          <t>01a152b9-6e67-75da-8adb-b03e5d07fd21</t>
        </is>
      </c>
      <c r="E56" s="4" t="n">
        <v>46314.2460339879</v>
      </c>
      <c r="F56" s="4" t="n">
        <v>46314.24603398802</v>
      </c>
      <c r="G56" t="b">
        <v>1</v>
      </c>
      <c r="H56" s="3" t="inlineStr">
        <is>
          <t>residual of cost base adjustment 01a152b9-9837-7595-b9ad-b59b29e2f41a | 2017-06-30 | Adjustment of VGS | Cost base increase = A$0.00</t>
        </is>
      </c>
      <c r="I56" t="inlineStr">
        <is>
          <t>cost base adjustment allocation</t>
        </is>
      </c>
      <c r="J56" s="5" t="inlineStr">
        <is>
          <t>01a152b9-9871-71b3-ba94-5395d75aca1a</t>
        </is>
      </c>
    </row>
    <row r="57">
      <c r="A57" s="5" t="inlineStr">
        <is>
          <t>01a152b9-98b0-75e5-9e27-99eb2a89a71f</t>
        </is>
      </c>
      <c r="D57" s="5" t="inlineStr">
        <is>
          <t>01a152b9-6e67-75da-8adb-b03e5d07fd21</t>
        </is>
      </c>
      <c r="E57" s="4" t="n">
        <v>46314.24603463235</v>
      </c>
      <c r="F57" s="4" t="n">
        <v>46314.24603463245</v>
      </c>
      <c r="G57" t="b">
        <v>1</v>
      </c>
      <c r="H57" s="3" t="inlineStr">
        <is>
          <t>Added fraction 0.4445399828030954428202923474 of cost base adjustment 01a152b9-98a5-722c-9576-bc9ba80bf48c | 2018-06-30 | Adjustment of VDHG | Cost base increase = -A$13.98</t>
        </is>
      </c>
      <c r="I57" t="inlineStr">
        <is>
          <t>cost base adjustment allocation</t>
        </is>
      </c>
      <c r="J57" s="5" t="inlineStr">
        <is>
          <t>01a152b9-98a8-777c-b6b8-b6d5f265819c</t>
        </is>
      </c>
    </row>
    <row r="58">
      <c r="A58" s="5" t="inlineStr">
        <is>
          <t>01a152b9-98b7-736d-a94e-4508ffcdd039</t>
        </is>
      </c>
      <c r="D58" s="5" t="inlineStr">
        <is>
          <t>01a152b9-6e67-75da-8adb-b03e5d07fd21</t>
        </is>
      </c>
      <c r="E58" s="4" t="n">
        <v>46314.2460347189</v>
      </c>
      <c r="F58" s="4" t="n">
        <v>46314.24603471901</v>
      </c>
      <c r="G58" t="b">
        <v>1</v>
      </c>
      <c r="H58" s="3" t="inlineStr">
        <is>
          <t>residual of cost base adjustment 01a152b9-98a5-722c-9576-bc9ba80bf48c | 2018-06-30 | Adjustment of VDHG | Cost base increase = -A$13.98</t>
        </is>
      </c>
      <c r="I58" t="inlineStr">
        <is>
          <t>cost base adjustment allocation</t>
        </is>
      </c>
      <c r="J58" s="5" t="inlineStr">
        <is>
          <t>01a152b9-98b1-7220-a56e-28bad0bb5096</t>
        </is>
      </c>
    </row>
    <row r="59">
      <c r="A59" s="5" t="inlineStr">
        <is>
          <t>01a152b9-98cf-7507-b60e-63a1b6e74b1b</t>
        </is>
      </c>
      <c r="D59" s="5" t="inlineStr">
        <is>
          <t>01a152b9-6e67-75da-8adb-b03e5d07fd21</t>
        </is>
      </c>
      <c r="E59" s="4" t="n">
        <v>46314.24603500103</v>
      </c>
      <c r="F59" s="4" t="n">
        <v>46314.24603500112</v>
      </c>
      <c r="G59" t="b">
        <v>1</v>
      </c>
      <c r="H59" s="3" t="inlineStr">
        <is>
          <t>Added fraction 0.004245521790957038585261507813 of cost base adjustment 01a152b9-98c7-7451-b1c6-7b522f661c4c | 2018-06-30 | Adjustment of VGS | Cost base increase = A$220.00</t>
        </is>
      </c>
      <c r="I59" t="inlineStr">
        <is>
          <t>cost base adjustment allocation</t>
        </is>
      </c>
      <c r="J59" s="5" t="inlineStr">
        <is>
          <t>01a152b9-98ca-7076-acd5-d7403716a83f</t>
        </is>
      </c>
    </row>
    <row r="60">
      <c r="A60" s="5" t="inlineStr">
        <is>
          <t>01a152b9-98d7-7045-88e3-8e013f3b9856</t>
        </is>
      </c>
      <c r="D60" s="5" t="inlineStr">
        <is>
          <t>01a152b9-6e67-75da-8adb-b03e5d07fd21</t>
        </is>
      </c>
      <c r="E60" s="4" t="n">
        <v>46314.24603508245</v>
      </c>
      <c r="F60" s="4" t="n">
        <v>46314.24603508255</v>
      </c>
      <c r="G60" t="b">
        <v>1</v>
      </c>
      <c r="H60" s="3" t="inlineStr">
        <is>
          <t>Added fraction 0.01234467105370585065560653810 of cost base adjustment 01a152b9-98c7-7451-b1c6-7b522f661c4c | 2018-06-30 | Adjustment of VGS | Cost base increase = A$220.00</t>
        </is>
      </c>
      <c r="I60" t="inlineStr">
        <is>
          <t>cost base adjustment allocation</t>
        </is>
      </c>
      <c r="J60" s="5" t="inlineStr">
        <is>
          <t>01a152b9-98d1-737b-a1ef-4123769c4652</t>
        </is>
      </c>
    </row>
    <row r="61">
      <c r="A61" s="5" t="inlineStr">
        <is>
          <t>01a152b9-98de-7571-9372-72d5d787a210</t>
        </is>
      </c>
      <c r="D61" s="5" t="inlineStr">
        <is>
          <t>01a152b9-6e67-75da-8adb-b03e5d07fd21</t>
        </is>
      </c>
      <c r="E61" s="4" t="n">
        <v>46314.24603516565</v>
      </c>
      <c r="F61" s="4" t="n">
        <v>46314.24603516574</v>
      </c>
      <c r="G61" t="b">
        <v>1</v>
      </c>
      <c r="H61" s="3" t="inlineStr">
        <is>
          <t>Added fraction 0.05960059437305073398540193661 of cost base adjustment 01a152b9-98c7-7451-b1c6-7b522f661c4c | 2018-06-30 | Adjustment of VGS | Cost base increase = A$220.00</t>
        </is>
      </c>
      <c r="I61" t="inlineStr">
        <is>
          <t>cost base adjustment allocation</t>
        </is>
      </c>
      <c r="J61" s="5" t="inlineStr">
        <is>
          <t>01a152b9-98d7-7045-88e3-8e0207504971</t>
        </is>
      </c>
    </row>
    <row r="62">
      <c r="A62" s="5" t="inlineStr">
        <is>
          <t>01a152b9-98e6-7751-8fc6-692116039f89</t>
        </is>
      </c>
      <c r="D62" s="5" t="inlineStr">
        <is>
          <t>01a152b9-6e67-75da-8adb-b03e5d07fd21</t>
        </is>
      </c>
      <c r="E62" s="4" t="n">
        <v>46314.24603526095</v>
      </c>
      <c r="F62" s="4" t="n">
        <v>46314.24603526108</v>
      </c>
      <c r="G62" t="b">
        <v>1</v>
      </c>
      <c r="H62" s="3" t="inlineStr">
        <is>
          <t>Added fraction 0.1192011887461014679708038732 of cost base adjustment 01a152b9-98c7-7451-b1c6-7b522f661c4c | 2018-06-30 | Adjustment of VGS | Cost base increase = A$220.00</t>
        </is>
      </c>
      <c r="I62" t="inlineStr">
        <is>
          <t>cost base adjustment allocation</t>
        </is>
      </c>
      <c r="J62" s="5" t="inlineStr">
        <is>
          <t>01a152b9-98df-768e-be83-2001ff2063be</t>
        </is>
      </c>
    </row>
    <row r="63">
      <c r="A63" s="5" t="inlineStr">
        <is>
          <t>01a152b9-98f0-77e5-bd6f-3ee322468b01</t>
        </is>
      </c>
      <c r="D63" s="5" t="inlineStr">
        <is>
          <t>01a152b9-6e67-75da-8adb-b03e5d07fd21</t>
        </is>
      </c>
      <c r="E63" s="4" t="n">
        <v>46314.24603537643</v>
      </c>
      <c r="F63" s="4" t="n">
        <v>46314.24603537656</v>
      </c>
      <c r="G63" t="b">
        <v>1</v>
      </c>
      <c r="H63" s="3" t="inlineStr">
        <is>
          <t>Added fraction 0.1192011887461014679708038732 of cost base adjustment 01a152b9-98c7-7451-b1c6-7b522f661c4c | 2018-06-30 | Adjustment of VGS | Cost base increase = A$220.00</t>
        </is>
      </c>
      <c r="I63" t="inlineStr">
        <is>
          <t>cost base adjustment allocation</t>
        </is>
      </c>
      <c r="J63" s="5" t="inlineStr">
        <is>
          <t>01a152b9-98e7-76b0-beba-83e3ca822526</t>
        </is>
      </c>
    </row>
    <row r="64">
      <c r="A64" s="5" t="inlineStr">
        <is>
          <t>01a152b9-98fa-7630-a3e3-14f3278e3d1d</t>
        </is>
      </c>
      <c r="D64" s="5" t="inlineStr">
        <is>
          <t>01a152b9-6e67-75da-8adb-b03e5d07fd21</t>
        </is>
      </c>
      <c r="E64" s="4" t="n">
        <v>46314.24603549895</v>
      </c>
      <c r="F64" s="4" t="n">
        <v>46314.24603549906</v>
      </c>
      <c r="G64" t="b">
        <v>1</v>
      </c>
      <c r="H64" s="3" t="inlineStr">
        <is>
          <t>Added fraction 0.1192011887461014679708038732 of cost base adjustment 01a152b9-98c7-7451-b1c6-7b522f661c4c | 2018-06-30 | Adjustment of VGS | Cost base increase = A$220.00</t>
        </is>
      </c>
      <c r="I64" t="inlineStr">
        <is>
          <t>cost base adjustment allocation</t>
        </is>
      </c>
      <c r="J64" s="5" t="inlineStr">
        <is>
          <t>01a152b9-98f1-754a-acc2-02d307e0757a</t>
        </is>
      </c>
    </row>
    <row r="65">
      <c r="A65" s="5" t="inlineStr">
        <is>
          <t>01a152b9-9906-768b-99c4-668485225edd</t>
        </is>
      </c>
      <c r="D65" s="5" t="inlineStr">
        <is>
          <t>01a152b9-6e67-75da-8adb-b03e5d07fd21</t>
        </is>
      </c>
      <c r="E65" s="4" t="n">
        <v>46314.24603562815</v>
      </c>
      <c r="F65" s="4" t="n">
        <v>46314.24603562831</v>
      </c>
      <c r="G65" t="b">
        <v>1</v>
      </c>
      <c r="H65" s="3" t="inlineStr">
        <is>
          <t>Added fraction 0.1192011887461014679708038732 of cost base adjustment 01a152b9-98c7-7451-b1c6-7b522f661c4c | 2018-06-30 | Adjustment of VGS | Cost base increase = A$220.00</t>
        </is>
      </c>
      <c r="I65" t="inlineStr">
        <is>
          <t>cost base adjustment allocation</t>
        </is>
      </c>
      <c r="J65" s="5" t="inlineStr">
        <is>
          <t>01a152b9-98fc-7404-b34e-873268d5728f</t>
        </is>
      </c>
    </row>
    <row r="66">
      <c r="A66" s="5" t="inlineStr">
        <is>
          <t>01a152b9-9910-71e9-92e0-0af257de7ce2</t>
        </is>
      </c>
      <c r="D66" s="5" t="inlineStr">
        <is>
          <t>01a152b9-6e67-75da-8adb-b03e5d07fd21</t>
        </is>
      </c>
      <c r="E66" s="4" t="n">
        <v>46314.24603574663</v>
      </c>
      <c r="F66" s="4" t="n">
        <v>46314.24603574676</v>
      </c>
      <c r="G66" t="b">
        <v>1</v>
      </c>
      <c r="H66" s="3" t="inlineStr">
        <is>
          <t>Added fraction 0.1490014859326268349635048415 of cost base adjustment 01a152b9-98c7-7451-b1c6-7b522f661c4c | 2018-06-30 | Adjustment of VGS | Cost base increase = A$220.00</t>
        </is>
      </c>
      <c r="I66" t="inlineStr">
        <is>
          <t>cost base adjustment allocation</t>
        </is>
      </c>
      <c r="J66" s="5" t="inlineStr">
        <is>
          <t>01a152b9-9907-7615-b3a1-7b82194293a2</t>
        </is>
      </c>
    </row>
    <row r="67">
      <c r="A67" s="5" t="inlineStr">
        <is>
          <t>01a152b9-991a-7203-9ac1-8f30727b9484</t>
        </is>
      </c>
      <c r="D67" s="5" t="inlineStr">
        <is>
          <t>01a152b9-6e67-75da-8adb-b03e5d07fd21</t>
        </is>
      </c>
      <c r="E67" s="4" t="n">
        <v>46314.2460358657</v>
      </c>
      <c r="F67" s="4" t="n">
        <v>46314.24603586586</v>
      </c>
      <c r="G67" t="b">
        <v>1</v>
      </c>
      <c r="H67" s="3" t="inlineStr">
        <is>
          <t>Added fraction 0.1490014859326268349635048415 of cost base adjustment 01a152b9-98c7-7451-b1c6-7b522f661c4c | 2018-06-30 | Adjustment of VGS | Cost base increase = A$220.00</t>
        </is>
      </c>
      <c r="I67" t="inlineStr">
        <is>
          <t>cost base adjustment allocation</t>
        </is>
      </c>
      <c r="J67" s="5" t="inlineStr">
        <is>
          <t>01a152b9-9911-77c8-9399-c997b2323817</t>
        </is>
      </c>
    </row>
    <row r="68">
      <c r="A68" s="5" t="inlineStr">
        <is>
          <t>01a152b9-9923-7414-8f8a-3162bceece45</t>
        </is>
      </c>
      <c r="D68" s="5" t="inlineStr">
        <is>
          <t>01a152b9-6e67-75da-8adb-b03e5d07fd21</t>
        </is>
      </c>
      <c r="E68" s="4" t="n">
        <v>46314.24603596751</v>
      </c>
      <c r="F68" s="4" t="n">
        <v>46314.24603596764</v>
      </c>
      <c r="G68" t="b">
        <v>1</v>
      </c>
      <c r="H68" s="3" t="inlineStr">
        <is>
          <t>residual of cost base adjustment 01a152b9-98c7-7451-b1c6-7b522f661c4c | 2018-06-30 | Adjustment of VGS | Cost base increase = A$220.00</t>
        </is>
      </c>
      <c r="I68" t="inlineStr">
        <is>
          <t>cost base adjustment allocation</t>
        </is>
      </c>
      <c r="J68" s="5" t="inlineStr">
        <is>
          <t>01a152b9-991b-7630-8694-2bc5a93d665d</t>
        </is>
      </c>
    </row>
    <row r="69">
      <c r="A69" s="5" t="inlineStr">
        <is>
          <t>01a152b9-9977-774f-a08f-188f170a9933</t>
        </is>
      </c>
      <c r="D69" s="5" t="inlineStr">
        <is>
          <t>01a152b9-6e67-75da-8adb-b03e5d07fd21</t>
        </is>
      </c>
      <c r="E69" s="4" t="n">
        <v>46314.24603693739</v>
      </c>
      <c r="F69" s="4" t="n">
        <v>46314.24603693753</v>
      </c>
      <c r="G69" t="b">
        <v>1</v>
      </c>
      <c r="H69" s="3" t="inlineStr">
        <is>
          <t>Added fraction 0.1566425340633795913794793519 of cost base adjustment 01a152b9-996b-779d-b475-4aefe0dc0b68 | 2019-06-30 | Adjustment of VDHG | Cost base increase = A$161.56</t>
        </is>
      </c>
      <c r="I69" t="inlineStr">
        <is>
          <t>cost base adjustment allocation</t>
        </is>
      </c>
      <c r="J69" s="5" t="inlineStr">
        <is>
          <t>01a152b9-996e-71f9-a8c9-948910b41ff9</t>
        </is>
      </c>
    </row>
    <row r="70">
      <c r="A70" s="5" t="inlineStr">
        <is>
          <t>01a152b9-9980-74c2-b653-c53ee07415a8</t>
        </is>
      </c>
      <c r="D70" s="5" t="inlineStr">
        <is>
          <t>01a152b9-6e67-75da-8adb-b03e5d07fd21</t>
        </is>
      </c>
      <c r="E70" s="4" t="n">
        <v>46314.24603704578</v>
      </c>
      <c r="F70" s="4" t="n">
        <v>46314.24603704589</v>
      </c>
      <c r="G70" t="b">
        <v>1</v>
      </c>
      <c r="H70" s="3" t="inlineStr">
        <is>
          <t>Added fraction 0.3092310708434274831608575710 of cost base adjustment 01a152b9-996b-779d-b475-4aefe0dc0b68 | 2019-06-30 | Adjustment of VDHG | Cost base increase = A$161.56</t>
        </is>
      </c>
      <c r="I70" t="inlineStr">
        <is>
          <t>cost base adjustment allocation</t>
        </is>
      </c>
      <c r="J70" s="5" t="inlineStr">
        <is>
          <t>01a152b9-9978-750a-b4bc-371ea635ed0a</t>
        </is>
      </c>
    </row>
    <row r="71">
      <c r="A71" s="5" t="inlineStr">
        <is>
          <t>01a152b9-998a-77fc-911c-5503e2299484</t>
        </is>
      </c>
      <c r="D71" s="5" t="inlineStr">
        <is>
          <t>01a152b9-6e67-75da-8adb-b03e5d07fd21</t>
        </is>
      </c>
      <c r="E71" s="4" t="n">
        <v>46314.24603716261</v>
      </c>
      <c r="F71" s="4" t="n">
        <v>46314.24603716275</v>
      </c>
      <c r="G71" t="b">
        <v>1</v>
      </c>
      <c r="H71" s="3" t="inlineStr">
        <is>
          <t>residual of cost base adjustment 01a152b9-996b-779d-b475-4aefe0dc0b68 | 2019-06-30 | Adjustment of VDHG | Cost base increase = A$161.56</t>
        </is>
      </c>
      <c r="I71" t="inlineStr">
        <is>
          <t>cost base adjustment allocation</t>
        </is>
      </c>
      <c r="J71" s="5" t="inlineStr">
        <is>
          <t>01a152b9-9981-72fe-82ac-446035a6b26a</t>
        </is>
      </c>
    </row>
    <row r="72">
      <c r="A72" s="5" t="inlineStr">
        <is>
          <t>01a152b9-99b0-778c-94f1-9eedd2ff205d</t>
        </is>
      </c>
      <c r="D72" s="5" t="inlineStr">
        <is>
          <t>01a152b9-6e67-75da-8adb-b03e5d07fd21</t>
        </is>
      </c>
      <c r="E72" s="4" t="n">
        <v>46314.24603759786</v>
      </c>
      <c r="F72" s="4" t="n">
        <v>46314.24603759799</v>
      </c>
      <c r="G72" t="b">
        <v>1</v>
      </c>
      <c r="H72" s="3" t="inlineStr">
        <is>
          <t>Added fraction 0.004510231989060288366960151621 of cost base adjustment 01a152b9-99a3-77e1-9abd-d06d6272f053 | 2019-06-30 | Adjustment of VGS | Cost base increase = A$100.00</t>
        </is>
      </c>
      <c r="I72" t="inlineStr">
        <is>
          <t>cost base adjustment allocation</t>
        </is>
      </c>
      <c r="J72" s="5" t="inlineStr">
        <is>
          <t>01a152b9-99a7-77e6-ad81-b7f379518232</t>
        </is>
      </c>
    </row>
    <row r="73">
      <c r="A73" s="5" t="inlineStr">
        <is>
          <t>01a152b9-99b8-76c2-adb0-60f13c24e843</t>
        </is>
      </c>
      <c r="D73" s="5" t="inlineStr">
        <is>
          <t>01a152b9-6e67-75da-8adb-b03e5d07fd21</t>
        </is>
      </c>
      <c r="E73" s="4" t="n">
        <v>46314.24603769027</v>
      </c>
      <c r="F73" s="4" t="n">
        <v>46314.24603769036</v>
      </c>
      <c r="G73" t="b">
        <v>1</v>
      </c>
      <c r="H73" s="3" t="inlineStr">
        <is>
          <t>Added fraction 0.006717366792217450759302353477 of cost base adjustment 01a152b9-99a3-77e1-9abd-d06d6272f053 | 2019-06-30 | Adjustment of VGS | Cost base increase = A$100.00</t>
        </is>
      </c>
      <c r="I73" t="inlineStr">
        <is>
          <t>cost base adjustment allocation</t>
        </is>
      </c>
      <c r="J73" s="5" t="inlineStr">
        <is>
          <t>01a152b9-99b1-748a-84d9-cf8e87e583ce</t>
        </is>
      </c>
    </row>
    <row r="74">
      <c r="A74" s="5" t="inlineStr">
        <is>
          <t>01a152b9-99bf-7246-835f-edeb028ac9d9</t>
        </is>
      </c>
      <c r="D74" s="5" t="inlineStr">
        <is>
          <t>01a152b9-6e67-75da-8adb-b03e5d07fd21</t>
        </is>
      </c>
      <c r="E74" s="4" t="n">
        <v>46314.24603776972</v>
      </c>
      <c r="F74" s="4" t="n">
        <v>46314.24603776982</v>
      </c>
      <c r="G74" t="b">
        <v>1</v>
      </c>
      <c r="H74" s="3" t="inlineStr">
        <is>
          <t>Added fraction 0.009536261785380130988652448240 of cost base adjustment 01a152b9-99a3-77e1-9abd-d06d6272f053 | 2019-06-30 | Adjustment of VGS | Cost base increase = A$100.00</t>
        </is>
      </c>
      <c r="I74" t="inlineStr">
        <is>
          <t>cost base adjustment allocation</t>
        </is>
      </c>
      <c r="J74" s="5" t="inlineStr">
        <is>
          <t>01a152b9-99b9-75ff-8605-f8cabfad6f76</t>
        </is>
      </c>
    </row>
    <row r="75">
      <c r="A75" s="5" t="inlineStr">
        <is>
          <t>01a152b9-99c6-7787-bd91-9533da060138</t>
        </is>
      </c>
      <c r="D75" s="5" t="inlineStr">
        <is>
          <t>01a152b9-6e67-75da-8adb-b03e5d07fd21</t>
        </is>
      </c>
      <c r="E75" s="4" t="n">
        <v>46314.24603785156</v>
      </c>
      <c r="F75" s="4" t="n">
        <v>46314.24603785166</v>
      </c>
      <c r="G75" t="b">
        <v>1</v>
      </c>
      <c r="H75" s="3" t="inlineStr">
        <is>
          <t>Added fraction 0.01259506273540772017369191277 of cost base adjustment 01a152b9-99a3-77e1-9abd-d06d6272f053 | 2019-06-30 | Adjustment of VGS | Cost base increase = A$100.00</t>
        </is>
      </c>
      <c r="I75" t="inlineStr">
        <is>
          <t>cost base adjustment allocation</t>
        </is>
      </c>
      <c r="J75" s="5" t="inlineStr">
        <is>
          <t>01a152b9-99c0-7289-94cc-df43be21e6d0</t>
        </is>
      </c>
    </row>
    <row r="76">
      <c r="A76" s="5" t="inlineStr">
        <is>
          <t>01a152b9-99cd-7656-bb7c-39d704e714db</t>
        </is>
      </c>
      <c r="D76" s="5" t="inlineStr">
        <is>
          <t>01a152b9-6e67-75da-8adb-b03e5d07fd21</t>
        </is>
      </c>
      <c r="E76" s="4" t="n">
        <v>46314.24603793501</v>
      </c>
      <c r="F76" s="4" t="n">
        <v>46314.24603793514</v>
      </c>
      <c r="G76" t="b">
        <v>1</v>
      </c>
      <c r="H76" s="3" t="inlineStr">
        <is>
          <t>Added fraction 0.03586594055130388887556078017 of cost base adjustment 01a152b9-99a3-77e1-9abd-d06d6272f053 | 2019-06-30 | Adjustment of VGS | Cost base increase = A$100.00</t>
        </is>
      </c>
      <c r="I76" t="inlineStr">
        <is>
          <t>cost base adjustment allocation</t>
        </is>
      </c>
      <c r="J76" s="5" t="inlineStr">
        <is>
          <t>01a152b9-99c7-7371-bfd1-16c9cf13f897</t>
        </is>
      </c>
    </row>
    <row r="77">
      <c r="A77" s="5" t="inlineStr">
        <is>
          <t>01a152b9-99d5-76ec-822c-4c86bd4ef3c0</t>
        </is>
      </c>
      <c r="D77" s="5" t="inlineStr">
        <is>
          <t>01a152b9-6e67-75da-8adb-b03e5d07fd21</t>
        </is>
      </c>
      <c r="E77" s="4" t="n">
        <v>46314.24603802447</v>
      </c>
      <c r="F77" s="4" t="n">
        <v>46314.24603802456</v>
      </c>
      <c r="G77" t="b">
        <v>1</v>
      </c>
      <c r="H77" s="3" t="inlineStr">
        <is>
          <t>Added fraction 0.04198354245135906724563970923 of cost base adjustment 01a152b9-99a3-77e1-9abd-d06d6272f053 | 2019-06-30 | Adjustment of VGS | Cost base increase = A$100.00</t>
        </is>
      </c>
      <c r="I77" t="inlineStr">
        <is>
          <t>cost base adjustment allocation</t>
        </is>
      </c>
      <c r="J77" s="5" t="inlineStr">
        <is>
          <t>01a152b9-99ce-704f-a90b-cfbd8c03324b</t>
        </is>
      </c>
    </row>
    <row r="78">
      <c r="A78" s="5" t="inlineStr">
        <is>
          <t>01a152b9-99dc-7781-ae21-7b7bfa64fd47</t>
        </is>
      </c>
      <c r="D78" s="5" t="inlineStr">
        <is>
          <t>01a152b9-6e67-75da-8adb-b03e5d07fd21</t>
        </is>
      </c>
      <c r="E78" s="4" t="n">
        <v>46314.24603810503</v>
      </c>
      <c r="F78" s="4" t="n">
        <v>46314.24603810511</v>
      </c>
      <c r="G78" t="b">
        <v>1</v>
      </c>
      <c r="H78" s="3" t="inlineStr">
        <is>
          <t>Added fraction 0.04378283712784588441330998249 of cost base adjustment 01a152b9-99a3-77e1-9abd-d06d6272f053 | 2019-06-30 | Adjustment of VGS | Cost base increase = A$100.00</t>
        </is>
      </c>
      <c r="I78" t="inlineStr">
        <is>
          <t>cost base adjustment allocation</t>
        </is>
      </c>
      <c r="J78" s="5" t="inlineStr">
        <is>
          <t>01a152b9-99d6-70d4-8aed-c4e9b820934e</t>
        </is>
      </c>
    </row>
    <row r="79">
      <c r="A79" s="5" t="inlineStr">
        <is>
          <t>01a152b9-99e3-74ad-b1f2-9701d56c551a</t>
        </is>
      </c>
      <c r="D79" s="5" t="inlineStr">
        <is>
          <t>01a152b9-6e67-75da-8adb-b03e5d07fd21</t>
        </is>
      </c>
      <c r="E79" s="4" t="n">
        <v>46314.24603818601</v>
      </c>
      <c r="F79" s="4" t="n">
        <v>46314.24603818612</v>
      </c>
      <c r="G79" t="b">
        <v>1</v>
      </c>
      <c r="H79" s="3" t="inlineStr">
        <is>
          <t>Added fraction 0.07880910683012259194395796848 of cost base adjustment 01a152b9-99a3-77e1-9abd-d06d6272f053 | 2019-06-30 | Adjustment of VGS | Cost base increase = A$100.00</t>
        </is>
      </c>
      <c r="I79" t="inlineStr">
        <is>
          <t>cost base adjustment allocation</t>
        </is>
      </c>
      <c r="J79" s="5" t="inlineStr">
        <is>
          <t>01a152b9-99dd-73b1-806b-8cad843c69be</t>
        </is>
      </c>
    </row>
    <row r="80">
      <c r="A80" s="5" t="inlineStr">
        <is>
          <t>01a152b9-99eb-7602-9849-01ae18c23d09</t>
        </is>
      </c>
      <c r="D80" s="5" t="inlineStr">
        <is>
          <t>01a152b9-6e67-75da-8adb-b03e5d07fd21</t>
        </is>
      </c>
      <c r="E80" s="4" t="n">
        <v>46314.24603827782</v>
      </c>
      <c r="F80" s="4" t="n">
        <v>46314.24603827793</v>
      </c>
      <c r="G80" t="b">
        <v>1</v>
      </c>
      <c r="H80" s="3" t="inlineStr">
        <is>
          <t>Added fraction 0.08756567425569176882661996497 of cost base adjustment 01a152b9-99a3-77e1-9abd-d06d6272f053 | 2019-06-30 | Adjustment of VGS | Cost base increase = A$100.00</t>
        </is>
      </c>
      <c r="I80" t="inlineStr">
        <is>
          <t>cost base adjustment allocation</t>
        </is>
      </c>
      <c r="J80" s="5" t="inlineStr">
        <is>
          <t>01a152b9-99e4-70ef-8184-92159bcb22a7</t>
        </is>
      </c>
    </row>
    <row r="81">
      <c r="A81" s="5" t="inlineStr">
        <is>
          <t>01a152b9-99f3-77da-be1a-fc07d07f4858</t>
        </is>
      </c>
      <c r="D81" s="5" t="inlineStr">
        <is>
          <t>01a152b9-6e67-75da-8adb-b03e5d07fd21</t>
        </is>
      </c>
      <c r="E81" s="4" t="n">
        <v>46314.24603837566</v>
      </c>
      <c r="F81" s="4" t="n">
        <v>46314.24603837576</v>
      </c>
      <c r="G81" t="b">
        <v>1</v>
      </c>
      <c r="H81" s="3" t="inlineStr">
        <is>
          <t>Added fraction 0.08756567425569176882661996497 of cost base adjustment 01a152b9-99a3-77e1-9abd-d06d6272f053 | 2019-06-30 | Adjustment of VGS | Cost base increase = A$100.00</t>
        </is>
      </c>
      <c r="I81" t="inlineStr">
        <is>
          <t>cost base adjustment allocation</t>
        </is>
      </c>
      <c r="J81" s="5" t="inlineStr">
        <is>
          <t>01a152b9-99ec-706e-b5c6-b604ec577cb1</t>
        </is>
      </c>
    </row>
    <row r="82">
      <c r="A82" s="5" t="inlineStr">
        <is>
          <t>01a152b9-99fb-713f-b7d3-e193da591b31</t>
        </is>
      </c>
      <c r="D82" s="5" t="inlineStr">
        <is>
          <t>01a152b9-6e67-75da-8adb-b03e5d07fd21</t>
        </is>
      </c>
      <c r="E82" s="4" t="n">
        <v>46314.2460384704</v>
      </c>
      <c r="F82" s="4" t="n">
        <v>46314.24603847051</v>
      </c>
      <c r="G82" t="b">
        <v>1</v>
      </c>
      <c r="H82" s="3" t="inlineStr">
        <is>
          <t>Added fraction 0.08756567425569176882661996497 of cost base adjustment 01a152b9-99a3-77e1-9abd-d06d6272f053 | 2019-06-30 | Adjustment of VGS | Cost base increase = A$100.00</t>
        </is>
      </c>
      <c r="I82" t="inlineStr">
        <is>
          <t>cost base adjustment allocation</t>
        </is>
      </c>
      <c r="J82" s="5" t="inlineStr">
        <is>
          <t>01a152b9-99f4-77b9-9080-7a67d46a55cf</t>
        </is>
      </c>
    </row>
    <row r="83">
      <c r="A83" s="5" t="inlineStr">
        <is>
          <t>01a152b9-9a03-7087-9132-6d48039b7748</t>
        </is>
      </c>
      <c r="D83" s="5" t="inlineStr">
        <is>
          <t>01a152b9-6e67-75da-8adb-b03e5d07fd21</t>
        </is>
      </c>
      <c r="E83" s="4" t="n">
        <v>46314.24603856012</v>
      </c>
      <c r="F83" s="4" t="n">
        <v>46314.24603856025</v>
      </c>
      <c r="G83" t="b">
        <v>1</v>
      </c>
      <c r="H83" s="3" t="inlineStr">
        <is>
          <t>Added fraction 0.08756567425569176882661996497 of cost base adjustment 01a152b9-99a3-77e1-9abd-d06d6272f053 | 2019-06-30 | Adjustment of VGS | Cost base increase = A$100.00</t>
        </is>
      </c>
      <c r="I83" t="inlineStr">
        <is>
          <t>cost base adjustment allocation</t>
        </is>
      </c>
      <c r="J83" s="5" t="inlineStr">
        <is>
          <t>01a152b9-99fc-726b-a87a-16be527283da</t>
        </is>
      </c>
    </row>
    <row r="84">
      <c r="A84" s="5" t="inlineStr">
        <is>
          <t>01a152b9-9a0b-705c-a7ff-ac23a5b0e443</t>
        </is>
      </c>
      <c r="D84" s="5" t="inlineStr">
        <is>
          <t>01a152b9-6e67-75da-8adb-b03e5d07fd21</t>
        </is>
      </c>
      <c r="E84" s="4" t="n">
        <v>46314.24603865798</v>
      </c>
      <c r="F84" s="4" t="n">
        <v>46314.24603865812</v>
      </c>
      <c r="G84" t="b">
        <v>1</v>
      </c>
      <c r="H84" s="3" t="inlineStr">
        <is>
          <t>Added fraction 0.08756567425569176882661996497 of cost base adjustment 01a152b9-99a3-77e1-9abd-d06d6272f053 | 2019-06-30 | Adjustment of VGS | Cost base increase = A$100.00</t>
        </is>
      </c>
      <c r="I84" t="inlineStr">
        <is>
          <t>cost base adjustment allocation</t>
        </is>
      </c>
      <c r="J84" s="5" t="inlineStr">
        <is>
          <t>01a152b9-9a04-7796-8bde-41e1854c730a</t>
        </is>
      </c>
    </row>
    <row r="85">
      <c r="A85" s="5" t="inlineStr">
        <is>
          <t>01a152b9-9a13-7741-a01a-3f4c6d61c535</t>
        </is>
      </c>
      <c r="D85" s="5" t="inlineStr">
        <is>
          <t>01a152b9-6e67-75da-8adb-b03e5d07fd21</t>
        </is>
      </c>
      <c r="E85" s="4" t="n">
        <v>46314.24603874779</v>
      </c>
      <c r="F85" s="4" t="n">
        <v>46314.24603874795</v>
      </c>
      <c r="G85" t="b">
        <v>1</v>
      </c>
      <c r="H85" s="3" t="inlineStr">
        <is>
          <t>Added fraction 0.1094570928196147110332749562 of cost base adjustment 01a152b9-99a3-77e1-9abd-d06d6272f053 | 2019-06-30 | Adjustment of VGS | Cost base increase = A$100.00</t>
        </is>
      </c>
      <c r="I85" t="inlineStr">
        <is>
          <t>cost base adjustment allocation</t>
        </is>
      </c>
      <c r="J85" s="5" t="inlineStr">
        <is>
          <t>01a152b9-9a0c-72d4-a0c1-c5986f0a5f63</t>
        </is>
      </c>
    </row>
    <row r="86">
      <c r="A86" s="5" t="inlineStr">
        <is>
          <t>01a152b9-9a1c-7495-a74f-fa54dbbfdded</t>
        </is>
      </c>
      <c r="D86" s="5" t="inlineStr">
        <is>
          <t>01a152b9-6e67-75da-8adb-b03e5d07fd21</t>
        </is>
      </c>
      <c r="E86" s="4" t="n">
        <v>46314.24603885179</v>
      </c>
      <c r="F86" s="4" t="n">
        <v>46314.24603885193</v>
      </c>
      <c r="G86" t="b">
        <v>1</v>
      </c>
      <c r="H86" s="3" t="inlineStr">
        <is>
          <t>Added fraction 0.1094570928196147110332749562 of cost base adjustment 01a152b9-99a3-77e1-9abd-d06d6272f053 | 2019-06-30 | Adjustment of VGS | Cost base increase = A$100.00</t>
        </is>
      </c>
      <c r="I86" t="inlineStr">
        <is>
          <t>cost base adjustment allocation</t>
        </is>
      </c>
      <c r="J86" s="5" t="inlineStr">
        <is>
          <t>01a152b9-9a14-702a-bf45-7580a5c6dcb1</t>
        </is>
      </c>
    </row>
    <row r="87">
      <c r="A87" s="5" t="inlineStr">
        <is>
          <t>01a152b9-9a23-71ef-9c7e-144776bff2d9</t>
        </is>
      </c>
      <c r="D87" s="5" t="inlineStr">
        <is>
          <t>01a152b9-6e67-75da-8adb-b03e5d07fd21</t>
        </is>
      </c>
      <c r="E87" s="4" t="n">
        <v>46314.24603893593</v>
      </c>
      <c r="F87" s="4" t="n">
        <v>46314.24603893604</v>
      </c>
      <c r="G87" t="b">
        <v>1</v>
      </c>
      <c r="H87" s="3" t="inlineStr">
        <is>
          <t>residual of cost base adjustment 01a152b9-99a3-77e1-9abd-d06d6272f053 | 2019-06-30 | Adjustment of VGS | Cost base increase = A$100.00</t>
        </is>
      </c>
      <c r="I87" t="inlineStr">
        <is>
          <t>cost base adjustment allocation</t>
        </is>
      </c>
      <c r="J87" s="5" t="inlineStr">
        <is>
          <t>01a152b9-9a1d-7631-b8fc-b8ec5255d4d3</t>
        </is>
      </c>
    </row>
    <row r="88">
      <c r="A88" s="5" t="inlineStr">
        <is>
          <t>01a152b9-9a80-706e-8cab-be3c782dfd9f</t>
        </is>
      </c>
      <c r="D88" s="5" t="inlineStr">
        <is>
          <t>01a152b9-6e67-75da-8adb-b03e5d07fd21</t>
        </is>
      </c>
      <c r="E88" s="4" t="n">
        <v>46314.24604001165</v>
      </c>
      <c r="F88" s="4" t="n">
        <v>46314.24604001181</v>
      </c>
      <c r="G88" t="b">
        <v>1</v>
      </c>
      <c r="H88" s="3" t="inlineStr">
        <is>
          <t>Added fraction 0.001582711040128919008359591948 of cost base adjustment 01a152b9-9a76-73ac-9c1a-314efbe7883a | 2020-06-30 | Adjustment of VDHG | Cost base increase = A$1,442.62</t>
        </is>
      </c>
      <c r="I88" t="inlineStr">
        <is>
          <t>cost base adjustment allocation</t>
        </is>
      </c>
      <c r="J88" s="5" t="inlineStr">
        <is>
          <t>01a152b9-9a79-74f8-afe3-358ae3765002</t>
        </is>
      </c>
    </row>
    <row r="89">
      <c r="A89" s="5" t="inlineStr">
        <is>
          <t>01a152b9-9a88-77d3-9142-3803a1a8bcdc</t>
        </is>
      </c>
      <c r="D89" s="5" t="inlineStr">
        <is>
          <t>01a152b9-6e67-75da-8adb-b03e5d07fd21</t>
        </is>
      </c>
      <c r="E89" s="4" t="n">
        <v>46314.24604010478</v>
      </c>
      <c r="F89" s="4" t="n">
        <v>46314.24604010488</v>
      </c>
      <c r="G89" t="b">
        <v>1</v>
      </c>
      <c r="H89" s="3" t="inlineStr">
        <is>
          <t>Added fraction 0.01891031372621565568429642328 of cost base adjustment 01a152b9-9a76-73ac-9c1a-314efbe7883a | 2020-06-30 | Adjustment of VDHG | Cost base increase = A$1,442.62</t>
        </is>
      </c>
      <c r="I89" t="inlineStr">
        <is>
          <t>cost base adjustment allocation</t>
        </is>
      </c>
      <c r="J89" s="5" t="inlineStr">
        <is>
          <t>01a152b9-9a82-75e4-8da6-42edcc6d4efb</t>
        </is>
      </c>
    </row>
    <row r="90">
      <c r="A90" s="5" t="inlineStr">
        <is>
          <t>01a152b9-9a90-7236-888e-82b5144dfe11</t>
        </is>
      </c>
      <c r="D90" s="5" t="inlineStr">
        <is>
          <t>01a152b9-6e67-75da-8adb-b03e5d07fd21</t>
        </is>
      </c>
      <c r="E90" s="4" t="n">
        <v>46314.24604018791</v>
      </c>
      <c r="F90" s="4" t="n">
        <v>46314.24604018801</v>
      </c>
      <c r="G90" t="b">
        <v>1</v>
      </c>
      <c r="H90" s="3" t="inlineStr">
        <is>
          <t>Added fraction 0.02729868223889892642860226060 of cost base adjustment 01a152b9-9a76-73ac-9c1a-314efbe7883a | 2020-06-30 | Adjustment of VDHG | Cost base increase = A$1,442.62</t>
        </is>
      </c>
      <c r="I90" t="inlineStr">
        <is>
          <t>cost base adjustment allocation</t>
        </is>
      </c>
      <c r="J90" s="5" t="inlineStr">
        <is>
          <t>01a152b9-9a89-73c5-b222-6bf3462e0c6f</t>
        </is>
      </c>
    </row>
    <row r="91">
      <c r="A91" s="5" t="inlineStr">
        <is>
          <t>01a152b9-9a98-7764-8f4b-8f4d1147846d</t>
        </is>
      </c>
      <c r="D91" s="5" t="inlineStr">
        <is>
          <t>01a152b9-6e67-75da-8adb-b03e5d07fd21</t>
        </is>
      </c>
      <c r="E91" s="4" t="n">
        <v>46314.24604028086</v>
      </c>
      <c r="F91" s="4" t="n">
        <v>46314.24604028097</v>
      </c>
      <c r="G91" t="b">
        <v>1</v>
      </c>
      <c r="H91" s="3" t="inlineStr">
        <is>
          <t>Added fraction 0.05383273005321608938823079627 of cost base adjustment 01a152b9-9a76-73ac-9c1a-314efbe7883a | 2020-06-30 | Adjustment of VDHG | Cost base increase = A$1,442.62</t>
        </is>
      </c>
      <c r="I91" t="inlineStr">
        <is>
          <t>cost base adjustment allocation</t>
        </is>
      </c>
      <c r="J91" s="5" t="inlineStr">
        <is>
          <t>01a152b9-9a91-7339-8009-e999784804cc</t>
        </is>
      </c>
    </row>
    <row r="92">
      <c r="A92" s="5" t="inlineStr">
        <is>
          <t>01a152b9-9a9f-77ba-9a6d-2512e56c8619</t>
        </is>
      </c>
      <c r="D92" s="5" t="inlineStr">
        <is>
          <t>01a152b9-6e67-75da-8adb-b03e5d07fd21</t>
        </is>
      </c>
      <c r="E92" s="4" t="n">
        <v>46314.24604036691</v>
      </c>
      <c r="F92" s="4" t="n">
        <v>46314.246040367</v>
      </c>
      <c r="G92" t="b">
        <v>1</v>
      </c>
      <c r="H92" s="3" t="inlineStr">
        <is>
          <t>Added fraction 0.09102849496512897039508167406 of cost base adjustment 01a152b9-9a76-73ac-9c1a-314efbe7883a | 2020-06-30 | Adjustment of VDHG | Cost base increase = A$1,442.62</t>
        </is>
      </c>
      <c r="I92" t="inlineStr">
        <is>
          <t>cost base adjustment allocation</t>
        </is>
      </c>
      <c r="J92" s="5" t="inlineStr">
        <is>
          <t>01a152b9-9a99-77c5-9505-48cae0e22d93</t>
        </is>
      </c>
    </row>
    <row r="93">
      <c r="A93" s="5" t="inlineStr">
        <is>
          <t>01a152b9-9aa6-74cb-9042-eaab9dd1bc58</t>
        </is>
      </c>
      <c r="D93" s="5" t="inlineStr">
        <is>
          <t>01a152b9-6e67-75da-8adb-b03e5d07fd21</t>
        </is>
      </c>
      <c r="E93" s="4" t="n">
        <v>46314.24604044497</v>
      </c>
      <c r="F93" s="4" t="n">
        <v>46314.24604044507</v>
      </c>
      <c r="G93" t="b">
        <v>1</v>
      </c>
      <c r="H93" s="3" t="inlineStr">
        <is>
          <t>Added fraction 0.1341768977630332143216849912 of cost base adjustment 01a152b9-9a76-73ac-9c1a-314efbe7883a | 2020-06-30 | Adjustment of VDHG | Cost base increase = A$1,442.62</t>
        </is>
      </c>
      <c r="I93" t="inlineStr">
        <is>
          <t>cost base adjustment allocation</t>
        </is>
      </c>
      <c r="J93" s="5" t="inlineStr">
        <is>
          <t>01a152b9-9aa0-70f2-98fb-8407a8ec48be</t>
        </is>
      </c>
    </row>
    <row r="94">
      <c r="A94" s="5" t="inlineStr">
        <is>
          <t>01a152b9-9aae-7669-9a4f-9d6487b8020d</t>
        </is>
      </c>
      <c r="D94" s="5" t="inlineStr">
        <is>
          <t>01a152b9-6e67-75da-8adb-b03e5d07fd21</t>
        </is>
      </c>
      <c r="E94" s="4" t="n">
        <v>46314.24604053645</v>
      </c>
      <c r="F94" s="4" t="n">
        <v>46314.24604053655</v>
      </c>
      <c r="G94" t="b">
        <v>1</v>
      </c>
      <c r="H94" s="3" t="inlineStr">
        <is>
          <t>Added fraction 0.1424439936116027107523632753 of cost base adjustment 01a152b9-9a76-73ac-9c1a-314efbe7883a | 2020-06-30 | Adjustment of VDHG | Cost base increase = A$1,442.62</t>
        </is>
      </c>
      <c r="I94" t="inlineStr">
        <is>
          <t>cost base adjustment allocation</t>
        </is>
      </c>
      <c r="J94" s="5" t="inlineStr">
        <is>
          <t>01a152b9-9aa7-7440-90f4-0db0f9dd03ce</t>
        </is>
      </c>
    </row>
    <row r="95">
      <c r="A95" s="5" t="inlineStr">
        <is>
          <t>01a152b9-9ab5-726e-8415-9629690274af</t>
        </is>
      </c>
      <c r="D95" s="5" t="inlineStr">
        <is>
          <t>01a152b9-6e67-75da-8adb-b03e5d07fd21</t>
        </is>
      </c>
      <c r="E95" s="4" t="n">
        <v>46314.24604062317</v>
      </c>
      <c r="F95" s="4" t="n">
        <v>46314.24604062328</v>
      </c>
      <c r="G95" t="b">
        <v>1</v>
      </c>
      <c r="H95" s="3" t="inlineStr">
        <is>
          <t>Added fraction 0.1572310367579500397733228916 of cost base adjustment 01a152b9-9a76-73ac-9c1a-314efbe7883a | 2020-06-30 | Adjustment of VDHG | Cost base increase = A$1,442.62</t>
        </is>
      </c>
      <c r="I95" t="inlineStr">
        <is>
          <t>cost base adjustment allocation</t>
        </is>
      </c>
      <c r="J95" s="5" t="inlineStr">
        <is>
          <t>01a152b9-9aaf-715e-b4dc-4e553dddc3f5</t>
        </is>
      </c>
    </row>
    <row r="96">
      <c r="A96" s="5" t="inlineStr">
        <is>
          <t>01a152b9-9abd-7302-a803-ddadcab27c2d</t>
        </is>
      </c>
      <c r="D96" s="5" t="inlineStr">
        <is>
          <t>01a152b9-6e67-75da-8adb-b03e5d07fd21</t>
        </is>
      </c>
      <c r="E96" s="4" t="n">
        <v>46314.2460407103</v>
      </c>
      <c r="F96" s="4" t="n">
        <v>46314.24604071042</v>
      </c>
      <c r="G96" t="b">
        <v>1</v>
      </c>
      <c r="H96" s="3" t="inlineStr">
        <is>
          <t>Added fraction 0.1790477834851297103638796564 of cost base adjustment 01a152b9-9a76-73ac-9c1a-314efbe7883a | 2020-06-30 | Adjustment of VDHG | Cost base increase = A$1,442.62</t>
        </is>
      </c>
      <c r="I96" t="inlineStr">
        <is>
          <t>cost base adjustment allocation</t>
        </is>
      </c>
      <c r="J96" s="5" t="inlineStr">
        <is>
          <t>01a152b9-9ab6-71a3-8499-f8d648935c0d</t>
        </is>
      </c>
    </row>
    <row r="97">
      <c r="A97" s="5" t="inlineStr">
        <is>
          <t>01a152b9-9ac5-7301-8549-837012536baa</t>
        </is>
      </c>
      <c r="D97" s="5" t="inlineStr">
        <is>
          <t>01a152b9-6e67-75da-8adb-b03e5d07fd21</t>
        </is>
      </c>
      <c r="E97" s="4" t="n">
        <v>46314.24604080579</v>
      </c>
      <c r="F97" s="4" t="n">
        <v>46314.24604080593</v>
      </c>
      <c r="G97" t="b">
        <v>1</v>
      </c>
      <c r="H97" s="3" t="inlineStr">
        <is>
          <t>residual of cost base adjustment 01a152b9-9a76-73ac-9c1a-314efbe7883a | 2020-06-30 | Adjustment of VDHG | Cost base increase = A$1,442.62</t>
        </is>
      </c>
      <c r="I97" t="inlineStr">
        <is>
          <t>cost base adjustment allocation</t>
        </is>
      </c>
      <c r="J97" s="5" t="inlineStr">
        <is>
          <t>01a152b9-9abe-7371-bfd4-fd2bbd14ae88</t>
        </is>
      </c>
    </row>
    <row r="98">
      <c r="A98" s="5" t="inlineStr">
        <is>
          <t>01a152b9-9b03-71fc-8c90-9e1d32ea8fb5</t>
        </is>
      </c>
      <c r="D98" s="5" t="inlineStr">
        <is>
          <t>01a152b9-6e67-75da-8adb-b03e5d07fd21</t>
        </is>
      </c>
      <c r="E98" s="4" t="n">
        <v>46314.24604152545</v>
      </c>
      <c r="F98" s="4" t="n">
        <v>46314.24604152556</v>
      </c>
      <c r="G98" t="b">
        <v>1</v>
      </c>
      <c r="H98" s="3" t="inlineStr">
        <is>
          <t>Added fraction 0.006439443875429718794049345408 of cost base adjustment 01a152b9-9af9-76ba-84e7-6efb7e411789 | 2020-06-30 | Adjustment of VGS | Cost base increase = -A$144.00</t>
        </is>
      </c>
      <c r="I98" t="inlineStr">
        <is>
          <t>cost base adjustment allocation</t>
        </is>
      </c>
      <c r="J98" s="5" t="inlineStr">
        <is>
          <t>01a152b9-9afc-75db-a677-ad0223818d87</t>
        </is>
      </c>
    </row>
    <row r="99">
      <c r="A99" s="5" t="inlineStr">
        <is>
          <t>01a152b9-9b0b-73f1-828e-c8bbd1f259a2</t>
        </is>
      </c>
      <c r="D99" s="5" t="inlineStr">
        <is>
          <t>01a152b9-6e67-75da-8adb-b03e5d07fd21</t>
        </is>
      </c>
      <c r="E99" s="4" t="n">
        <v>46314.24604161905</v>
      </c>
      <c r="F99" s="4" t="n">
        <v>46314.24604161915</v>
      </c>
      <c r="G99" t="b">
        <v>1</v>
      </c>
      <c r="H99" s="3" t="inlineStr">
        <is>
          <t>Added fraction 0.01855776738903367778442567259 of cost base adjustment 01a152b9-9af9-76ba-84e7-6efb7e411789 | 2020-06-30 | Adjustment of VGS | Cost base increase = -A$144.00</t>
        </is>
      </c>
      <c r="I99" t="inlineStr">
        <is>
          <t>cost base adjustment allocation</t>
        </is>
      </c>
      <c r="J99" s="5" t="inlineStr">
        <is>
          <t>01a152b9-9b04-77ed-a28b-32d6654cdb7c</t>
        </is>
      </c>
    </row>
    <row r="100">
      <c r="A100" s="5" t="inlineStr">
        <is>
          <t>01a152b9-9b14-74de-b07c-ef9868a604ad</t>
        </is>
      </c>
      <c r="D100" s="5" t="inlineStr">
        <is>
          <t>01a152b9-6e67-75da-8adb-b03e5d07fd21</t>
        </is>
      </c>
      <c r="E100" s="4" t="n">
        <v>46314.24604171498</v>
      </c>
      <c r="F100" s="4" t="n">
        <v>46314.24604171508</v>
      </c>
      <c r="G100" t="b">
        <v>1</v>
      </c>
      <c r="H100" s="3" t="inlineStr">
        <is>
          <t>Added fraction 0.02007889586354463497987039985 of cost base adjustment 01a152b9-9af9-76ba-84e7-6efb7e411789 | 2020-06-30 | Adjustment of VGS | Cost base increase = -A$144.00</t>
        </is>
      </c>
      <c r="I100" t="inlineStr">
        <is>
          <t>cost base adjustment allocation</t>
        </is>
      </c>
      <c r="J100" s="5" t="inlineStr">
        <is>
          <t>01a152b9-9b0c-7043-85b4-5b8af5a3e58f</t>
        </is>
      </c>
    </row>
    <row r="101">
      <c r="A101" s="5" t="inlineStr">
        <is>
          <t>01a152b9-9b1b-773c-b6c2-31a72083a926</t>
        </is>
      </c>
      <c r="D101" s="5" t="inlineStr">
        <is>
          <t>01a152b9-6e67-75da-8adb-b03e5d07fd21</t>
        </is>
      </c>
      <c r="E101" s="4" t="n">
        <v>46314.24604180385</v>
      </c>
      <c r="F101" s="4" t="n">
        <v>46314.24604180396</v>
      </c>
      <c r="G101" t="b">
        <v>1</v>
      </c>
      <c r="H101" s="3" t="inlineStr">
        <is>
          <t>Added fraction 0.02332396994250134366348581801 of cost base adjustment 01a152b9-9af9-76ba-84e7-6efb7e411789 | 2020-06-30 | Adjustment of VGS | Cost base increase = -A$144.00</t>
        </is>
      </c>
      <c r="I101" t="inlineStr">
        <is>
          <t>cost base adjustment allocation</t>
        </is>
      </c>
      <c r="J101" s="5" t="inlineStr">
        <is>
          <t>01a152b9-9b15-705c-94be-5775fb577450</t>
        </is>
      </c>
    </row>
    <row r="102">
      <c r="A102" s="5" t="inlineStr">
        <is>
          <t>01a152b9-9b22-7736-b510-0a8b6dadbb5b</t>
        </is>
      </c>
      <c r="D102" s="5" t="inlineStr">
        <is>
          <t>01a152b9-6e67-75da-8adb-b03e5d07fd21</t>
        </is>
      </c>
      <c r="E102" s="4" t="n">
        <v>46314.24604188501</v>
      </c>
      <c r="F102" s="4" t="n">
        <v>46314.2460418851</v>
      </c>
      <c r="G102" t="b">
        <v>1</v>
      </c>
      <c r="H102" s="3" t="inlineStr">
        <is>
          <t>Added fraction 0.02969242782245388445508107615 of cost base adjustment 01a152b9-9af9-76ba-84e7-6efb7e411789 | 2020-06-30 | Adjustment of VGS | Cost base increase = -A$144.00</t>
        </is>
      </c>
      <c r="I102" t="inlineStr">
        <is>
          <t>cost base adjustment allocation</t>
        </is>
      </c>
      <c r="J102" s="5" t="inlineStr">
        <is>
          <t>01a152b9-9b1c-76e5-a421-bb77290c43a8</t>
        </is>
      </c>
    </row>
    <row r="103">
      <c r="A103" s="5" t="inlineStr">
        <is>
          <t>01a152b9-9b29-72b1-b4dd-d159663af21c</t>
        </is>
      </c>
      <c r="D103" s="5" t="inlineStr">
        <is>
          <t>01a152b9-6e67-75da-8adb-b03e5d07fd21</t>
        </is>
      </c>
      <c r="E103" s="4" t="n">
        <v>46314.24604196683</v>
      </c>
      <c r="F103" s="4" t="n">
        <v>46314.24604196692</v>
      </c>
      <c r="G103" t="b">
        <v>1</v>
      </c>
      <c r="H103" s="3" t="inlineStr">
        <is>
          <t>Added fraction 0.03711553477806735556885134518 of cost base adjustment 01a152b9-9af9-76ba-84e7-6efb7e411789 | 2020-06-30 | Adjustment of VGS | Cost base increase = -A$144.00</t>
        </is>
      </c>
      <c r="I103" t="inlineStr">
        <is>
          <t>cost base adjustment allocation</t>
        </is>
      </c>
      <c r="J103" s="5" t="inlineStr">
        <is>
          <t>01a152b9-9b23-71b1-9dc3-4682f0bd690e</t>
        </is>
      </c>
    </row>
    <row r="104">
      <c r="A104" s="5" t="inlineStr">
        <is>
          <t>01a152b9-9b30-75e0-ab7a-c323c782d989</t>
        </is>
      </c>
      <c r="D104" s="5" t="inlineStr">
        <is>
          <t>01a152b9-6e67-75da-8adb-b03e5d07fd21</t>
        </is>
      </c>
      <c r="E104" s="4" t="n">
        <v>46314.24604204465</v>
      </c>
      <c r="F104" s="4" t="n">
        <v>46314.24604204476</v>
      </c>
      <c r="G104" t="b">
        <v>1</v>
      </c>
      <c r="H104" s="3" t="inlineStr">
        <is>
          <t>Added fraction 0.03711553477806735556885134518 of cost base adjustment 01a152b9-9af9-76ba-84e7-6efb7e411789 | 2020-06-30 | Adjustment of VGS | Cost base increase = -A$144.00</t>
        </is>
      </c>
      <c r="I104" t="inlineStr">
        <is>
          <t>cost base adjustment allocation</t>
        </is>
      </c>
      <c r="J104" s="5" t="inlineStr">
        <is>
          <t>01a152b9-9b2a-741d-80e0-8ce56b3771b4</t>
        </is>
      </c>
    </row>
    <row r="105">
      <c r="A105" s="5" t="inlineStr">
        <is>
          <t>01a152b9-9b38-76c9-83b8-97a420d56224</t>
        </is>
      </c>
      <c r="D105" s="5" t="inlineStr">
        <is>
          <t>01a152b9-6e67-75da-8adb-b03e5d07fd21</t>
        </is>
      </c>
      <c r="E105" s="4" t="n">
        <v>46314.2460421381</v>
      </c>
      <c r="F105" s="4" t="n">
        <v>46314.24604213821</v>
      </c>
      <c r="G105" t="b">
        <v>1</v>
      </c>
      <c r="H105" s="3" t="inlineStr">
        <is>
          <t>Added fraction 0.03711553477806735556885134518 of cost base adjustment 01a152b9-9af9-76ba-84e7-6efb7e411789 | 2020-06-30 | Adjustment of VGS | Cost base increase = -A$144.00</t>
        </is>
      </c>
      <c r="I105" t="inlineStr">
        <is>
          <t>cost base adjustment allocation</t>
        </is>
      </c>
      <c r="J105" s="5" t="inlineStr">
        <is>
          <t>01a152b9-9b31-77dd-a2c3-8891f35fcfbe</t>
        </is>
      </c>
    </row>
    <row r="106">
      <c r="A106" s="5" t="inlineStr">
        <is>
          <t>01a152b9-9b41-70e1-9957-f2a16e5a5690</t>
        </is>
      </c>
      <c r="D106" s="5" t="inlineStr">
        <is>
          <t>01a152b9-6e67-75da-8adb-b03e5d07fd21</t>
        </is>
      </c>
      <c r="E106" s="4" t="n">
        <v>46314.24604223693</v>
      </c>
      <c r="F106" s="4" t="n">
        <v>46314.24604223707</v>
      </c>
      <c r="G106" t="b">
        <v>1</v>
      </c>
      <c r="H106" s="3" t="inlineStr">
        <is>
          <t>Added fraction 0.03711553477806735556885134518 of cost base adjustment 01a152b9-9af9-76ba-84e7-6efb7e411789 | 2020-06-30 | Adjustment of VGS | Cost base increase = -A$144.00</t>
        </is>
      </c>
      <c r="I106" t="inlineStr">
        <is>
          <t>cost base adjustment allocation</t>
        </is>
      </c>
      <c r="J106" s="5" t="inlineStr">
        <is>
          <t>01a152b9-9b39-70e1-b1c1-609acba6b9ea</t>
        </is>
      </c>
    </row>
    <row r="107">
      <c r="A107" s="5" t="inlineStr">
        <is>
          <t>01a152b9-9b49-70bd-9d7f-04ab04c682dd</t>
        </is>
      </c>
      <c r="D107" s="5" t="inlineStr">
        <is>
          <t>01a152b9-6e67-75da-8adb-b03e5d07fd21</t>
        </is>
      </c>
      <c r="E107" s="4" t="n">
        <v>46314.24604233666</v>
      </c>
      <c r="F107" s="4" t="n">
        <v>46314.24604233676</v>
      </c>
      <c r="G107" t="b">
        <v>1</v>
      </c>
      <c r="H107" s="3" t="inlineStr">
        <is>
          <t>Added fraction 0.03711553477806735556885134518 of cost base adjustment 01a152b9-9af9-76ba-84e7-6efb7e411789 | 2020-06-30 | Adjustment of VGS | Cost base increase = -A$144.00</t>
        </is>
      </c>
      <c r="I107" t="inlineStr">
        <is>
          <t>cost base adjustment allocation</t>
        </is>
      </c>
      <c r="J107" s="5" t="inlineStr">
        <is>
          <t>01a152b9-9b42-745d-ab3f-54dff8a5b3b8</t>
        </is>
      </c>
    </row>
    <row r="108">
      <c r="A108" s="5" t="inlineStr">
        <is>
          <t>01a152b9-9b51-76a4-a28e-a6b7a3e420e6</t>
        </is>
      </c>
      <c r="D108" s="5" t="inlineStr">
        <is>
          <t>01a152b9-6e67-75da-8adb-b03e5d07fd21</t>
        </is>
      </c>
      <c r="E108" s="4" t="n">
        <v>46314.24604242056</v>
      </c>
      <c r="F108" s="4" t="n">
        <v>46314.24604242065</v>
      </c>
      <c r="G108" t="b">
        <v>1</v>
      </c>
      <c r="H108" s="3" t="inlineStr">
        <is>
          <t>Added fraction 0.06680796260052124002393242133 of cost base adjustment 01a152b9-9af9-76ba-84e7-6efb7e411789 | 2020-06-30 | Adjustment of VGS | Cost base increase = -A$144.00</t>
        </is>
      </c>
      <c r="I108" t="inlineStr">
        <is>
          <t>cost base adjustment allocation</t>
        </is>
      </c>
      <c r="J108" s="5" t="inlineStr">
        <is>
          <t>01a152b9-9b4a-7626-8a9b-2e85ed3e38df</t>
        </is>
      </c>
    </row>
    <row r="109">
      <c r="A109" s="5" t="inlineStr">
        <is>
          <t>01a152b9-9b57-76ca-851d-cc78d723a9fb</t>
        </is>
      </c>
      <c r="D109" s="5" t="inlineStr">
        <is>
          <t>01a152b9-6e67-75da-8adb-b03e5d07fd21</t>
        </is>
      </c>
      <c r="E109" s="4" t="n">
        <v>46314.24604249978</v>
      </c>
      <c r="F109" s="4" t="n">
        <v>46314.24604249987</v>
      </c>
      <c r="G109" t="b">
        <v>1</v>
      </c>
      <c r="H109" s="3" t="inlineStr">
        <is>
          <t>Added fraction 0.07423106955613471113770269037 of cost base adjustment 01a152b9-9af9-76ba-84e7-6efb7e411789 | 2020-06-30 | Adjustment of VGS | Cost base increase = -A$144.00</t>
        </is>
      </c>
      <c r="I109" t="inlineStr">
        <is>
          <t>cost base adjustment allocation</t>
        </is>
      </c>
      <c r="J109" s="5" t="inlineStr">
        <is>
          <t>01a152b9-9b51-76a4-a28e-a6b81ed617b1</t>
        </is>
      </c>
    </row>
    <row r="110">
      <c r="A110" s="5" t="inlineStr">
        <is>
          <t>01a152b9-9b5e-77b4-ace3-8179e03a0ae8</t>
        </is>
      </c>
      <c r="D110" s="5" t="inlineStr">
        <is>
          <t>01a152b9-6e67-75da-8adb-b03e5d07fd21</t>
        </is>
      </c>
      <c r="E110" s="4" t="n">
        <v>46314.2460425812</v>
      </c>
      <c r="F110" s="4" t="n">
        <v>46314.24604258131</v>
      </c>
      <c r="G110" t="b">
        <v>1</v>
      </c>
      <c r="H110" s="3" t="inlineStr">
        <is>
          <t>Added fraction 0.07423106955613471113770269037 of cost base adjustment 01a152b9-9af9-76ba-84e7-6efb7e411789 | 2020-06-30 | Adjustment of VGS | Cost base increase = -A$144.00</t>
        </is>
      </c>
      <c r="I110" t="inlineStr">
        <is>
          <t>cost base adjustment allocation</t>
        </is>
      </c>
      <c r="J110" s="5" t="inlineStr">
        <is>
          <t>01a152b9-9b58-7029-9781-db282d7288d0</t>
        </is>
      </c>
    </row>
    <row r="111">
      <c r="A111" s="5" t="inlineStr">
        <is>
          <t>01a152b9-9b65-7715-923c-c29b3ec547b1</t>
        </is>
      </c>
      <c r="D111" s="5" t="inlineStr">
        <is>
          <t>01a152b9-6e67-75da-8adb-b03e5d07fd21</t>
        </is>
      </c>
      <c r="E111" s="4" t="n">
        <v>46314.24604265598</v>
      </c>
      <c r="F111" s="4" t="n">
        <v>46314.24604265608</v>
      </c>
      <c r="G111" t="b">
        <v>1</v>
      </c>
      <c r="H111" s="3" t="inlineStr">
        <is>
          <t>Added fraction 0.07423106955613471113770269037 of cost base adjustment 01a152b9-9af9-76ba-84e7-6efb7e411789 | 2020-06-30 | Adjustment of VGS | Cost base increase = -A$144.00</t>
        </is>
      </c>
      <c r="I111" t="inlineStr">
        <is>
          <t>cost base adjustment allocation</t>
        </is>
      </c>
      <c r="J111" s="5" t="inlineStr">
        <is>
          <t>01a152b9-9b5f-76e6-a6e5-fb04ab1340f4</t>
        </is>
      </c>
    </row>
    <row r="112">
      <c r="A112" s="5" t="inlineStr">
        <is>
          <t>01a152b9-9b6d-769a-9df6-eaa2bba6494a</t>
        </is>
      </c>
      <c r="D112" s="5" t="inlineStr">
        <is>
          <t>01a152b9-6e67-75da-8adb-b03e5d07fd21</t>
        </is>
      </c>
      <c r="E112" s="4" t="n">
        <v>46314.24604274881</v>
      </c>
      <c r="F112" s="4" t="n">
        <v>46314.2460427489</v>
      </c>
      <c r="G112" t="b">
        <v>1</v>
      </c>
      <c r="H112" s="3" t="inlineStr">
        <is>
          <t>Added fraction 0.07423106955613471113770269037 of cost base adjustment 01a152b9-9af9-76ba-84e7-6efb7e411789 | 2020-06-30 | Adjustment of VGS | Cost base increase = -A$144.00</t>
        </is>
      </c>
      <c r="I112" t="inlineStr">
        <is>
          <t>cost base adjustment allocation</t>
        </is>
      </c>
      <c r="J112" s="5" t="inlineStr">
        <is>
          <t>01a152b9-9b66-70e6-9f45-3b23cf983f45</t>
        </is>
      </c>
    </row>
    <row r="113">
      <c r="A113" s="5" t="inlineStr">
        <is>
          <t>01a152b9-9b75-7741-8187-c6a118e9bb36</t>
        </is>
      </c>
      <c r="D113" s="5" t="inlineStr">
        <is>
          <t>01a152b9-6e67-75da-8adb-b03e5d07fd21</t>
        </is>
      </c>
      <c r="E113" s="4" t="n">
        <v>46314.24604283703</v>
      </c>
      <c r="F113" s="4" t="n">
        <v>46314.24604283712</v>
      </c>
      <c r="G113" t="b">
        <v>1</v>
      </c>
      <c r="H113" s="3" t="inlineStr">
        <is>
          <t>Added fraction 0.07423106955613471113770269037 of cost base adjustment 01a152b9-9af9-76ba-84e7-6efb7e411789 | 2020-06-30 | Adjustment of VGS | Cost base increase = -A$144.00</t>
        </is>
      </c>
      <c r="I113" t="inlineStr">
        <is>
          <t>cost base adjustment allocation</t>
        </is>
      </c>
      <c r="J113" s="5" t="inlineStr">
        <is>
          <t>01a152b9-9b6e-71fd-8a24-b1c34d3b113f</t>
        </is>
      </c>
    </row>
    <row r="114">
      <c r="A114" s="5" t="inlineStr">
        <is>
          <t>01a152b9-9b7c-7581-89d7-2c74584a6154</t>
        </is>
      </c>
      <c r="D114" s="5" t="inlineStr">
        <is>
          <t>01a152b9-6e67-75da-8adb-b03e5d07fd21</t>
        </is>
      </c>
      <c r="E114" s="4" t="n">
        <v>46314.24604292092</v>
      </c>
      <c r="F114" s="4" t="n">
        <v>46314.24604292103</v>
      </c>
      <c r="G114" t="b">
        <v>1</v>
      </c>
      <c r="H114" s="3" t="inlineStr">
        <is>
          <t>Added fraction 0.09278883694516838892212836296 of cost base adjustment 01a152b9-9af9-76ba-84e7-6efb7e411789 | 2020-06-30 | Adjustment of VGS | Cost base increase = -A$144.00</t>
        </is>
      </c>
      <c r="I114" t="inlineStr">
        <is>
          <t>cost base adjustment allocation</t>
        </is>
      </c>
      <c r="J114" s="5" t="inlineStr">
        <is>
          <t>01a152b9-9b75-7741-8187-c6a2f0e989ee</t>
        </is>
      </c>
    </row>
    <row r="115">
      <c r="A115" s="5" t="inlineStr">
        <is>
          <t>01a152b9-9b83-7048-a17b-c42629510dce</t>
        </is>
      </c>
      <c r="D115" s="5" t="inlineStr">
        <is>
          <t>01a152b9-6e67-75da-8adb-b03e5d07fd21</t>
        </is>
      </c>
      <c r="E115" s="4" t="n">
        <v>46314.24604300449</v>
      </c>
      <c r="F115" s="4" t="n">
        <v>46314.24604300462</v>
      </c>
      <c r="G115" t="b">
        <v>1</v>
      </c>
      <c r="H115" s="3" t="inlineStr">
        <is>
          <t>Added fraction 0.09278883694516838892212836296 of cost base adjustment 01a152b9-9af9-76ba-84e7-6efb7e411789 | 2020-06-30 | Adjustment of VGS | Cost base increase = -A$144.00</t>
        </is>
      </c>
      <c r="I115" t="inlineStr">
        <is>
          <t>cost base adjustment allocation</t>
        </is>
      </c>
      <c r="J115" s="5" t="inlineStr">
        <is>
          <t>01a152b9-9b7d-74bb-9371-fcba433d2146</t>
        </is>
      </c>
    </row>
    <row r="116">
      <c r="A116" s="5" t="inlineStr">
        <is>
          <t>01a152b9-9b8b-73a2-90bf-651242cae1ed</t>
        </is>
      </c>
      <c r="D116" s="5" t="inlineStr">
        <is>
          <t>01a152b9-6e67-75da-8adb-b03e5d07fd21</t>
        </is>
      </c>
      <c r="E116" s="4" t="n">
        <v>46314.24604309924</v>
      </c>
      <c r="F116" s="4" t="n">
        <v>46314.24604309937</v>
      </c>
      <c r="G116" t="b">
        <v>1</v>
      </c>
      <c r="H116" s="3" t="inlineStr">
        <is>
          <t>residual of cost base adjustment 01a152b9-9af9-76ba-84e7-6efb7e411789 | 2020-06-30 | Adjustment of VGS | Cost base increase = -A$144.00</t>
        </is>
      </c>
      <c r="I116" t="inlineStr">
        <is>
          <t>cost base adjustment allocation</t>
        </is>
      </c>
      <c r="J116" s="5" t="inlineStr">
        <is>
          <t>01a152b9-9b84-74d6-bb34-a8795f09aeed</t>
        </is>
      </c>
    </row>
    <row r="117">
      <c r="A117" s="5" t="inlineStr">
        <is>
          <t>01a152b9-9bf2-75a6-94fa-a21aabe5f445</t>
        </is>
      </c>
      <c r="D117" s="5" t="inlineStr">
        <is>
          <t>01a152b9-6e67-75da-8adb-b03e5d07fd21</t>
        </is>
      </c>
      <c r="E117" s="4" t="n">
        <v>46314.24604429254</v>
      </c>
      <c r="F117" s="4" t="n">
        <v>46314.24604429264</v>
      </c>
      <c r="G117" t="b">
        <v>1</v>
      </c>
      <c r="H117" s="3" t="inlineStr">
        <is>
          <t>Added fraction 0.04924704924704924704924704925 of cost base adjustment 01a152b9-9be8-7190-b61c-08b802a1ae71 | 2021-06-30 | Adjustment of VDHG | Cost base increase = A$2,125.77</t>
        </is>
      </c>
      <c r="I117" t="inlineStr">
        <is>
          <t>cost base adjustment allocation</t>
        </is>
      </c>
      <c r="J117" s="5" t="inlineStr">
        <is>
          <t>01a152b9-9bea-72c8-8ee8-5510359b18a7</t>
        </is>
      </c>
    </row>
    <row r="118">
      <c r="A118" s="5" t="inlineStr">
        <is>
          <t>01a152b9-9bfb-73d0-9b5b-2ab44b6f0587</t>
        </is>
      </c>
      <c r="D118" s="5" t="inlineStr">
        <is>
          <t>01a152b9-6e67-75da-8adb-b03e5d07fd21</t>
        </is>
      </c>
      <c r="E118" s="4" t="n">
        <v>46314.24604439266</v>
      </c>
      <c r="F118" s="4" t="n">
        <v>46314.24604439276</v>
      </c>
      <c r="G118" t="b">
        <v>1</v>
      </c>
      <c r="H118" s="3" t="inlineStr">
        <is>
          <t>Added fraction 0.06267806267806267806267806268 of cost base adjustment 01a152b9-9be8-7190-b61c-08b802a1ae71 | 2021-06-30 | Adjustment of VDHG | Cost base increase = A$2,125.77</t>
        </is>
      </c>
      <c r="I118" t="inlineStr">
        <is>
          <t>cost base adjustment allocation</t>
        </is>
      </c>
      <c r="J118" s="5" t="inlineStr">
        <is>
          <t>01a152b9-9bf3-7468-9b2f-f3783860f8ef</t>
        </is>
      </c>
    </row>
    <row r="119">
      <c r="A119" s="5" t="inlineStr">
        <is>
          <t>01a152b9-9c03-717c-9504-4c51c0c64551</t>
        </is>
      </c>
      <c r="D119" s="5" t="inlineStr">
        <is>
          <t>01a152b9-6e67-75da-8adb-b03e5d07fd21</t>
        </is>
      </c>
      <c r="E119" s="4" t="n">
        <v>46314.24604448081</v>
      </c>
      <c r="F119" s="4" t="n">
        <v>46314.24604448091</v>
      </c>
      <c r="G119" t="b">
        <v>1</v>
      </c>
      <c r="H119" s="3" t="inlineStr">
        <is>
          <t>Added fraction 0.08506308506308506308506308506 of cost base adjustment 01a152b9-9be8-7190-b61c-08b802a1ae71 | 2021-06-30 | Adjustment of VDHG | Cost base increase = A$2,125.77</t>
        </is>
      </c>
      <c r="I119" t="inlineStr">
        <is>
          <t>cost base adjustment allocation</t>
        </is>
      </c>
      <c r="J119" s="5" t="inlineStr">
        <is>
          <t>01a152b9-9bfc-72ee-bfbe-60dbd5d4ed97</t>
        </is>
      </c>
    </row>
    <row r="120">
      <c r="A120" s="5" t="inlineStr">
        <is>
          <t>01a152b9-9c0a-73a2-a86a-28e14ae89132</t>
        </is>
      </c>
      <c r="D120" s="5" t="inlineStr">
        <is>
          <t>01a152b9-6e67-75da-8adb-b03e5d07fd21</t>
        </is>
      </c>
      <c r="E120" s="4" t="n">
        <v>46314.24604457115</v>
      </c>
      <c r="F120" s="4" t="n">
        <v>46314.24604457126</v>
      </c>
      <c r="G120" t="b">
        <v>1</v>
      </c>
      <c r="H120" s="3" t="inlineStr">
        <is>
          <t>Added fraction 0.08547008547008547008547008547 of cost base adjustment 01a152b9-9be8-7190-b61c-08b802a1ae71 | 2021-06-30 | Adjustment of VDHG | Cost base increase = A$2,125.77</t>
        </is>
      </c>
      <c r="I120" t="inlineStr">
        <is>
          <t>cost base adjustment allocation</t>
        </is>
      </c>
      <c r="J120" s="5" t="inlineStr">
        <is>
          <t>01a152b9-9c03-717c-9504-4c52217c099e</t>
        </is>
      </c>
    </row>
    <row r="121">
      <c r="A121" s="5" t="inlineStr">
        <is>
          <t>01a152b9-9c12-7469-9f6e-e1343fe9e5cd</t>
        </is>
      </c>
      <c r="D121" s="5" t="inlineStr">
        <is>
          <t>01a152b9-6e67-75da-8adb-b03e5d07fd21</t>
        </is>
      </c>
      <c r="E121" s="4" t="n">
        <v>46314.24604466306</v>
      </c>
      <c r="F121" s="4" t="n">
        <v>46314.24604466317</v>
      </c>
      <c r="G121" t="b">
        <v>1</v>
      </c>
      <c r="H121" s="3" t="inlineStr">
        <is>
          <t>Added fraction 0.09483109483109483109483109483 of cost base adjustment 01a152b9-9be8-7190-b61c-08b802a1ae71 | 2021-06-30 | Adjustment of VDHG | Cost base increase = A$2,125.77</t>
        </is>
      </c>
      <c r="I121" t="inlineStr">
        <is>
          <t>cost base adjustment allocation</t>
        </is>
      </c>
      <c r="J121" s="5" t="inlineStr">
        <is>
          <t>01a152b9-9c0b-7346-80f7-b449c5f2b445</t>
        </is>
      </c>
    </row>
    <row r="122">
      <c r="A122" s="5" t="inlineStr">
        <is>
          <t>01a152b9-9c1a-77da-a0c6-2aa8ed191951</t>
        </is>
      </c>
      <c r="D122" s="5" t="inlineStr">
        <is>
          <t>01a152b9-6e67-75da-8adb-b03e5d07fd21</t>
        </is>
      </c>
      <c r="E122" s="4" t="n">
        <v>46314.2460447575</v>
      </c>
      <c r="F122" s="4" t="n">
        <v>46314.2460447576</v>
      </c>
      <c r="G122" t="b">
        <v>1</v>
      </c>
      <c r="H122" s="3" t="inlineStr">
        <is>
          <t>Added fraction 0.09686609686609686609686609687 of cost base adjustment 01a152b9-9be8-7190-b61c-08b802a1ae71 | 2021-06-30 | Adjustment of VDHG | Cost base increase = A$2,125.77</t>
        </is>
      </c>
      <c r="I122" t="inlineStr">
        <is>
          <t>cost base adjustment allocation</t>
        </is>
      </c>
      <c r="J122" s="5" t="inlineStr">
        <is>
          <t>01a152b9-9c13-7632-a696-9022bee2a14c</t>
        </is>
      </c>
    </row>
    <row r="123">
      <c r="A123" s="5" t="inlineStr">
        <is>
          <t>01a152b9-9c22-775b-8f2c-1a652d62eeed</t>
        </is>
      </c>
      <c r="D123" s="5" t="inlineStr">
        <is>
          <t>01a152b9-6e67-75da-8adb-b03e5d07fd21</t>
        </is>
      </c>
      <c r="E123" s="4" t="n">
        <v>46314.24604485062</v>
      </c>
      <c r="F123" s="4" t="n">
        <v>46314.24604485073</v>
      </c>
      <c r="G123" t="b">
        <v>1</v>
      </c>
      <c r="H123" s="3" t="inlineStr">
        <is>
          <t>Added fraction 0.1045991045991045991045991046 of cost base adjustment 01a152b9-9be8-7190-b61c-08b802a1ae71 | 2021-06-30 | Adjustment of VDHG | Cost base increase = A$2,125.77</t>
        </is>
      </c>
      <c r="I123" t="inlineStr">
        <is>
          <t>cost base adjustment allocation</t>
        </is>
      </c>
      <c r="J123" s="5" t="inlineStr">
        <is>
          <t>01a152b9-9c1b-70a9-98ba-ee0c8f2af2dc</t>
        </is>
      </c>
    </row>
    <row r="124">
      <c r="A124" s="5" t="inlineStr">
        <is>
          <t>01a152b9-9c29-76f1-8ce2-8169220ddd16</t>
        </is>
      </c>
      <c r="D124" s="5" t="inlineStr">
        <is>
          <t>01a152b9-6e67-75da-8adb-b03e5d07fd21</t>
        </is>
      </c>
      <c r="E124" s="4" t="n">
        <v>46314.24604493083</v>
      </c>
      <c r="F124" s="4" t="n">
        <v>46314.24604493093</v>
      </c>
      <c r="G124" t="b">
        <v>1</v>
      </c>
      <c r="H124" s="3" t="inlineStr">
        <is>
          <t>Added fraction 0.1184371184371184371184371184 of cost base adjustment 01a152b9-9be8-7190-b61c-08b802a1ae71 | 2021-06-30 | Adjustment of VDHG | Cost base increase = A$2,125.77</t>
        </is>
      </c>
      <c r="I124" t="inlineStr">
        <is>
          <t>cost base adjustment allocation</t>
        </is>
      </c>
      <c r="J124" s="5" t="inlineStr">
        <is>
          <t>01a152b9-9c23-7461-9908-7fb9c8d86a3c</t>
        </is>
      </c>
    </row>
    <row r="125">
      <c r="A125" s="5" t="inlineStr">
        <is>
          <t>01a152b9-9c31-7799-b0c9-88396be72355</t>
        </is>
      </c>
      <c r="D125" s="5" t="inlineStr">
        <is>
          <t>01a152b9-6e67-75da-8adb-b03e5d07fd21</t>
        </is>
      </c>
      <c r="E125" s="4" t="n">
        <v>46314.24604501748</v>
      </c>
      <c r="F125" s="4" t="n">
        <v>46314.24604501758</v>
      </c>
      <c r="G125" t="b">
        <v>1</v>
      </c>
      <c r="H125" s="3" t="inlineStr">
        <is>
          <t>Added fraction 0.1400081400081400081400081400 of cost base adjustment 01a152b9-9be8-7190-b61c-08b802a1ae71 | 2021-06-30 | Adjustment of VDHG | Cost base increase = A$2,125.77</t>
        </is>
      </c>
      <c r="I125" t="inlineStr">
        <is>
          <t>cost base adjustment allocation</t>
        </is>
      </c>
      <c r="J125" s="5" t="inlineStr">
        <is>
          <t>01a152b9-9c2a-73c9-a832-4624826b5a65</t>
        </is>
      </c>
    </row>
    <row r="126">
      <c r="A126" s="5" t="inlineStr">
        <is>
          <t>01a152b9-9c39-71d9-88bc-dd7088b09f0a</t>
        </is>
      </c>
      <c r="D126" s="5" t="inlineStr">
        <is>
          <t>01a152b9-6e67-75da-8adb-b03e5d07fd21</t>
        </is>
      </c>
      <c r="E126" s="4" t="n">
        <v>46314.24604511364</v>
      </c>
      <c r="F126" s="4" t="n">
        <v>46314.24604511377</v>
      </c>
      <c r="G126" t="b">
        <v>1</v>
      </c>
      <c r="H126" s="3" t="inlineStr">
        <is>
          <t>residual of cost base adjustment 01a152b9-9be8-7190-b61c-08b802a1ae71 | 2021-06-30 | Adjustment of VDHG | Cost base increase = A$2,125.77</t>
        </is>
      </c>
      <c r="I126" t="inlineStr">
        <is>
          <t>cost base adjustment allocation</t>
        </is>
      </c>
      <c r="J126" s="5" t="inlineStr">
        <is>
          <t>01a152b9-9c32-7585-8c9c-e5f9c3b0cda9</t>
        </is>
      </c>
    </row>
    <row r="127">
      <c r="A127" s="5" t="inlineStr">
        <is>
          <t>01a152b9-9c76-7278-bf54-efeff8f2698b</t>
        </is>
      </c>
      <c r="D127" s="5" t="inlineStr">
        <is>
          <t>01a152b9-6e67-75da-8adb-b03e5d07fd21</t>
        </is>
      </c>
      <c r="E127" s="4" t="n">
        <v>46314.24604582007</v>
      </c>
      <c r="F127" s="4" t="n">
        <v>46314.24604582017</v>
      </c>
      <c r="G127" t="b">
        <v>1</v>
      </c>
      <c r="H127" s="3" t="inlineStr">
        <is>
          <t>Added fraction 0.003084408532082192971023936748 of cost base adjustment 01a152b9-9c6c-755a-8f1b-b86efe9edc32 | 2021-06-30 | Adjustment of VGS | Cost base increase = A$2,600.00</t>
        </is>
      </c>
      <c r="I127" t="inlineStr">
        <is>
          <t>cost base adjustment allocation</t>
        </is>
      </c>
      <c r="J127" s="5" t="inlineStr">
        <is>
          <t>01a152b9-9c70-7147-b77b-44541d13f804</t>
        </is>
      </c>
    </row>
    <row r="128">
      <c r="A128" s="5" t="inlineStr">
        <is>
          <t>01a152b9-9c7d-7381-818e-6155f54b66d7</t>
        </is>
      </c>
      <c r="D128" s="5" t="inlineStr">
        <is>
          <t>01a152b9-6e67-75da-8adb-b03e5d07fd21</t>
        </is>
      </c>
      <c r="E128" s="4" t="n">
        <v>46314.24604590347</v>
      </c>
      <c r="F128" s="4" t="n">
        <v>46314.24604590358</v>
      </c>
      <c r="G128" t="b">
        <v>1</v>
      </c>
      <c r="H128" s="3" t="inlineStr">
        <is>
          <t>Added fraction 0.004691776358660237195360354490 of cost base adjustment 01a152b9-9c6c-755a-8f1b-b86efe9edc32 | 2021-06-30 | Adjustment of VGS | Cost base increase = A$2,600.00</t>
        </is>
      </c>
      <c r="I128" t="inlineStr">
        <is>
          <t>cost base adjustment allocation</t>
        </is>
      </c>
      <c r="J128" s="5" t="inlineStr">
        <is>
          <t>01a152b9-9c77-70ab-9a64-94a7f250eb3e</t>
        </is>
      </c>
    </row>
    <row r="129">
      <c r="A129" s="5" t="inlineStr">
        <is>
          <t>01a152b9-9c85-7247-8f50-7e0849ad008e</t>
        </is>
      </c>
      <c r="D129" s="5" t="inlineStr">
        <is>
          <t>01a152b9-6e67-75da-8adb-b03e5d07fd21</t>
        </is>
      </c>
      <c r="E129" s="4" t="n">
        <v>46314.24604598562</v>
      </c>
      <c r="F129" s="4" t="n">
        <v>46314.24604598572</v>
      </c>
      <c r="G129" t="b">
        <v>1</v>
      </c>
      <c r="H129" s="3" t="inlineStr">
        <is>
          <t>Added fraction 0.007124549285372952778139797559 of cost base adjustment 01a152b9-9c6c-755a-8f1b-b86efe9edc32 | 2021-06-30 | Adjustment of VGS | Cost base increase = A$2,600.00</t>
        </is>
      </c>
      <c r="I129" t="inlineStr">
        <is>
          <t>cost base adjustment allocation</t>
        </is>
      </c>
      <c r="J129" s="5" t="inlineStr">
        <is>
          <t>01a152b9-9c7e-73e1-a050-ae65b1a3bb19</t>
        </is>
      </c>
    </row>
    <row r="130">
      <c r="A130" s="5" t="inlineStr">
        <is>
          <t>01a152b9-9c8c-74e4-9e71-19517d5f636e</t>
        </is>
      </c>
      <c r="D130" s="5" t="inlineStr">
        <is>
          <t>01a152b9-6e67-75da-8adb-b03e5d07fd21</t>
        </is>
      </c>
      <c r="E130" s="4" t="n">
        <v>46314.24604607332</v>
      </c>
      <c r="F130" s="4" t="n">
        <v>46314.24604607341</v>
      </c>
      <c r="G130" t="b">
        <v>1</v>
      </c>
      <c r="H130" s="3" t="inlineStr">
        <is>
          <t>Added fraction 0.008167166253964116599330987445 of cost base adjustment 01a152b9-9c6c-755a-8f1b-b86efe9edc32 | 2021-06-30 | Adjustment of VGS | Cost base increase = A$2,600.00</t>
        </is>
      </c>
      <c r="I130" t="inlineStr">
        <is>
          <t>cost base adjustment allocation</t>
        </is>
      </c>
      <c r="J130" s="5" t="inlineStr">
        <is>
          <t>01a152b9-9c85-7247-8f50-7e099d2535ed</t>
        </is>
      </c>
    </row>
    <row r="131">
      <c r="A131" s="5" t="inlineStr">
        <is>
          <t>01a152b9-9c95-7621-ba7f-d021977960eb</t>
        </is>
      </c>
      <c r="D131" s="5" t="inlineStr">
        <is>
          <t>01a152b9-6e67-75da-8adb-b03e5d07fd21</t>
        </is>
      </c>
      <c r="E131" s="4" t="n">
        <v>46314.24604617291</v>
      </c>
      <c r="F131" s="4" t="n">
        <v>46314.24604617306</v>
      </c>
      <c r="G131" t="b">
        <v>1</v>
      </c>
      <c r="H131" s="3" t="inlineStr">
        <is>
          <t>Added fraction 0.008601589990877101524827316565 of cost base adjustment 01a152b9-9c6c-755a-8f1b-b86efe9edc32 | 2021-06-30 | Adjustment of VGS | Cost base increase = A$2,600.00</t>
        </is>
      </c>
      <c r="I131" t="inlineStr">
        <is>
          <t>cost base adjustment allocation</t>
        </is>
      </c>
      <c r="J131" s="5" t="inlineStr">
        <is>
          <t>01a152b9-9c8d-7334-a1c8-34a240f72e16</t>
        </is>
      </c>
    </row>
    <row r="132">
      <c r="A132" s="5" t="inlineStr">
        <is>
          <t>01a152b9-9c9d-76a4-8d6f-2a5be85eade5</t>
        </is>
      </c>
      <c r="D132" s="5" t="inlineStr">
        <is>
          <t>01a152b9-6e67-75da-8adb-b03e5d07fd21</t>
        </is>
      </c>
      <c r="E132" s="4" t="n">
        <v>46314.24604626797</v>
      </c>
      <c r="F132" s="4" t="n">
        <v>46314.24604626807</v>
      </c>
      <c r="G132" t="b">
        <v>1</v>
      </c>
      <c r="H132" s="3" t="inlineStr">
        <is>
          <t>Added fraction 0.009817976454233459316217038099 of cost base adjustment 01a152b9-9c6c-755a-8f1b-b86efe9edc32 | 2021-06-30 | Adjustment of VGS | Cost base increase = A$2,600.00</t>
        </is>
      </c>
      <c r="I132" t="inlineStr">
        <is>
          <t>cost base adjustment allocation</t>
        </is>
      </c>
      <c r="J132" s="5" t="inlineStr">
        <is>
          <t>01a152b9-9c96-7453-9f70-022c2b7f01d9</t>
        </is>
      </c>
    </row>
    <row r="133">
      <c r="A133" s="5" t="inlineStr">
        <is>
          <t>01a152b9-9ca4-7768-9922-cd4cf149edd4</t>
        </is>
      </c>
      <c r="D133" s="5" t="inlineStr">
        <is>
          <t>01a152b9-6e67-75da-8adb-b03e5d07fd21</t>
        </is>
      </c>
      <c r="E133" s="4" t="n">
        <v>46314.24604635433</v>
      </c>
      <c r="F133" s="4" t="n">
        <v>46314.24604635442</v>
      </c>
      <c r="G133" t="b">
        <v>1</v>
      </c>
      <c r="H133" s="3" t="inlineStr">
        <is>
          <t>Added fraction 0.01107780529128111560015639255 of cost base adjustment 01a152b9-9c6c-755a-8f1b-b86efe9edc32 | 2021-06-30 | Adjustment of VGS | Cost base increase = A$2,600.00</t>
        </is>
      </c>
      <c r="I133" t="inlineStr">
        <is>
          <t>cost base adjustment allocation</t>
        </is>
      </c>
      <c r="J133" s="5" t="inlineStr">
        <is>
          <t>01a152b9-9c9e-738d-a7e0-b0c198643589</t>
        </is>
      </c>
    </row>
    <row r="134">
      <c r="A134" s="5" t="inlineStr">
        <is>
          <t>01a152b9-9cac-76cd-bfa6-3d98faefaa94</t>
        </is>
      </c>
      <c r="D134" s="5" t="inlineStr">
        <is>
          <t>01a152b9-6e67-75da-8adb-b03e5d07fd21</t>
        </is>
      </c>
      <c r="E134" s="4" t="n">
        <v>46314.24604644253</v>
      </c>
      <c r="F134" s="4" t="n">
        <v>46314.24604644265</v>
      </c>
      <c r="G134" t="b">
        <v>1</v>
      </c>
      <c r="H134" s="3" t="inlineStr">
        <is>
          <t>Added fraction 0.01585646639732394978061601286 of cost base adjustment 01a152b9-9c6c-755a-8f1b-b86efe9edc32 | 2021-06-30 | Adjustment of VGS | Cost base increase = A$2,600.00</t>
        </is>
      </c>
      <c r="I134" t="inlineStr">
        <is>
          <t>cost base adjustment allocation</t>
        </is>
      </c>
      <c r="J134" s="5" t="inlineStr">
        <is>
          <t>01a152b9-9ca5-7426-b8fa-4a0aba8e5fb3</t>
        </is>
      </c>
    </row>
    <row r="135">
      <c r="A135" s="5" t="inlineStr">
        <is>
          <t>01a152b9-9cb4-7781-a8f0-ed4d6aa3de16</t>
        </is>
      </c>
      <c r="D135" s="5" t="inlineStr">
        <is>
          <t>01a152b9-6e67-75da-8adb-b03e5d07fd21</t>
        </is>
      </c>
      <c r="E135" s="4" t="n">
        <v>46314.24604653023</v>
      </c>
      <c r="F135" s="4" t="n">
        <v>46314.24604653034</v>
      </c>
      <c r="G135" t="b">
        <v>1</v>
      </c>
      <c r="H135" s="3" t="inlineStr">
        <is>
          <t>Added fraction 0.01585646639732394978061601286 of cost base adjustment 01a152b9-9c6c-755a-8f1b-b86efe9edc32 | 2021-06-30 | Adjustment of VGS | Cost base increase = A$2,600.00</t>
        </is>
      </c>
      <c r="I135" t="inlineStr">
        <is>
          <t>cost base adjustment allocation</t>
        </is>
      </c>
      <c r="J135" s="5" t="inlineStr">
        <is>
          <t>01a152b9-9cad-736e-9638-8a9fb0144548</t>
        </is>
      </c>
    </row>
    <row r="136">
      <c r="A136" s="5" t="inlineStr">
        <is>
          <t>01a152b9-9cbb-7699-99d0-aa8f6cecfbf9</t>
        </is>
      </c>
      <c r="D136" s="5" t="inlineStr">
        <is>
          <t>01a152b9-6e67-75da-8adb-b03e5d07fd21</t>
        </is>
      </c>
      <c r="E136" s="4" t="n">
        <v>46314.24604661659</v>
      </c>
      <c r="F136" s="4" t="n">
        <v>46314.24604661671</v>
      </c>
      <c r="G136" t="b">
        <v>1</v>
      </c>
      <c r="H136" s="3" t="inlineStr">
        <is>
          <t>Added fraction 0.02537034623571831964898562057 of cost base adjustment 01a152b9-9c6c-755a-8f1b-b86efe9edc32 | 2021-06-30 | Adjustment of VGS | Cost base increase = A$2,600.00</t>
        </is>
      </c>
      <c r="I136" t="inlineStr">
        <is>
          <t>cost base adjustment allocation</t>
        </is>
      </c>
      <c r="J136" s="5" t="inlineStr">
        <is>
          <t>01a152b9-9cb5-711e-93d2-be2e03bd7a1e</t>
        </is>
      </c>
    </row>
    <row r="137">
      <c r="A137" s="5" t="inlineStr">
        <is>
          <t>01a152b9-9cc2-7706-b030-4d46912cf0f2</t>
        </is>
      </c>
      <c r="D137" s="5" t="inlineStr">
        <is>
          <t>01a152b9-6e67-75da-8adb-b03e5d07fd21</t>
        </is>
      </c>
      <c r="E137" s="4" t="n">
        <v>46314.24604670134</v>
      </c>
      <c r="F137" s="4" t="n">
        <v>46314.24604670145</v>
      </c>
      <c r="G137" t="b">
        <v>1</v>
      </c>
      <c r="H137" s="3" t="inlineStr">
        <is>
          <t>Added fraction 0.02589165472001390155958121552 of cost base adjustment 01a152b9-9c6c-755a-8f1b-b86efe9edc32 | 2021-06-30 | Adjustment of VGS | Cost base increase = A$2,600.00</t>
        </is>
      </c>
      <c r="I137" t="inlineStr">
        <is>
          <t>cost base adjustment allocation</t>
        </is>
      </c>
      <c r="J137" s="5" t="inlineStr">
        <is>
          <t>01a152b9-9cbc-7383-8b3e-618c8aa988d4</t>
        </is>
      </c>
    </row>
    <row r="138">
      <c r="A138" s="5" t="inlineStr">
        <is>
          <t>01a152b9-9cca-74e1-b011-121864a2010c</t>
        </is>
      </c>
      <c r="D138" s="5" t="inlineStr">
        <is>
          <t>01a152b9-6e67-75da-8adb-b03e5d07fd21</t>
        </is>
      </c>
      <c r="E138" s="4" t="n">
        <v>46314.24604679066</v>
      </c>
      <c r="F138" s="4" t="n">
        <v>46314.24604679075</v>
      </c>
      <c r="G138" t="b">
        <v>1</v>
      </c>
      <c r="H138" s="3" t="inlineStr">
        <is>
          <t>Added fraction 0.03040966158390894478474303836 of cost base adjustment 01a152b9-9c6c-755a-8f1b-b86efe9edc32 | 2021-06-30 | Adjustment of VGS | Cost base increase = A$2,600.00</t>
        </is>
      </c>
      <c r="I138" t="inlineStr">
        <is>
          <t>cost base adjustment allocation</t>
        </is>
      </c>
      <c r="J138" s="5" t="inlineStr">
        <is>
          <t>01a152b9-9cc3-763e-92a4-7563c425ba9e</t>
        </is>
      </c>
    </row>
    <row r="139">
      <c r="A139" s="5" t="inlineStr">
        <is>
          <t>01a152b9-9cd2-7638-b6df-64cea7de47b5</t>
        </is>
      </c>
      <c r="D139" s="5" t="inlineStr">
        <is>
          <t>01a152b9-6e67-75da-8adb-b03e5d07fd21</t>
        </is>
      </c>
      <c r="E139" s="4" t="n">
        <v>46314.24604688113</v>
      </c>
      <c r="F139" s="4" t="n">
        <v>46314.24604688125</v>
      </c>
      <c r="G139" t="b">
        <v>1</v>
      </c>
      <c r="H139" s="3" t="inlineStr">
        <is>
          <t>Added fraction 0.03171293279464789956123202572 of cost base adjustment 01a152b9-9c6c-755a-8f1b-b86efe9edc32 | 2021-06-30 | Adjustment of VGS | Cost base increase = A$2,600.00</t>
        </is>
      </c>
      <c r="I139" t="inlineStr">
        <is>
          <t>cost base adjustment allocation</t>
        </is>
      </c>
      <c r="J139" s="5" t="inlineStr">
        <is>
          <t>01a152b9-9ccb-72af-9dc4-d4581a54ea8e</t>
        </is>
      </c>
    </row>
    <row r="140">
      <c r="A140" s="5" t="inlineStr">
        <is>
          <t>01a152b9-9cdb-727f-9445-ca88204aaa01</t>
        </is>
      </c>
      <c r="D140" s="5" t="inlineStr">
        <is>
          <t>01a152b9-6e67-75da-8adb-b03e5d07fd21</t>
        </is>
      </c>
      <c r="E140" s="4" t="n">
        <v>46314.24604698924</v>
      </c>
      <c r="F140" s="4" t="n">
        <v>46314.24604698934</v>
      </c>
      <c r="G140" t="b">
        <v>1</v>
      </c>
      <c r="H140" s="3" t="inlineStr">
        <is>
          <t>Added fraction 0.03171293279464789956123202572 of cost base adjustment 01a152b9-9c6c-755a-8f1b-b86efe9edc32 | 2021-06-30 | Adjustment of VGS | Cost base increase = A$2,600.00</t>
        </is>
      </c>
      <c r="I140" t="inlineStr">
        <is>
          <t>cost base adjustment allocation</t>
        </is>
      </c>
      <c r="J140" s="5" t="inlineStr">
        <is>
          <t>01a152b9-9cd3-7304-818e-1a023356dc31</t>
        </is>
      </c>
    </row>
    <row r="141">
      <c r="A141" s="5" t="inlineStr">
        <is>
          <t>01a152b9-9ce3-7727-bb4e-e2f6d2ffd95b</t>
        </is>
      </c>
      <c r="D141" s="5" t="inlineStr">
        <is>
          <t>01a152b9-6e67-75da-8adb-b03e5d07fd21</t>
        </is>
      </c>
      <c r="E141" s="4" t="n">
        <v>46314.24604707631</v>
      </c>
      <c r="F141" s="4" t="n">
        <v>46314.24604707641</v>
      </c>
      <c r="G141" t="b">
        <v>1</v>
      </c>
      <c r="H141" s="3" t="inlineStr">
        <is>
          <t>Added fraction 0.03171293279464789956123202572 of cost base adjustment 01a152b9-9c6c-755a-8f1b-b86efe9edc32 | 2021-06-30 | Adjustment of VGS | Cost base increase = A$2,600.00</t>
        </is>
      </c>
      <c r="I141" t="inlineStr">
        <is>
          <t>cost base adjustment allocation</t>
        </is>
      </c>
      <c r="J141" s="5" t="inlineStr">
        <is>
          <t>01a152b9-9cdc-7458-9d13-56e665f79017</t>
        </is>
      </c>
    </row>
    <row r="142">
      <c r="A142" s="5" t="inlineStr">
        <is>
          <t>01a152b9-9cec-738c-bfb5-1dac3ddb928e</t>
        </is>
      </c>
      <c r="D142" s="5" t="inlineStr">
        <is>
          <t>01a152b9-6e67-75da-8adb-b03e5d07fd21</t>
        </is>
      </c>
      <c r="E142" s="4" t="n">
        <v>46314.24604717945</v>
      </c>
      <c r="F142" s="4" t="n">
        <v>46314.24604717956</v>
      </c>
      <c r="G142" t="b">
        <v>1</v>
      </c>
      <c r="H142" s="3" t="inlineStr">
        <is>
          <t>Added fraction 0.03171293279464789956123202572 of cost base adjustment 01a152b9-9c6c-755a-8f1b-b86efe9edc32 | 2021-06-30 | Adjustment of VGS | Cost base increase = A$2,600.00</t>
        </is>
      </c>
      <c r="I142" t="inlineStr">
        <is>
          <t>cost base adjustment allocation</t>
        </is>
      </c>
      <c r="J142" s="5" t="inlineStr">
        <is>
          <t>01a152b9-9ce4-7255-b339-bd7fb2927033</t>
        </is>
      </c>
    </row>
    <row r="143">
      <c r="A143" s="5" t="inlineStr">
        <is>
          <t>01a152b9-9cf5-70e2-8e92-b3cc3761c0bc</t>
        </is>
      </c>
      <c r="D143" s="5" t="inlineStr">
        <is>
          <t>01a152b9-6e67-75da-8adb-b03e5d07fd21</t>
        </is>
      </c>
      <c r="E143" s="4" t="n">
        <v>46314.24604729139</v>
      </c>
      <c r="F143" s="4" t="n">
        <v>46314.24604729149</v>
      </c>
      <c r="G143" t="b">
        <v>1</v>
      </c>
      <c r="H143" s="3" t="inlineStr">
        <is>
          <t>Added fraction 0.03171293279464789956123202572 of cost base adjustment 01a152b9-9c6c-755a-8f1b-b86efe9edc32 | 2021-06-30 | Adjustment of VGS | Cost base increase = A$2,600.00</t>
        </is>
      </c>
      <c r="I143" t="inlineStr">
        <is>
          <t>cost base adjustment allocation</t>
        </is>
      </c>
      <c r="J143" s="5" t="inlineStr">
        <is>
          <t>01a152b9-9ced-730d-87f6-559837093932</t>
        </is>
      </c>
    </row>
    <row r="144">
      <c r="A144" s="5" t="inlineStr">
        <is>
          <t>01a152b9-9cfe-77f2-a0c2-6bae12434c5c</t>
        </is>
      </c>
      <c r="D144" s="5" t="inlineStr">
        <is>
          <t>01a152b9-6e67-75da-8adb-b03e5d07fd21</t>
        </is>
      </c>
      <c r="E144" s="4" t="n">
        <v>46314.24604738841</v>
      </c>
      <c r="F144" s="4" t="n">
        <v>46314.24604738852</v>
      </c>
      <c r="G144" t="b">
        <v>1</v>
      </c>
      <c r="H144" s="3" t="inlineStr">
        <is>
          <t>Added fraction 0.03171293279464789956123202572 of cost base adjustment 01a152b9-9c6c-755a-8f1b-b86efe9edc32 | 2021-06-30 | Adjustment of VGS | Cost base increase = A$2,600.00</t>
        </is>
      </c>
      <c r="I144" t="inlineStr">
        <is>
          <t>cost base adjustment allocation</t>
        </is>
      </c>
      <c r="J144" s="5" t="inlineStr">
        <is>
          <t>01a152b9-9cf6-723f-ad40-b46a9487e6f0</t>
        </is>
      </c>
    </row>
    <row r="145">
      <c r="A145" s="5" t="inlineStr">
        <is>
          <t>01a152b9-9d05-713b-9b6d-bc0d8398cf88</t>
        </is>
      </c>
      <c r="D145" s="5" t="inlineStr">
        <is>
          <t>01a152b9-6e67-75da-8adb-b03e5d07fd21</t>
        </is>
      </c>
      <c r="E145" s="4" t="n">
        <v>46314.24604747336</v>
      </c>
      <c r="F145" s="4" t="n">
        <v>46314.24604747348</v>
      </c>
      <c r="G145" t="b">
        <v>1</v>
      </c>
      <c r="H145" s="3" t="inlineStr">
        <is>
          <t>Added fraction 0.03171293279464789956123202572 of cost base adjustment 01a152b9-9c6c-755a-8f1b-b86efe9edc32 | 2021-06-30 | Adjustment of VGS | Cost base increase = A$2,600.00</t>
        </is>
      </c>
      <c r="I145" t="inlineStr">
        <is>
          <t>cost base adjustment allocation</t>
        </is>
      </c>
      <c r="J145" s="5" t="inlineStr">
        <is>
          <t>01a152b9-9cff-762f-b174-a77b600647ae</t>
        </is>
      </c>
    </row>
    <row r="146">
      <c r="A146" s="5" t="inlineStr">
        <is>
          <t>01a152b9-9d0d-73ae-9f6a-9cadb8d68c1d</t>
        </is>
      </c>
      <c r="D146" s="5" t="inlineStr">
        <is>
          <t>01a152b9-6e67-75da-8adb-b03e5d07fd21</t>
        </is>
      </c>
      <c r="E146" s="4" t="n">
        <v>46314.24604756026</v>
      </c>
      <c r="F146" s="4" t="n">
        <v>46314.24604756036</v>
      </c>
      <c r="G146" t="b">
        <v>1</v>
      </c>
      <c r="H146" s="3" t="inlineStr">
        <is>
          <t>Added fraction 0.05708327903036621921021764629 of cost base adjustment 01a152b9-9c6c-755a-8f1b-b86efe9edc32 | 2021-06-30 | Adjustment of VGS | Cost base increase = A$2,600.00</t>
        </is>
      </c>
      <c r="I146" t="inlineStr">
        <is>
          <t>cost base adjustment allocation</t>
        </is>
      </c>
      <c r="J146" s="5" t="inlineStr">
        <is>
          <t>01a152b9-9d06-7024-993a-b0e7c46e9c15</t>
        </is>
      </c>
    </row>
    <row r="147">
      <c r="A147" s="5" t="inlineStr">
        <is>
          <t>01a152b9-9d15-73e7-bb89-c21e913c43b6</t>
        </is>
      </c>
      <c r="D147" s="5" t="inlineStr">
        <is>
          <t>01a152b9-6e67-75da-8adb-b03e5d07fd21</t>
        </is>
      </c>
      <c r="E147" s="4" t="n">
        <v>46314.24604766206</v>
      </c>
      <c r="F147" s="4" t="n">
        <v>46314.24604766222</v>
      </c>
      <c r="G147" t="b">
        <v>1</v>
      </c>
      <c r="H147" s="3" t="inlineStr">
        <is>
          <t>Added fraction 0.06342586558929579912246405144 of cost base adjustment 01a152b9-9c6c-755a-8f1b-b86efe9edc32 | 2021-06-30 | Adjustment of VGS | Cost base increase = A$2,600.00</t>
        </is>
      </c>
      <c r="I147" t="inlineStr">
        <is>
          <t>cost base adjustment allocation</t>
        </is>
      </c>
      <c r="J147" s="5" t="inlineStr">
        <is>
          <t>01a152b9-9d0e-7362-b8d8-6a9cbf69ae0a</t>
        </is>
      </c>
    </row>
    <row r="148">
      <c r="A148" s="5" t="inlineStr">
        <is>
          <t>01a152b9-9d1f-71a8-b866-f19ee1917364</t>
        </is>
      </c>
      <c r="D148" s="5" t="inlineStr">
        <is>
          <t>01a152b9-6e67-75da-8adb-b03e5d07fd21</t>
        </is>
      </c>
      <c r="E148" s="4" t="n">
        <v>46314.24604777459</v>
      </c>
      <c r="F148" s="4" t="n">
        <v>46314.24604777476</v>
      </c>
      <c r="G148" t="b">
        <v>1</v>
      </c>
      <c r="H148" s="3" t="inlineStr">
        <is>
          <t>Added fraction 0.06342586558929579912246405144 of cost base adjustment 01a152b9-9c6c-755a-8f1b-b86efe9edc32 | 2021-06-30 | Adjustment of VGS | Cost base increase = A$2,600.00</t>
        </is>
      </c>
      <c r="I148" t="inlineStr">
        <is>
          <t>cost base adjustment allocation</t>
        </is>
      </c>
      <c r="J148" s="5" t="inlineStr">
        <is>
          <t>01a152b9-9d17-77c7-92f3-f29e3099f477</t>
        </is>
      </c>
    </row>
    <row r="149">
      <c r="A149" s="5" t="inlineStr">
        <is>
          <t>01a152b9-9d28-7567-9646-81149159f8a2</t>
        </is>
      </c>
      <c r="D149" s="5" t="inlineStr">
        <is>
          <t>01a152b9-6e67-75da-8adb-b03e5d07fd21</t>
        </is>
      </c>
      <c r="E149" s="4" t="n">
        <v>46314.24604788214</v>
      </c>
      <c r="F149" s="4" t="n">
        <v>46314.24604788227</v>
      </c>
      <c r="G149" t="b">
        <v>1</v>
      </c>
      <c r="H149" s="3" t="inlineStr">
        <is>
          <t>Added fraction 0.06342586558929579912246405144 of cost base adjustment 01a152b9-9c6c-755a-8f1b-b86efe9edc32 | 2021-06-30 | Adjustment of VGS | Cost base increase = A$2,600.00</t>
        </is>
      </c>
      <c r="I149" t="inlineStr">
        <is>
          <t>cost base adjustment allocation</t>
        </is>
      </c>
      <c r="J149" s="5" t="inlineStr">
        <is>
          <t>01a152b9-9d20-7442-9138-320ddd8c6557</t>
        </is>
      </c>
    </row>
    <row r="150">
      <c r="A150" s="5" t="inlineStr">
        <is>
          <t>01a152b9-9d32-703d-a9da-a5d66bcf99aa</t>
        </is>
      </c>
      <c r="D150" s="5" t="inlineStr">
        <is>
          <t>01a152b9-6e67-75da-8adb-b03e5d07fd21</t>
        </is>
      </c>
      <c r="E150" s="4" t="n">
        <v>46314.2460479915</v>
      </c>
      <c r="F150" s="4" t="n">
        <v>46314.24604799167</v>
      </c>
      <c r="G150" t="b">
        <v>1</v>
      </c>
      <c r="H150" s="3" t="inlineStr">
        <is>
          <t>Added fraction 0.06342586558929579912246405144 of cost base adjustment 01a152b9-9c6c-755a-8f1b-b86efe9edc32 | 2021-06-30 | Adjustment of VGS | Cost base increase = A$2,600.00</t>
        </is>
      </c>
      <c r="I150" t="inlineStr">
        <is>
          <t>cost base adjustment allocation</t>
        </is>
      </c>
      <c r="J150" s="5" t="inlineStr">
        <is>
          <t>01a152b9-9d29-7529-b4b3-78df0726008f</t>
        </is>
      </c>
    </row>
    <row r="151">
      <c r="A151" s="5" t="inlineStr">
        <is>
          <t>01a152b9-9d3b-76e7-83cb-db6b9af3a0d8</t>
        </is>
      </c>
      <c r="D151" s="5" t="inlineStr">
        <is>
          <t>01a152b9-6e67-75da-8adb-b03e5d07fd21</t>
        </is>
      </c>
      <c r="E151" s="4" t="n">
        <v>46314.24604810108</v>
      </c>
      <c r="F151" s="4" t="n">
        <v>46314.24604810122</v>
      </c>
      <c r="G151" t="b">
        <v>1</v>
      </c>
      <c r="H151" s="3" t="inlineStr">
        <is>
          <t>Added fraction 0.06342586558929579912246405144 of cost base adjustment 01a152b9-9c6c-755a-8f1b-b86efe9edc32 | 2021-06-30 | Adjustment of VGS | Cost base increase = A$2,600.00</t>
        </is>
      </c>
      <c r="I151" t="inlineStr">
        <is>
          <t>cost base adjustment allocation</t>
        </is>
      </c>
      <c r="J151" s="5" t="inlineStr">
        <is>
          <t>01a152b9-9d33-72bc-b66f-825cf8cf3fce</t>
        </is>
      </c>
    </row>
    <row r="152">
      <c r="A152" s="5" t="inlineStr">
        <is>
          <t>01a152b9-9d44-745c-b8df-a36ee5abd6e9</t>
        </is>
      </c>
      <c r="D152" s="5" t="inlineStr">
        <is>
          <t>01a152b9-6e67-75da-8adb-b03e5d07fd21</t>
        </is>
      </c>
      <c r="E152" s="4" t="n">
        <v>46314.24604820491</v>
      </c>
      <c r="F152" s="4" t="n">
        <v>46314.24604820502</v>
      </c>
      <c r="G152" t="b">
        <v>1</v>
      </c>
      <c r="H152" s="3" t="inlineStr">
        <is>
          <t>Added fraction 0.07928233198661974890308006429 of cost base adjustment 01a152b9-9c6c-755a-8f1b-b86efe9edc32 | 2021-06-30 | Adjustment of VGS | Cost base increase = A$2,600.00</t>
        </is>
      </c>
      <c r="I152" t="inlineStr">
        <is>
          <t>cost base adjustment allocation</t>
        </is>
      </c>
      <c r="J152" s="5" t="inlineStr">
        <is>
          <t>01a152b9-9d3c-7362-aa63-39118aba72bf</t>
        </is>
      </c>
    </row>
    <row r="153">
      <c r="A153" s="5" t="inlineStr">
        <is>
          <t>01a152b9-9d4c-759c-aa59-0621bb5abe45</t>
        </is>
      </c>
      <c r="D153" s="5" t="inlineStr">
        <is>
          <t>01a152b9-6e67-75da-8adb-b03e5d07fd21</t>
        </is>
      </c>
      <c r="E153" s="4" t="n">
        <v>46314.24604829839</v>
      </c>
      <c r="F153" s="4" t="n">
        <v>46314.2460482985</v>
      </c>
      <c r="G153" t="b">
        <v>1</v>
      </c>
      <c r="H153" s="3" t="inlineStr">
        <is>
          <t>Added fraction 0.07928233198661974890308006429 of cost base adjustment 01a152b9-9c6c-755a-8f1b-b86efe9edc32 | 2021-06-30 | Adjustment of VGS | Cost base increase = A$2,600.00</t>
        </is>
      </c>
      <c r="I153" t="inlineStr">
        <is>
          <t>cost base adjustment allocation</t>
        </is>
      </c>
      <c r="J153" s="5" t="inlineStr">
        <is>
          <t>01a152b9-9d45-72d7-bddd-f74f943a36f6</t>
        </is>
      </c>
    </row>
    <row r="154">
      <c r="A154" s="5" t="inlineStr">
        <is>
          <t>01a152b9-9d55-76bc-af3c-1ca5d672ed86</t>
        </is>
      </c>
      <c r="D154" s="5" t="inlineStr">
        <is>
          <t>01a152b9-6e67-75da-8adb-b03e5d07fd21</t>
        </is>
      </c>
      <c r="E154" s="4" t="n">
        <v>46314.24604839404</v>
      </c>
      <c r="F154" s="4" t="n">
        <v>46314.24604839418</v>
      </c>
      <c r="G154" t="b">
        <v>1</v>
      </c>
      <c r="H154" s="3" t="inlineStr">
        <is>
          <t>residual of cost base adjustment 01a152b9-9c6c-755a-8f1b-b86efe9edc32 | 2021-06-30 | Adjustment of VGS | Cost base increase = A$2,600.00</t>
        </is>
      </c>
      <c r="I154" t="inlineStr">
        <is>
          <t>cost base adjustment allocation</t>
        </is>
      </c>
      <c r="J154" s="5" t="inlineStr">
        <is>
          <t>01a152b9-9d4d-77d0-8576-69fa9fc09b54</t>
        </is>
      </c>
    </row>
    <row r="155">
      <c r="A155" s="5" t="inlineStr">
        <is>
          <t>01a152b9-9e40-774e-8189-6729dea8b6b5</t>
        </is>
      </c>
      <c r="D155" s="5" t="inlineStr">
        <is>
          <t>01a152b9-6e67-75da-8adb-b03e5d07fd21</t>
        </is>
      </c>
      <c r="E155" s="4" t="n">
        <v>46314.24605112124</v>
      </c>
      <c r="F155" s="4" t="n">
        <v>46314.24605112133</v>
      </c>
      <c r="G155" t="b">
        <v>1</v>
      </c>
      <c r="H155" s="3" t="inlineStr">
        <is>
          <t>This parcel was created by splitting parcel 01a152b9-9386-7582-9aa2-0771b5a4639a into two separate parcels.</t>
        </is>
      </c>
      <c r="I155" t="inlineStr">
        <is>
          <t>parcel</t>
        </is>
      </c>
      <c r="J155" s="5" t="inlineStr">
        <is>
          <t>01a152b9-9e3b-705d-8c1e-253f5175eee2</t>
        </is>
      </c>
    </row>
    <row r="156">
      <c r="A156" s="5" t="inlineStr">
        <is>
          <t>01a152b9-9e48-7509-9aa5-77d51f402127</t>
        </is>
      </c>
      <c r="D156" s="5" t="inlineStr">
        <is>
          <t>01a152b9-6e67-75da-8adb-b03e5d07fd21</t>
        </is>
      </c>
      <c r="E156" s="4" t="n">
        <v>46314.24605120704</v>
      </c>
      <c r="F156" s="4" t="n">
        <v>46314.24605120714</v>
      </c>
      <c r="G156" t="b">
        <v>1</v>
      </c>
      <c r="H156" s="3" t="inlineStr">
        <is>
          <t>This parcel was created by splitting parcel 01a152b9-9386-7582-9aa2-0771b5a4639a into two separate parcels.</t>
        </is>
      </c>
      <c r="I156" t="inlineStr">
        <is>
          <t>parcel</t>
        </is>
      </c>
      <c r="J156" s="5" t="inlineStr">
        <is>
          <t>01a152b9-9e42-72a2-9279-21d4ef4be340</t>
        </is>
      </c>
    </row>
    <row r="157">
      <c r="A157" s="5" t="inlineStr">
        <is>
          <t>01a152b9-9e49-76ce-8aba-82ef029b2566</t>
        </is>
      </c>
      <c r="D157" s="5" t="inlineStr">
        <is>
          <t>01a152b9-6e67-75da-8adb-b03e5d07fd21</t>
        </is>
      </c>
      <c r="E157" s="4" t="n">
        <v>46314.24605122102</v>
      </c>
      <c r="F157" s="4" t="n">
        <v>46314.24605122111</v>
      </c>
      <c r="G157" t="b">
        <v>1</v>
      </c>
      <c r="H157" s="3" t="inlineStr">
        <is>
          <t>This parcel was split into 01a152b9-9e3b-705d-8c1e-253f5175eee2 and 01a152b9-9e42-72a2-9279-21d4ef4be340, then marked as INACTIVE</t>
        </is>
      </c>
      <c r="I157" t="inlineStr">
        <is>
          <t>parcel</t>
        </is>
      </c>
      <c r="J157" s="5" t="inlineStr">
        <is>
          <t>01a152b9-9386-7582-9aa2-0771b5a4639a</t>
        </is>
      </c>
    </row>
    <row r="158">
      <c r="A158" s="5" t="inlineStr">
        <is>
          <t>01a152b9-9e55-74ae-8e21-706b4254fc50</t>
        </is>
      </c>
      <c r="D158" s="5" t="inlineStr">
        <is>
          <t>01a152b9-6e67-75da-8adb-b03e5d07fd21</t>
        </is>
      </c>
      <c r="E158" s="4" t="n">
        <v>46314.24605135736</v>
      </c>
      <c r="F158" s="4" t="n">
        <v>46314.24605135748</v>
      </c>
      <c r="G158" t="b">
        <v>1</v>
      </c>
      <c r="H158" s="3" t="inlineStr">
        <is>
          <t>This CostBaseAdjustmentAllocation was created by splitting 01a152b9-9abe-7371-bfd4-fd2bbd14ae88 into two separate allocations.</t>
        </is>
      </c>
      <c r="I158" t="inlineStr">
        <is>
          <t>cost base adjustment allocation</t>
        </is>
      </c>
      <c r="J158" s="5" t="inlineStr">
        <is>
          <t>01a152b9-9e4d-7247-a4b0-078dd87fd85e</t>
        </is>
      </c>
    </row>
    <row r="159">
      <c r="A159" s="5" t="inlineStr">
        <is>
          <t>01a152b9-9e5c-7284-b8d3-99dc9eac9e9f</t>
        </is>
      </c>
      <c r="D159" s="5" t="inlineStr">
        <is>
          <t>01a152b9-6e67-75da-8adb-b03e5d07fd21</t>
        </is>
      </c>
      <c r="E159" s="4" t="n">
        <v>46314.24605144419</v>
      </c>
      <c r="F159" s="4" t="n">
        <v>46314.24605144428</v>
      </c>
      <c r="G159" t="b">
        <v>1</v>
      </c>
      <c r="H159" s="3" t="inlineStr">
        <is>
          <t>This CostBaseAdjustmentAllocation was created by splitting 01a152b9-9abe-7371-bfd4-fd2bbd14ae88 into two separate allocations.</t>
        </is>
      </c>
      <c r="I159" t="inlineStr">
        <is>
          <t>cost base adjustment allocation</t>
        </is>
      </c>
      <c r="J159" s="5" t="inlineStr">
        <is>
          <t>01a152b9-9e56-7192-a4ab-543bbb8b4947</t>
        </is>
      </c>
    </row>
    <row r="160">
      <c r="A160" s="5" t="inlineStr">
        <is>
          <t>01a152b9-9e5d-754d-bdb4-8da756705667</t>
        </is>
      </c>
      <c r="D160" s="5" t="inlineStr">
        <is>
          <t>01a152b9-6e67-75da-8adb-b03e5d07fd21</t>
        </is>
      </c>
      <c r="E160" s="4" t="n">
        <v>46314.24605145705</v>
      </c>
      <c r="F160" s="4" t="n">
        <v>46314.24605145715</v>
      </c>
      <c r="G160" t="b">
        <v>1</v>
      </c>
      <c r="H160" s="3" t="inlineStr">
        <is>
          <t>This allocation was split into 01a152b9-9e4d-7247-a4b0-078dd87fd85e and 01a152b9-9e56-7192-a4ab-543bbb8b4947, then marked as INACTIVE</t>
        </is>
      </c>
      <c r="I160" t="inlineStr">
        <is>
          <t>cost base adjustment allocation</t>
        </is>
      </c>
      <c r="J160" s="5" t="inlineStr">
        <is>
          <t>01a152b9-9abe-7371-bfd4-fd2bbd14ae88</t>
        </is>
      </c>
    </row>
    <row r="161">
      <c r="A161" s="5" t="inlineStr">
        <is>
          <t>01a152b9-9e6e-736f-814a-1e3988175878</t>
        </is>
      </c>
      <c r="D161" s="5" t="inlineStr">
        <is>
          <t>01a152b9-6e67-75da-8adb-b03e5d07fd21</t>
        </is>
      </c>
      <c r="E161" s="4" t="n">
        <v>46314.24605164611</v>
      </c>
      <c r="F161" s="4" t="n">
        <v>46314.24605164622</v>
      </c>
      <c r="G161" t="b">
        <v>1</v>
      </c>
      <c r="H161" s="3" t="inlineStr">
        <is>
          <t>This CostBaseAdjustmentAllocation was created by splitting 01a152b9-9c2a-73c9-a832-4624826b5a65 into two separate allocations.</t>
        </is>
      </c>
      <c r="I161" t="inlineStr">
        <is>
          <t>cost base adjustment allocation</t>
        </is>
      </c>
      <c r="J161" s="5" t="inlineStr">
        <is>
          <t>01a152b9-9e67-76e2-b5f9-82d2f2ab782f</t>
        </is>
      </c>
    </row>
    <row r="162">
      <c r="A162" s="5" t="inlineStr">
        <is>
          <t>01a152b9-9e75-75aa-8419-48635dbe58b2</t>
        </is>
      </c>
      <c r="D162" s="5" t="inlineStr">
        <is>
          <t>01a152b9-6e67-75da-8adb-b03e5d07fd21</t>
        </is>
      </c>
      <c r="E162" s="4" t="n">
        <v>46314.24605172851</v>
      </c>
      <c r="F162" s="4" t="n">
        <v>46314.2460517286</v>
      </c>
      <c r="G162" t="b">
        <v>1</v>
      </c>
      <c r="H162" s="3" t="inlineStr">
        <is>
          <t>This CostBaseAdjustmentAllocation was created by splitting 01a152b9-9c2a-73c9-a832-4624826b5a65 into two separate allocations.</t>
        </is>
      </c>
      <c r="I162" t="inlineStr">
        <is>
          <t>cost base adjustment allocation</t>
        </is>
      </c>
      <c r="J162" s="5" t="inlineStr">
        <is>
          <t>01a152b9-9e6f-77b6-b686-b629381f37fe</t>
        </is>
      </c>
    </row>
    <row r="163">
      <c r="A163" s="5" t="inlineStr">
        <is>
          <t>01a152b9-9e76-77db-a261-c7bea078af72</t>
        </is>
      </c>
      <c r="D163" s="5" t="inlineStr">
        <is>
          <t>01a152b9-6e67-75da-8adb-b03e5d07fd21</t>
        </is>
      </c>
      <c r="E163" s="4" t="n">
        <v>46314.24605173975</v>
      </c>
      <c r="F163" s="4" t="n">
        <v>46314.24605173981</v>
      </c>
      <c r="G163" t="b">
        <v>1</v>
      </c>
      <c r="H163" s="3" t="inlineStr">
        <is>
          <t>This allocation was split into 01a152b9-9e67-76e2-b5f9-82d2f2ab782f and 01a152b9-9e6f-77b6-b686-b629381f37fe, then marked as INACTIVE</t>
        </is>
      </c>
      <c r="I163" t="inlineStr">
        <is>
          <t>cost base adjustment allocation</t>
        </is>
      </c>
      <c r="J163" s="5" t="inlineStr">
        <is>
          <t>01a152b9-9c2a-73c9-a832-4624826b5a65</t>
        </is>
      </c>
    </row>
    <row r="164">
      <c r="A164" s="5" t="inlineStr">
        <is>
          <t>01a152b9-9eb6-72ec-9b4b-d3b956a71898</t>
        </is>
      </c>
      <c r="D164" s="5" t="inlineStr">
        <is>
          <t>01a152b9-6e67-75da-8adb-b03e5d07fd21</t>
        </is>
      </c>
      <c r="E164" s="4" t="n">
        <v>46314.24605248043</v>
      </c>
      <c r="F164" s="4" t="n">
        <v>46314.24605248054</v>
      </c>
      <c r="G164" t="b">
        <v>1</v>
      </c>
      <c r="H164" s="3" t="inlineStr">
        <is>
          <t>Added fraction 0.02645502645502645502645502646 of cost base adjustment 01a152b9-9ea5-74f8-869e-2f153e93267b | 2022-06-30 | Adjustment of VDHG | Cost base increase = -A$32.60</t>
        </is>
      </c>
      <c r="I164" t="inlineStr">
        <is>
          <t>cost base adjustment allocation</t>
        </is>
      </c>
      <c r="J164" s="5" t="inlineStr">
        <is>
          <t>01a152b9-9ea9-74ec-ab6f-fe940ac3a1df</t>
        </is>
      </c>
    </row>
    <row r="165">
      <c r="A165" s="5" t="inlineStr">
        <is>
          <t>01a152b9-9ec3-73ca-a66e-33222e67ccdb</t>
        </is>
      </c>
      <c r="D165" s="5" t="inlineStr">
        <is>
          <t>01a152b9-6e67-75da-8adb-b03e5d07fd21</t>
        </is>
      </c>
      <c r="E165" s="4" t="n">
        <v>46314.24605264072</v>
      </c>
      <c r="F165" s="4" t="n">
        <v>46314.24605264085</v>
      </c>
      <c r="G165" t="b">
        <v>1</v>
      </c>
      <c r="H165" s="3" t="inlineStr">
        <is>
          <t>Added fraction 0.04924704924704924704924704925 of cost base adjustment 01a152b9-9ea5-74f8-869e-2f153e93267b | 2022-06-30 | Adjustment of VDHG | Cost base increase = -A$32.60</t>
        </is>
      </c>
      <c r="I165" t="inlineStr">
        <is>
          <t>cost base adjustment allocation</t>
        </is>
      </c>
      <c r="J165" s="5" t="inlineStr">
        <is>
          <t>01a152b9-9eb7-71b8-b11f-e73f2ab93424</t>
        </is>
      </c>
    </row>
    <row r="166">
      <c r="A166" s="5" t="inlineStr">
        <is>
          <t>01a152b9-9ecd-700c-bed1-5d3abf313639</t>
        </is>
      </c>
      <c r="D166" s="5" t="inlineStr">
        <is>
          <t>01a152b9-6e67-75da-8adb-b03e5d07fd21</t>
        </is>
      </c>
      <c r="E166" s="4" t="n">
        <v>46314.24605274809</v>
      </c>
      <c r="F166" s="4" t="n">
        <v>46314.24605274824</v>
      </c>
      <c r="G166" t="b">
        <v>1</v>
      </c>
      <c r="H166" s="3" t="inlineStr">
        <is>
          <t>Added fraction 0.06267806267806267806267806268 of cost base adjustment 01a152b9-9ea5-74f8-869e-2f153e93267b | 2022-06-30 | Adjustment of VDHG | Cost base increase = -A$32.60</t>
        </is>
      </c>
      <c r="I166" t="inlineStr">
        <is>
          <t>cost base adjustment allocation</t>
        </is>
      </c>
      <c r="J166" s="5" t="inlineStr">
        <is>
          <t>01a152b9-9ec5-71b9-8e0e-d001e09b73ca</t>
        </is>
      </c>
    </row>
    <row r="167">
      <c r="A167" s="5" t="inlineStr">
        <is>
          <t>01a152b9-9ed8-75f2-a330-bd9dcbe0a226</t>
        </is>
      </c>
      <c r="D167" s="5" t="inlineStr">
        <is>
          <t>01a152b9-6e67-75da-8adb-b03e5d07fd21</t>
        </is>
      </c>
      <c r="E167" s="4" t="n">
        <v>46314.24605288143</v>
      </c>
      <c r="F167" s="4" t="n">
        <v>46314.24605288151</v>
      </c>
      <c r="G167" t="b">
        <v>1</v>
      </c>
      <c r="H167" s="3" t="inlineStr">
        <is>
          <t>Added fraction 0.08506308506308506308506308506 of cost base adjustment 01a152b9-9ea5-74f8-869e-2f153e93267b | 2022-06-30 | Adjustment of VDHG | Cost base increase = -A$32.60</t>
        </is>
      </c>
      <c r="I167" t="inlineStr">
        <is>
          <t>cost base adjustment allocation</t>
        </is>
      </c>
      <c r="J167" s="5" t="inlineStr">
        <is>
          <t>01a152b9-9ece-7725-a07e-1e1d5ddfeba3</t>
        </is>
      </c>
    </row>
    <row r="168">
      <c r="A168" s="5" t="inlineStr">
        <is>
          <t>01a152b9-9ee4-7685-a94c-0654895e4737</t>
        </is>
      </c>
      <c r="D168" s="5" t="inlineStr">
        <is>
          <t>01a152b9-6e67-75da-8adb-b03e5d07fd21</t>
        </is>
      </c>
      <c r="E168" s="4" t="n">
        <v>46314.24605301315</v>
      </c>
      <c r="F168" s="4" t="n">
        <v>46314.24605301325</v>
      </c>
      <c r="G168" t="b">
        <v>1</v>
      </c>
      <c r="H168" s="3" t="inlineStr">
        <is>
          <t>Added fraction 0.08547008547008547008547008547 of cost base adjustment 01a152b9-9ea5-74f8-869e-2f153e93267b | 2022-06-30 | Adjustment of VDHG | Cost base increase = -A$32.60</t>
        </is>
      </c>
      <c r="I168" t="inlineStr">
        <is>
          <t>cost base adjustment allocation</t>
        </is>
      </c>
      <c r="J168" s="5" t="inlineStr">
        <is>
          <t>01a152b9-9ed9-70bc-9502-75c69eeb8608</t>
        </is>
      </c>
    </row>
    <row r="169">
      <c r="A169" s="5" t="inlineStr">
        <is>
          <t>01a152b9-9eec-74bf-856a-fa1e1e728bae</t>
        </is>
      </c>
      <c r="D169" s="5" t="inlineStr">
        <is>
          <t>01a152b9-6e67-75da-8adb-b03e5d07fd21</t>
        </is>
      </c>
      <c r="E169" s="4" t="n">
        <v>46314.24605310539</v>
      </c>
      <c r="F169" s="4" t="n">
        <v>46314.2460531055</v>
      </c>
      <c r="G169" t="b">
        <v>1</v>
      </c>
      <c r="H169" s="3" t="inlineStr">
        <is>
          <t>Added fraction 0.09483109483109483109483109483 of cost base adjustment 01a152b9-9ea5-74f8-869e-2f153e93267b | 2022-06-30 | Adjustment of VDHG | Cost base increase = -A$32.60</t>
        </is>
      </c>
      <c r="I169" t="inlineStr">
        <is>
          <t>cost base adjustment allocation</t>
        </is>
      </c>
      <c r="J169" s="5" t="inlineStr">
        <is>
          <t>01a152b9-9ee5-7057-8309-e2834261eacd</t>
        </is>
      </c>
    </row>
    <row r="170">
      <c r="A170" s="5" t="inlineStr">
        <is>
          <t>01a152b9-9ef8-769c-94f0-37efef99ad2e</t>
        </is>
      </c>
      <c r="D170" s="5" t="inlineStr">
        <is>
          <t>01a152b9-6e67-75da-8adb-b03e5d07fd21</t>
        </is>
      </c>
      <c r="E170" s="4" t="n">
        <v>46314.2460532445</v>
      </c>
      <c r="F170" s="4" t="n">
        <v>46314.2460532446</v>
      </c>
      <c r="G170" t="b">
        <v>1</v>
      </c>
      <c r="H170" s="3" t="inlineStr">
        <is>
          <t>Added fraction 0.09686609686609686609686609687 of cost base adjustment 01a152b9-9ea5-74f8-869e-2f153e93267b | 2022-06-30 | Adjustment of VDHG | Cost base increase = -A$32.60</t>
        </is>
      </c>
      <c r="I170" t="inlineStr">
        <is>
          <t>cost base adjustment allocation</t>
        </is>
      </c>
      <c r="J170" s="5" t="inlineStr">
        <is>
          <t>01a152b9-9eed-7219-8895-eadbabef169b</t>
        </is>
      </c>
    </row>
    <row r="171">
      <c r="A171" s="5" t="inlineStr">
        <is>
          <t>01a152b9-9f00-7758-bf5e-cc25fab0ae66</t>
        </is>
      </c>
      <c r="D171" s="5" t="inlineStr">
        <is>
          <t>01a152b9-6e67-75da-8adb-b03e5d07fd21</t>
        </is>
      </c>
      <c r="E171" s="4" t="n">
        <v>46314.24605333691</v>
      </c>
      <c r="F171" s="4" t="n">
        <v>46314.24605333704</v>
      </c>
      <c r="G171" t="b">
        <v>1</v>
      </c>
      <c r="H171" s="3" t="inlineStr">
        <is>
          <t>Added fraction 0.1045991045991045991045991046 of cost base adjustment 01a152b9-9ea5-74f8-869e-2f153e93267b | 2022-06-30 | Adjustment of VDHG | Cost base increase = -A$32.60</t>
        </is>
      </c>
      <c r="I171" t="inlineStr">
        <is>
          <t>cost base adjustment allocation</t>
        </is>
      </c>
      <c r="J171" s="5" t="inlineStr">
        <is>
          <t>01a152b9-9ef9-7065-bd7d-4fd60c94a483</t>
        </is>
      </c>
    </row>
    <row r="172">
      <c r="A172" s="5" t="inlineStr">
        <is>
          <t>01a152b9-9f08-7149-afa4-02605c104275</t>
        </is>
      </c>
      <c r="D172" s="5" t="inlineStr">
        <is>
          <t>01a152b9-6e67-75da-8adb-b03e5d07fd21</t>
        </is>
      </c>
      <c r="E172" s="4" t="n">
        <v>46314.24605342974</v>
      </c>
      <c r="F172" s="4" t="n">
        <v>46314.24605342984</v>
      </c>
      <c r="G172" t="b">
        <v>1</v>
      </c>
      <c r="H172" s="3" t="inlineStr">
        <is>
          <t>Added fraction 0.1135531135531135531135531136 of cost base adjustment 01a152b9-9ea5-74f8-869e-2f153e93267b | 2022-06-30 | Adjustment of VDHG | Cost base increase = -A$32.60</t>
        </is>
      </c>
      <c r="I172" t="inlineStr">
        <is>
          <t>cost base adjustment allocation</t>
        </is>
      </c>
      <c r="J172" s="5" t="inlineStr">
        <is>
          <t>01a152b9-9f01-73ae-8300-6960421143d4</t>
        </is>
      </c>
    </row>
    <row r="173">
      <c r="A173" s="5" t="inlineStr">
        <is>
          <t>01a152b9-9f0f-77c1-8922-30c1d549ad6f</t>
        </is>
      </c>
      <c r="D173" s="5" t="inlineStr">
        <is>
          <t>01a152b9-6e67-75da-8adb-b03e5d07fd21</t>
        </is>
      </c>
      <c r="E173" s="4" t="n">
        <v>46314.24605351175</v>
      </c>
      <c r="F173" s="4" t="n">
        <v>46314.24605351184</v>
      </c>
      <c r="G173" t="b">
        <v>1</v>
      </c>
      <c r="H173" s="3" t="inlineStr">
        <is>
          <t>Added fraction 0.1184371184371184371184371184 of cost base adjustment 01a152b9-9ea5-74f8-869e-2f153e93267b | 2022-06-30 | Adjustment of VDHG | Cost base increase = -A$32.60</t>
        </is>
      </c>
      <c r="I173" t="inlineStr">
        <is>
          <t>cost base adjustment allocation</t>
        </is>
      </c>
      <c r="J173" s="5" t="inlineStr">
        <is>
          <t>01a152b9-9f09-751c-89cc-6d1fa9e7487c</t>
        </is>
      </c>
    </row>
    <row r="174">
      <c r="A174" s="5" t="inlineStr">
        <is>
          <t>01a152b9-9f16-7221-b766-daf0a1998bc5</t>
        </is>
      </c>
      <c r="D174" s="5" t="inlineStr">
        <is>
          <t>01a152b9-6e67-75da-8adb-b03e5d07fd21</t>
        </is>
      </c>
      <c r="E174" s="4" t="n">
        <v>46314.24605359841</v>
      </c>
      <c r="F174" s="4" t="n">
        <v>46314.24605359853</v>
      </c>
      <c r="G174" t="b">
        <v>1</v>
      </c>
      <c r="H174" s="3" t="inlineStr">
        <is>
          <t>residual of cost base adjustment 01a152b9-9ea5-74f8-869e-2f153e93267b | 2022-06-30 | Adjustment of VDHG | Cost base increase = -A$32.60</t>
        </is>
      </c>
      <c r="I174" t="inlineStr">
        <is>
          <t>cost base adjustment allocation</t>
        </is>
      </c>
      <c r="J174" s="5" t="inlineStr">
        <is>
          <t>01a152b9-9f10-7314-b3ed-7918a96b3a24</t>
        </is>
      </c>
    </row>
    <row r="175">
      <c r="A175" s="5" t="inlineStr">
        <is>
          <t>01a152b9-9f61-7428-93dc-648c1ac29500</t>
        </is>
      </c>
      <c r="D175" s="5" t="inlineStr">
        <is>
          <t>01a152b9-6e67-75da-8adb-b03e5d07fd21</t>
        </is>
      </c>
      <c r="E175" s="4" t="n">
        <v>46314.24605446874</v>
      </c>
      <c r="F175" s="4" t="n">
        <v>46314.24605446891</v>
      </c>
      <c r="G175" t="b">
        <v>1</v>
      </c>
      <c r="H175" s="3" t="inlineStr">
        <is>
          <t>Added fraction 0.01466275659824046920821114370 of cost base adjustment 01a152b9-9f55-7219-937e-49ee9be44160 | 2022-06-30 | Adjustment of VGS | Cost base increase = A$654.00</t>
        </is>
      </c>
      <c r="I175" t="inlineStr">
        <is>
          <t>cost base adjustment allocation</t>
        </is>
      </c>
      <c r="J175" s="5" t="inlineStr">
        <is>
          <t>01a152b9-9f5a-7172-907a-c6547965dcba</t>
        </is>
      </c>
    </row>
    <row r="176">
      <c r="A176" s="5" t="inlineStr">
        <is>
          <t>01a152b9-9f6a-7719-8754-acfcf2e5aca0</t>
        </is>
      </c>
      <c r="D176" s="5" t="inlineStr">
        <is>
          <t>01a152b9-6e67-75da-8adb-b03e5d07fd21</t>
        </is>
      </c>
      <c r="E176" s="4" t="n">
        <v>46314.24605457154</v>
      </c>
      <c r="F176" s="4" t="n">
        <v>46314.24605457167</v>
      </c>
      <c r="G176" t="b">
        <v>1</v>
      </c>
      <c r="H176" s="3" t="inlineStr">
        <is>
          <t>Added fraction 0.01466275659824046920821114370 of cost base adjustment 01a152b9-9f55-7219-937e-49ee9be44160 | 2022-06-30 | Adjustment of VGS | Cost base increase = A$654.00</t>
        </is>
      </c>
      <c r="I176" t="inlineStr">
        <is>
          <t>cost base adjustment allocation</t>
        </is>
      </c>
      <c r="J176" s="5" t="inlineStr">
        <is>
          <t>01a152b9-9f63-7391-9836-a3d96ae17e67</t>
        </is>
      </c>
    </row>
    <row r="177">
      <c r="A177" s="5" t="inlineStr">
        <is>
          <t>01a152b9-9f74-725b-925d-b52aae76c4c7</t>
        </is>
      </c>
      <c r="D177" s="5" t="inlineStr">
        <is>
          <t>01a152b9-6e67-75da-8adb-b03e5d07fd21</t>
        </is>
      </c>
      <c r="E177" s="4" t="n">
        <v>46314.2460546828</v>
      </c>
      <c r="F177" s="4" t="n">
        <v>46314.24605468292</v>
      </c>
      <c r="G177" t="b">
        <v>1</v>
      </c>
      <c r="H177" s="3" t="inlineStr">
        <is>
          <t>Added fraction 0.01466275659824046920821114370 of cost base adjustment 01a152b9-9f55-7219-937e-49ee9be44160 | 2022-06-30 | Adjustment of VGS | Cost base increase = A$654.00</t>
        </is>
      </c>
      <c r="I177" t="inlineStr">
        <is>
          <t>cost base adjustment allocation</t>
        </is>
      </c>
      <c r="J177" s="5" t="inlineStr">
        <is>
          <t>01a152b9-9f6b-713e-94ce-57f232a4744f</t>
        </is>
      </c>
    </row>
    <row r="178">
      <c r="A178" s="5" t="inlineStr">
        <is>
          <t>01a152b9-9f7c-7591-b26d-3022dbf15588</t>
        </is>
      </c>
      <c r="D178" s="5" t="inlineStr">
        <is>
          <t>01a152b9-6e67-75da-8adb-b03e5d07fd21</t>
        </is>
      </c>
      <c r="E178" s="4" t="n">
        <v>46314.24605477721</v>
      </c>
      <c r="F178" s="4" t="n">
        <v>46314.24605477736</v>
      </c>
      <c r="G178" t="b">
        <v>1</v>
      </c>
      <c r="H178" s="3" t="inlineStr">
        <is>
          <t>Added fraction 0.01466275659824046920821114370 of cost base adjustment 01a152b9-9f55-7219-937e-49ee9be44160 | 2022-06-30 | Adjustment of VGS | Cost base increase = A$654.00</t>
        </is>
      </c>
      <c r="I178" t="inlineStr">
        <is>
          <t>cost base adjustment allocation</t>
        </is>
      </c>
      <c r="J178" s="5" t="inlineStr">
        <is>
          <t>01a152b9-9f75-70a7-922d-b31f6863a53b</t>
        </is>
      </c>
    </row>
    <row r="179">
      <c r="A179" s="5" t="inlineStr">
        <is>
          <t>01a152b9-9f85-7571-8b39-233d1b12d3cd</t>
        </is>
      </c>
      <c r="D179" s="5" t="inlineStr">
        <is>
          <t>01a152b9-6e67-75da-8adb-b03e5d07fd21</t>
        </is>
      </c>
      <c r="E179" s="4" t="n">
        <v>46314.24605488247</v>
      </c>
      <c r="F179" s="4" t="n">
        <v>46314.24605488257</v>
      </c>
      <c r="G179" t="b">
        <v>1</v>
      </c>
      <c r="H179" s="3" t="inlineStr">
        <is>
          <t>Added fraction 0.01466275659824046920821114370 of cost base adjustment 01a152b9-9f55-7219-937e-49ee9be44160 | 2022-06-30 | Adjustment of VGS | Cost base increase = A$654.00</t>
        </is>
      </c>
      <c r="I179" t="inlineStr">
        <is>
          <t>cost base adjustment allocation</t>
        </is>
      </c>
      <c r="J179" s="5" t="inlineStr">
        <is>
          <t>01a152b9-9f7d-7530-a110-510e4a3a88d2</t>
        </is>
      </c>
    </row>
    <row r="180">
      <c r="A180" s="5" t="inlineStr">
        <is>
          <t>01a152b9-9f8d-7017-95fd-d7f9b35569f5</t>
        </is>
      </c>
      <c r="D180" s="5" t="inlineStr">
        <is>
          <t>01a152b9-6e67-75da-8adb-b03e5d07fd21</t>
        </is>
      </c>
      <c r="E180" s="4" t="n">
        <v>46314.24605497135</v>
      </c>
      <c r="F180" s="4" t="n">
        <v>46314.24605497146</v>
      </c>
      <c r="G180" t="b">
        <v>1</v>
      </c>
      <c r="H180" s="3" t="inlineStr">
        <is>
          <t>Added fraction 0.01466275659824046920821114370 of cost base adjustment 01a152b9-9f55-7219-937e-49ee9be44160 | 2022-06-30 | Adjustment of VGS | Cost base increase = A$654.00</t>
        </is>
      </c>
      <c r="I180" t="inlineStr">
        <is>
          <t>cost base adjustment allocation</t>
        </is>
      </c>
      <c r="J180" s="5" t="inlineStr">
        <is>
          <t>01a152b9-9f86-775f-99aa-16e80d50c862</t>
        </is>
      </c>
    </row>
    <row r="181">
      <c r="A181" s="5" t="inlineStr">
        <is>
          <t>01a152b9-9f95-74fe-94cb-5ae7461110c6</t>
        </is>
      </c>
      <c r="D181" s="5" t="inlineStr">
        <is>
          <t>01a152b9-6e67-75da-8adb-b03e5d07fd21</t>
        </is>
      </c>
      <c r="E181" s="4" t="n">
        <v>46314.24605506149</v>
      </c>
      <c r="F181" s="4" t="n">
        <v>46314.24605506159</v>
      </c>
      <c r="G181" t="b">
        <v>1</v>
      </c>
      <c r="H181" s="3" t="inlineStr">
        <is>
          <t>Added fraction 0.01466275659824046920821114370 of cost base adjustment 01a152b9-9f55-7219-937e-49ee9be44160 | 2022-06-30 | Adjustment of VGS | Cost base increase = A$654.00</t>
        </is>
      </c>
      <c r="I181" t="inlineStr">
        <is>
          <t>cost base adjustment allocation</t>
        </is>
      </c>
      <c r="J181" s="5" t="inlineStr">
        <is>
          <t>01a152b9-9f8e-73d5-8ba1-242dc7e5bbf1</t>
        </is>
      </c>
    </row>
    <row r="182">
      <c r="A182" s="5" t="inlineStr">
        <is>
          <t>01a152b9-9f9c-72b6-95e7-579072e9b791</t>
        </is>
      </c>
      <c r="D182" s="5" t="inlineStr">
        <is>
          <t>01a152b9-6e67-75da-8adb-b03e5d07fd21</t>
        </is>
      </c>
      <c r="E182" s="4" t="n">
        <v>46314.24605515056</v>
      </c>
      <c r="F182" s="4" t="n">
        <v>46314.24605515066</v>
      </c>
      <c r="G182" t="b">
        <v>1</v>
      </c>
      <c r="H182" s="3" t="inlineStr">
        <is>
          <t>Added fraction 0.01466275659824046920821114370 of cost base adjustment 01a152b9-9f55-7219-937e-49ee9be44160 | 2022-06-30 | Adjustment of VGS | Cost base increase = A$654.00</t>
        </is>
      </c>
      <c r="I182" t="inlineStr">
        <is>
          <t>cost base adjustment allocation</t>
        </is>
      </c>
      <c r="J182" s="5" t="inlineStr">
        <is>
          <t>01a152b9-9f96-7738-8b38-d16c87ad474a</t>
        </is>
      </c>
    </row>
    <row r="183">
      <c r="A183" s="5" t="inlineStr">
        <is>
          <t>01a152b9-9fa4-7248-91a6-985f50afaf3a</t>
        </is>
      </c>
      <c r="D183" s="5" t="inlineStr">
        <is>
          <t>01a152b9-6e67-75da-8adb-b03e5d07fd21</t>
        </is>
      </c>
      <c r="E183" s="4" t="n">
        <v>46314.24605523895</v>
      </c>
      <c r="F183" s="4" t="n">
        <v>46314.24605523904</v>
      </c>
      <c r="G183" t="b">
        <v>1</v>
      </c>
      <c r="H183" s="3" t="inlineStr">
        <is>
          <t>Added fraction 0.02346041055718475073313782991 of cost base adjustment 01a152b9-9f55-7219-937e-49ee9be44160 | 2022-06-30 | Adjustment of VGS | Cost base increase = A$654.00</t>
        </is>
      </c>
      <c r="I183" t="inlineStr">
        <is>
          <t>cost base adjustment allocation</t>
        </is>
      </c>
      <c r="J183" s="5" t="inlineStr">
        <is>
          <t>01a152b9-9f9e-77a3-8cf0-d6b39a82f866</t>
        </is>
      </c>
    </row>
    <row r="184">
      <c r="A184" s="5" t="inlineStr">
        <is>
          <t>01a152b9-9fac-7519-83c9-f6dcea47e216</t>
        </is>
      </c>
      <c r="D184" s="5" t="inlineStr">
        <is>
          <t>01a152b9-6e67-75da-8adb-b03e5d07fd21</t>
        </is>
      </c>
      <c r="E184" s="4" t="n">
        <v>46314.24605532715</v>
      </c>
      <c r="F184" s="4" t="n">
        <v>46314.24605532725</v>
      </c>
      <c r="G184" t="b">
        <v>1</v>
      </c>
      <c r="H184" s="3" t="inlineStr">
        <is>
          <t>Added fraction 0.02932551319648093841642228739 of cost base adjustment 01a152b9-9f55-7219-937e-49ee9be44160 | 2022-06-30 | Adjustment of VGS | Cost base increase = A$654.00</t>
        </is>
      </c>
      <c r="I184" t="inlineStr">
        <is>
          <t>cost base adjustment allocation</t>
        </is>
      </c>
      <c r="J184" s="5" t="inlineStr">
        <is>
          <t>01a152b9-9fa5-7197-b0c6-a4a960cb119c</t>
        </is>
      </c>
    </row>
    <row r="185">
      <c r="A185" s="5" t="inlineStr">
        <is>
          <t>01a152b9-9fb3-7230-8a0c-efe306f8a989</t>
        </is>
      </c>
      <c r="D185" s="5" t="inlineStr">
        <is>
          <t>01a152b9-6e67-75da-8adb-b03e5d07fd21</t>
        </is>
      </c>
      <c r="E185" s="4" t="n">
        <v>46314.2460554166</v>
      </c>
      <c r="F185" s="4" t="n">
        <v>46314.2460554167</v>
      </c>
      <c r="G185" t="b">
        <v>1</v>
      </c>
      <c r="H185" s="3" t="inlineStr">
        <is>
          <t>Added fraction 0.02932551319648093841642228739 of cost base adjustment 01a152b9-9f55-7219-937e-49ee9be44160 | 2022-06-30 | Adjustment of VGS | Cost base increase = A$654.00</t>
        </is>
      </c>
      <c r="I185" t="inlineStr">
        <is>
          <t>cost base adjustment allocation</t>
        </is>
      </c>
      <c r="J185" s="5" t="inlineStr">
        <is>
          <t>01a152b9-9fad-7517-9a6d-5e4705cb7159</t>
        </is>
      </c>
    </row>
    <row r="186">
      <c r="A186" s="5" t="inlineStr">
        <is>
          <t>01a152b9-9fbc-702c-9f14-ff8c161a6927</t>
        </is>
      </c>
      <c r="D186" s="5" t="inlineStr">
        <is>
          <t>01a152b9-6e67-75da-8adb-b03e5d07fd21</t>
        </is>
      </c>
      <c r="E186" s="4" t="n">
        <v>46314.24605551557</v>
      </c>
      <c r="F186" s="4" t="n">
        <v>46314.24605551569</v>
      </c>
      <c r="G186" t="b">
        <v>1</v>
      </c>
      <c r="H186" s="3" t="inlineStr">
        <is>
          <t>Added fraction 0.02932551319648093841642228739 of cost base adjustment 01a152b9-9f55-7219-937e-49ee9be44160 | 2022-06-30 | Adjustment of VGS | Cost base increase = A$654.00</t>
        </is>
      </c>
      <c r="I186" t="inlineStr">
        <is>
          <t>cost base adjustment allocation</t>
        </is>
      </c>
      <c r="J186" s="5" t="inlineStr">
        <is>
          <t>01a152b9-9fb4-7510-b4e8-2e5896de711a</t>
        </is>
      </c>
    </row>
    <row r="187">
      <c r="A187" s="5" t="inlineStr">
        <is>
          <t>01a152b9-9fc4-7266-9804-45f7d8a6ee2a</t>
        </is>
      </c>
      <c r="D187" s="5" t="inlineStr">
        <is>
          <t>01a152b9-6e67-75da-8adb-b03e5d07fd21</t>
        </is>
      </c>
      <c r="E187" s="4" t="n">
        <v>46314.2460556087</v>
      </c>
      <c r="F187" s="4" t="n">
        <v>46314.2460556088</v>
      </c>
      <c r="G187" t="b">
        <v>1</v>
      </c>
      <c r="H187" s="3" t="inlineStr">
        <is>
          <t>Added fraction 0.02932551319648093841642228739 of cost base adjustment 01a152b9-9f55-7219-937e-49ee9be44160 | 2022-06-30 | Adjustment of VGS | Cost base increase = A$654.00</t>
        </is>
      </c>
      <c r="I187" t="inlineStr">
        <is>
          <t>cost base adjustment allocation</t>
        </is>
      </c>
      <c r="J187" s="5" t="inlineStr">
        <is>
          <t>01a152b9-9fbd-7384-ab3c-b4f8076c80a5</t>
        </is>
      </c>
    </row>
    <row r="188">
      <c r="A188" s="5" t="inlineStr">
        <is>
          <t>01a152b9-9fcc-7140-a911-799a8278baa5</t>
        </is>
      </c>
      <c r="D188" s="5" t="inlineStr">
        <is>
          <t>01a152b9-6e67-75da-8adb-b03e5d07fd21</t>
        </is>
      </c>
      <c r="E188" s="4" t="n">
        <v>46314.24605569899</v>
      </c>
      <c r="F188" s="4" t="n">
        <v>46314.24605569908</v>
      </c>
      <c r="G188" t="b">
        <v>1</v>
      </c>
      <c r="H188" s="3" t="inlineStr">
        <is>
          <t>Added fraction 0.02932551319648093841642228739 of cost base adjustment 01a152b9-9f55-7219-937e-49ee9be44160 | 2022-06-30 | Adjustment of VGS | Cost base increase = A$654.00</t>
        </is>
      </c>
      <c r="I188" t="inlineStr">
        <is>
          <t>cost base adjustment allocation</t>
        </is>
      </c>
      <c r="J188" s="5" t="inlineStr">
        <is>
          <t>01a152b9-9fc5-735a-a949-1517f5d294af</t>
        </is>
      </c>
    </row>
    <row r="189">
      <c r="A189" s="5" t="inlineStr">
        <is>
          <t>01a152b9-9fd5-72bf-951b-005b1dc9f00d</t>
        </is>
      </c>
      <c r="D189" s="5" t="inlineStr">
        <is>
          <t>01a152b9-6e67-75da-8adb-b03e5d07fd21</t>
        </is>
      </c>
      <c r="E189" s="4" t="n">
        <v>46314.24605580479</v>
      </c>
      <c r="F189" s="4" t="n">
        <v>46314.24605580491</v>
      </c>
      <c r="G189" t="b">
        <v>1</v>
      </c>
      <c r="H189" s="3" t="inlineStr">
        <is>
          <t>Added fraction 0.02932551319648093841642228739 of cost base adjustment 01a152b9-9f55-7219-937e-49ee9be44160 | 2022-06-30 | Adjustment of VGS | Cost base increase = A$654.00</t>
        </is>
      </c>
      <c r="I189" t="inlineStr">
        <is>
          <t>cost base adjustment allocation</t>
        </is>
      </c>
      <c r="J189" s="5" t="inlineStr">
        <is>
          <t>01a152b9-9fcd-7777-996a-df84a2c14b4a</t>
        </is>
      </c>
    </row>
    <row r="190">
      <c r="A190" s="5" t="inlineStr">
        <is>
          <t>01a152b9-9fde-70f9-b0eb-90424194f40b</t>
        </is>
      </c>
      <c r="D190" s="5" t="inlineStr">
        <is>
          <t>01a152b9-6e67-75da-8adb-b03e5d07fd21</t>
        </is>
      </c>
      <c r="E190" s="4" t="n">
        <v>46314.24605590951</v>
      </c>
      <c r="F190" s="4" t="n">
        <v>46314.24605590964</v>
      </c>
      <c r="G190" t="b">
        <v>1</v>
      </c>
      <c r="H190" s="3" t="inlineStr">
        <is>
          <t>Added fraction 0.02932551319648093841642228739 of cost base adjustment 01a152b9-9f55-7219-937e-49ee9be44160 | 2022-06-30 | Adjustment of VGS | Cost base increase = A$654.00</t>
        </is>
      </c>
      <c r="I190" t="inlineStr">
        <is>
          <t>cost base adjustment allocation</t>
        </is>
      </c>
      <c r="J190" s="5" t="inlineStr">
        <is>
          <t>01a152b9-9fd6-70ee-b078-23815ff5e4a5</t>
        </is>
      </c>
    </row>
    <row r="191">
      <c r="A191" s="5" t="inlineStr">
        <is>
          <t>01a152b9-9fe6-76e3-b55e-a266bcb84677</t>
        </is>
      </c>
      <c r="D191" s="5" t="inlineStr">
        <is>
          <t>01a152b9-6e67-75da-8adb-b03e5d07fd21</t>
        </is>
      </c>
      <c r="E191" s="4" t="n">
        <v>46314.24605600443</v>
      </c>
      <c r="F191" s="4" t="n">
        <v>46314.24605600455</v>
      </c>
      <c r="G191" t="b">
        <v>1</v>
      </c>
      <c r="H191" s="3" t="inlineStr">
        <is>
          <t>Added fraction 0.02932551319648093841642228739 of cost base adjustment 01a152b9-9f55-7219-937e-49ee9be44160 | 2022-06-30 | Adjustment of VGS | Cost base increase = A$654.00</t>
        </is>
      </c>
      <c r="I191" t="inlineStr">
        <is>
          <t>cost base adjustment allocation</t>
        </is>
      </c>
      <c r="J191" s="5" t="inlineStr">
        <is>
          <t>01a152b9-9fdf-7641-8e58-6ecd5849e965</t>
        </is>
      </c>
    </row>
    <row r="192">
      <c r="A192" s="5" t="inlineStr">
        <is>
          <t>01a152b9-9fee-76d5-9d7a-3d77bbcb77d9</t>
        </is>
      </c>
      <c r="D192" s="5" t="inlineStr">
        <is>
          <t>01a152b9-6e67-75da-8adb-b03e5d07fd21</t>
        </is>
      </c>
      <c r="E192" s="4" t="n">
        <v>46314.24605609674</v>
      </c>
      <c r="F192" s="4" t="n">
        <v>46314.24605609685</v>
      </c>
      <c r="G192" t="b">
        <v>1</v>
      </c>
      <c r="H192" s="3" t="inlineStr">
        <is>
          <t>Added fraction 0.02932551319648093841642228739 of cost base adjustment 01a152b9-9f55-7219-937e-49ee9be44160 | 2022-06-30 | Adjustment of VGS | Cost base increase = A$654.00</t>
        </is>
      </c>
      <c r="I192" t="inlineStr">
        <is>
          <t>cost base adjustment allocation</t>
        </is>
      </c>
      <c r="J192" s="5" t="inlineStr">
        <is>
          <t>01a152b9-9fe7-70ba-b9ff-62c60c9c9e6b</t>
        </is>
      </c>
    </row>
    <row r="193">
      <c r="A193" s="5" t="inlineStr">
        <is>
          <t>01a152b9-9ff6-7706-b002-d644399ea945</t>
        </is>
      </c>
      <c r="D193" s="5" t="inlineStr">
        <is>
          <t>01a152b9-6e67-75da-8adb-b03e5d07fd21</t>
        </is>
      </c>
      <c r="E193" s="4" t="n">
        <v>46314.24605619108</v>
      </c>
      <c r="F193" s="4" t="n">
        <v>46314.24605619122</v>
      </c>
      <c r="G193" t="b">
        <v>1</v>
      </c>
      <c r="H193" s="3" t="inlineStr">
        <is>
          <t>Added fraction 0.02932551319648093841642228739 of cost base adjustment 01a152b9-9f55-7219-937e-49ee9be44160 | 2022-06-30 | Adjustment of VGS | Cost base increase = A$654.00</t>
        </is>
      </c>
      <c r="I193" t="inlineStr">
        <is>
          <t>cost base adjustment allocation</t>
        </is>
      </c>
      <c r="J193" s="5" t="inlineStr">
        <is>
          <t>01a152b9-9fef-75cc-a003-9cfacea75ff6</t>
        </is>
      </c>
    </row>
    <row r="194">
      <c r="A194" s="5" t="inlineStr">
        <is>
          <t>01a152b9-a000-73f0-8531-16715dd17c78</t>
        </is>
      </c>
      <c r="D194" s="5" t="inlineStr">
        <is>
          <t>01a152b9-6e67-75da-8adb-b03e5d07fd21</t>
        </is>
      </c>
      <c r="E194" s="4" t="n">
        <v>46314.24605630666</v>
      </c>
      <c r="F194" s="4" t="n">
        <v>46314.24605630682</v>
      </c>
      <c r="G194" t="b">
        <v>1</v>
      </c>
      <c r="H194" s="3" t="inlineStr">
        <is>
          <t>Added fraction 0.05278592375366568914956011730 of cost base adjustment 01a152b9-9f55-7219-937e-49ee9be44160 | 2022-06-30 | Adjustment of VGS | Cost base increase = A$654.00</t>
        </is>
      </c>
      <c r="I194" t="inlineStr">
        <is>
          <t>cost base adjustment allocation</t>
        </is>
      </c>
      <c r="J194" s="5" t="inlineStr">
        <is>
          <t>01a152b9-9ff7-7057-82c3-09c4e2f02e45</t>
        </is>
      </c>
    </row>
    <row r="195">
      <c r="A195" s="5" t="inlineStr">
        <is>
          <t>01a152b9-a009-7054-9a7b-57cbb05f4b2f</t>
        </is>
      </c>
      <c r="D195" s="5" t="inlineStr">
        <is>
          <t>01a152b9-6e67-75da-8adb-b03e5d07fd21</t>
        </is>
      </c>
      <c r="E195" s="4" t="n">
        <v>46314.24605640531</v>
      </c>
      <c r="F195" s="4" t="n">
        <v>46314.24605640549</v>
      </c>
      <c r="G195" t="b">
        <v>1</v>
      </c>
      <c r="H195" s="3" t="inlineStr">
        <is>
          <t>Added fraction 0.05865102639296187683284457478 of cost base adjustment 01a152b9-9f55-7219-937e-49ee9be44160 | 2022-06-30 | Adjustment of VGS | Cost base increase = A$654.00</t>
        </is>
      </c>
      <c r="I195" t="inlineStr">
        <is>
          <t>cost base adjustment allocation</t>
        </is>
      </c>
      <c r="J195" s="5" t="inlineStr">
        <is>
          <t>01a152b9-a001-73cd-b09c-92e31643a7ad</t>
        </is>
      </c>
    </row>
    <row r="196">
      <c r="A196" s="5" t="inlineStr">
        <is>
          <t>01a152b9-a012-7025-8ee7-4f74f934effb</t>
        </is>
      </c>
      <c r="D196" s="5" t="inlineStr">
        <is>
          <t>01a152b9-6e67-75da-8adb-b03e5d07fd21</t>
        </is>
      </c>
      <c r="E196" s="4" t="n">
        <v>46314.24605651195</v>
      </c>
      <c r="F196" s="4" t="n">
        <v>46314.24605651213</v>
      </c>
      <c r="G196" t="b">
        <v>1</v>
      </c>
      <c r="H196" s="3" t="inlineStr">
        <is>
          <t>Added fraction 0.05865102639296187683284457478 of cost base adjustment 01a152b9-9f55-7219-937e-49ee9be44160 | 2022-06-30 | Adjustment of VGS | Cost base increase = A$654.00</t>
        </is>
      </c>
      <c r="I196" t="inlineStr">
        <is>
          <t>cost base adjustment allocation</t>
        </is>
      </c>
      <c r="J196" s="5" t="inlineStr">
        <is>
          <t>01a152b9-a00a-74d3-a4a9-14dc85d7f013</t>
        </is>
      </c>
    </row>
    <row r="197">
      <c r="A197" s="5" t="inlineStr">
        <is>
          <t>01a152b9-a01c-748e-9e6b-72299537e9c4</t>
        </is>
      </c>
      <c r="D197" s="5" t="inlineStr">
        <is>
          <t>01a152b9-6e67-75da-8adb-b03e5d07fd21</t>
        </is>
      </c>
      <c r="E197" s="4" t="n">
        <v>46314.24605662646</v>
      </c>
      <c r="F197" s="4" t="n">
        <v>46314.24605662661</v>
      </c>
      <c r="G197" t="b">
        <v>1</v>
      </c>
      <c r="H197" s="3" t="inlineStr">
        <is>
          <t>Added fraction 0.05865102639296187683284457478 of cost base adjustment 01a152b9-9f55-7219-937e-49ee9be44160 | 2022-06-30 | Adjustment of VGS | Cost base increase = A$654.00</t>
        </is>
      </c>
      <c r="I197" t="inlineStr">
        <is>
          <t>cost base adjustment allocation</t>
        </is>
      </c>
      <c r="J197" s="5" t="inlineStr">
        <is>
          <t>01a152b9-a013-716b-8f05-e5f6783cd0be</t>
        </is>
      </c>
    </row>
    <row r="198">
      <c r="A198" s="5" t="inlineStr">
        <is>
          <t>01a152b9-a026-71ca-bcb9-99cd28ea5164</t>
        </is>
      </c>
      <c r="D198" s="5" t="inlineStr">
        <is>
          <t>01a152b9-6e67-75da-8adb-b03e5d07fd21</t>
        </is>
      </c>
      <c r="E198" s="4" t="n">
        <v>46314.24605674109</v>
      </c>
      <c r="F198" s="4" t="n">
        <v>46314.24605674127</v>
      </c>
      <c r="G198" t="b">
        <v>1</v>
      </c>
      <c r="H198" s="3" t="inlineStr">
        <is>
          <t>Added fraction 0.05865102639296187683284457478 of cost base adjustment 01a152b9-9f55-7219-937e-49ee9be44160 | 2022-06-30 | Adjustment of VGS | Cost base increase = A$654.00</t>
        </is>
      </c>
      <c r="I198" t="inlineStr">
        <is>
          <t>cost base adjustment allocation</t>
        </is>
      </c>
      <c r="J198" s="5" t="inlineStr">
        <is>
          <t>01a152b9-a01d-77a6-8845-e92fbd06a27b</t>
        </is>
      </c>
    </row>
    <row r="199">
      <c r="A199" s="5" t="inlineStr">
        <is>
          <t>01a152b9-a02e-729f-834c-0f7bda8ea557</t>
        </is>
      </c>
      <c r="D199" s="5" t="inlineStr">
        <is>
          <t>01a152b9-6e67-75da-8adb-b03e5d07fd21</t>
        </is>
      </c>
      <c r="E199" s="4" t="n">
        <v>46314.24605683856</v>
      </c>
      <c r="F199" s="4" t="n">
        <v>46314.24605683867</v>
      </c>
      <c r="G199" t="b">
        <v>1</v>
      </c>
      <c r="H199" s="3" t="inlineStr">
        <is>
          <t>Added fraction 0.05865102639296187683284457478 of cost base adjustment 01a152b9-9f55-7219-937e-49ee9be44160 | 2022-06-30 | Adjustment of VGS | Cost base increase = A$654.00</t>
        </is>
      </c>
      <c r="I199" t="inlineStr">
        <is>
          <t>cost base adjustment allocation</t>
        </is>
      </c>
      <c r="J199" s="5" t="inlineStr">
        <is>
          <t>01a152b9-a027-7543-b4db-1d764e785192</t>
        </is>
      </c>
    </row>
    <row r="200">
      <c r="A200" s="5" t="inlineStr">
        <is>
          <t>01a152b9-a037-72c7-953b-62373fefe66e</t>
        </is>
      </c>
      <c r="D200" s="5" t="inlineStr">
        <is>
          <t>01a152b9-6e67-75da-8adb-b03e5d07fd21</t>
        </is>
      </c>
      <c r="E200" s="4" t="n">
        <v>46314.24605693571</v>
      </c>
      <c r="F200" s="4" t="n">
        <v>46314.24605693583</v>
      </c>
      <c r="G200" t="b">
        <v>1</v>
      </c>
      <c r="H200" s="3" t="inlineStr">
        <is>
          <t>Added fraction 0.07331378299120234604105571848 of cost base adjustment 01a152b9-9f55-7219-937e-49ee9be44160 | 2022-06-30 | Adjustment of VGS | Cost base increase = A$654.00</t>
        </is>
      </c>
      <c r="I200" t="inlineStr">
        <is>
          <t>cost base adjustment allocation</t>
        </is>
      </c>
      <c r="J200" s="5" t="inlineStr">
        <is>
          <t>01a152b9-a02f-76b7-a725-f971eec13b49</t>
        </is>
      </c>
    </row>
    <row r="201">
      <c r="A201" s="5" t="inlineStr">
        <is>
          <t>01a152b9-a03f-7557-b848-66dfe8ff2166</t>
        </is>
      </c>
      <c r="D201" s="5" t="inlineStr">
        <is>
          <t>01a152b9-6e67-75da-8adb-b03e5d07fd21</t>
        </is>
      </c>
      <c r="E201" s="4" t="n">
        <v>46314.24605702838</v>
      </c>
      <c r="F201" s="4" t="n">
        <v>46314.2460570285</v>
      </c>
      <c r="G201" t="b">
        <v>1</v>
      </c>
      <c r="H201" s="3" t="inlineStr">
        <is>
          <t>Added fraction 0.07331378299120234604105571848 of cost base adjustment 01a152b9-9f55-7219-937e-49ee9be44160 | 2022-06-30 | Adjustment of VGS | Cost base increase = A$654.00</t>
        </is>
      </c>
      <c r="I201" t="inlineStr">
        <is>
          <t>cost base adjustment allocation</t>
        </is>
      </c>
      <c r="J201" s="5" t="inlineStr">
        <is>
          <t>01a152b9-a038-7034-8860-15ad95a3f8a0</t>
        </is>
      </c>
    </row>
    <row r="202">
      <c r="A202" s="5" t="inlineStr">
        <is>
          <t>01a152b9-a047-76a0-8a34-03779955f78c</t>
        </is>
      </c>
      <c r="D202" s="5" t="inlineStr">
        <is>
          <t>01a152b9-6e67-75da-8adb-b03e5d07fd21</t>
        </is>
      </c>
      <c r="E202" s="4" t="n">
        <v>46314.2460571285</v>
      </c>
      <c r="F202" s="4" t="n">
        <v>46314.24605712862</v>
      </c>
      <c r="G202" t="b">
        <v>1</v>
      </c>
      <c r="H202" s="3" t="inlineStr">
        <is>
          <t>residual of cost base adjustment 01a152b9-9f55-7219-937e-49ee9be44160 | 2022-06-30 | Adjustment of VGS | Cost base increase = A$654.00</t>
        </is>
      </c>
      <c r="I202" t="inlineStr">
        <is>
          <t>cost base adjustment allocation</t>
        </is>
      </c>
      <c r="J202" s="5" t="inlineStr">
        <is>
          <t>01a152b9-a040-7595-ad01-07c2c159769b</t>
        </is>
      </c>
    </row>
    <row r="203">
      <c r="A203" s="5" t="inlineStr">
        <is>
          <t>01a152b9-a10e-7191-8300-23333fd3999b</t>
        </is>
      </c>
      <c r="D203" s="5" t="inlineStr">
        <is>
          <t>01a152b9-6e67-75da-8adb-b03e5d07fd21</t>
        </is>
      </c>
      <c r="E203" s="4" t="n">
        <v>46314.24605943319</v>
      </c>
      <c r="F203" s="4" t="n">
        <v>46314.24605943327</v>
      </c>
      <c r="G203" t="b">
        <v>1</v>
      </c>
      <c r="H203" s="3" t="inlineStr">
        <is>
          <t>This parcel was created by splitting parcel 01a152b9-93ba-7162-b94e-4a96e2f43e27 into two separate parcels.</t>
        </is>
      </c>
      <c r="I203" t="inlineStr">
        <is>
          <t>parcel</t>
        </is>
      </c>
      <c r="J203" s="5" t="inlineStr">
        <is>
          <t>01a152b9-a109-726b-9c25-da3204f138b9</t>
        </is>
      </c>
    </row>
    <row r="204">
      <c r="A204" s="5" t="inlineStr">
        <is>
          <t>01a152b9-a115-75cf-ae20-2b2dbb58f48b</t>
        </is>
      </c>
      <c r="D204" s="5" t="inlineStr">
        <is>
          <t>01a152b9-6e67-75da-8adb-b03e5d07fd21</t>
        </is>
      </c>
      <c r="E204" s="4" t="n">
        <v>46314.24605950947</v>
      </c>
      <c r="F204" s="4" t="n">
        <v>46314.24605950963</v>
      </c>
      <c r="G204" t="b">
        <v>1</v>
      </c>
      <c r="H204" s="3" t="inlineStr">
        <is>
          <t>This parcel was created by splitting parcel 01a152b9-93ba-7162-b94e-4a96e2f43e27 into two separate parcels.</t>
        </is>
      </c>
      <c r="I204" t="inlineStr">
        <is>
          <t>parcel</t>
        </is>
      </c>
      <c r="J204" s="5" t="inlineStr">
        <is>
          <t>01a152b9-a110-72b2-aa42-12d813cddfe5</t>
        </is>
      </c>
    </row>
    <row r="205">
      <c r="A205" s="5" t="inlineStr">
        <is>
          <t>01a152b9-a116-7071-8423-081b7b153b6b</t>
        </is>
      </c>
      <c r="D205" s="5" t="inlineStr">
        <is>
          <t>01a152b9-6e67-75da-8adb-b03e5d07fd21</t>
        </is>
      </c>
      <c r="E205" s="4" t="n">
        <v>46314.24605952283</v>
      </c>
      <c r="F205" s="4" t="n">
        <v>46314.24605952291</v>
      </c>
      <c r="G205" t="b">
        <v>1</v>
      </c>
      <c r="H205" s="3" t="inlineStr">
        <is>
          <t>This parcel was split into 01a152b9-a109-726b-9c25-da3204f138b9 and 01a152b9-a110-72b2-aa42-12d813cddfe5, then marked as INACTIVE</t>
        </is>
      </c>
      <c r="I205" t="inlineStr">
        <is>
          <t>parcel</t>
        </is>
      </c>
      <c r="J205" s="5" t="inlineStr">
        <is>
          <t>01a152b9-93ba-7162-b94e-4a96e2f43e27</t>
        </is>
      </c>
    </row>
    <row r="206">
      <c r="A206" s="5" t="inlineStr">
        <is>
          <t>01a152b9-a122-766f-bdef-9c04c361831a</t>
        </is>
      </c>
      <c r="D206" s="5" t="inlineStr">
        <is>
          <t>01a152b9-6e67-75da-8adb-b03e5d07fd21</t>
        </is>
      </c>
      <c r="E206" s="4" t="n">
        <v>46314.24605966392</v>
      </c>
      <c r="F206" s="4" t="n">
        <v>46314.24605966406</v>
      </c>
      <c r="G206" t="b">
        <v>1</v>
      </c>
      <c r="H206" s="3" t="inlineStr">
        <is>
          <t>This CostBaseAdjustmentAllocation was created by splitting 01a152b9-9a91-7339-8009-e999784804cc into two separate allocations.</t>
        </is>
      </c>
      <c r="I206" t="inlineStr">
        <is>
          <t>cost base adjustment allocation</t>
        </is>
      </c>
      <c r="J206" s="5" t="inlineStr">
        <is>
          <t>01a152b9-a11a-731c-b1c7-f4649ef4d0f8</t>
        </is>
      </c>
    </row>
    <row r="207">
      <c r="A207" s="5" t="inlineStr">
        <is>
          <t>01a152b9-a12b-7335-9a8b-7255b36efc55</t>
        </is>
      </c>
      <c r="D207" s="5" t="inlineStr">
        <is>
          <t>01a152b9-6e67-75da-8adb-b03e5d07fd21</t>
        </is>
      </c>
      <c r="E207" s="4" t="n">
        <v>46314.24605976382</v>
      </c>
      <c r="F207" s="4" t="n">
        <v>46314.24605976394</v>
      </c>
      <c r="G207" t="b">
        <v>1</v>
      </c>
      <c r="H207" s="3" t="inlineStr">
        <is>
          <t>This CostBaseAdjustmentAllocation was created by splitting 01a152b9-9a91-7339-8009-e999784804cc into two separate allocations.</t>
        </is>
      </c>
      <c r="I207" t="inlineStr">
        <is>
          <t>cost base adjustment allocation</t>
        </is>
      </c>
      <c r="J207" s="5" t="inlineStr">
        <is>
          <t>01a152b9-a123-7129-a6b7-404c43af0b17</t>
        </is>
      </c>
    </row>
    <row r="208">
      <c r="A208" s="5" t="inlineStr">
        <is>
          <t>01a152b9-a12c-76e1-9b08-9f641c98cab5</t>
        </is>
      </c>
      <c r="D208" s="5" t="inlineStr">
        <is>
          <t>01a152b9-6e67-75da-8adb-b03e5d07fd21</t>
        </is>
      </c>
      <c r="E208" s="4" t="n">
        <v>46314.24605977616</v>
      </c>
      <c r="F208" s="4" t="n">
        <v>46314.24605977626</v>
      </c>
      <c r="G208" t="b">
        <v>1</v>
      </c>
      <c r="H208" s="3" t="inlineStr">
        <is>
          <t>This allocation was split into 01a152b9-a11a-731c-b1c7-f4649ef4d0f8 and 01a152b9-a123-7129-a6b7-404c43af0b17, then marked as INACTIVE</t>
        </is>
      </c>
      <c r="I208" t="inlineStr">
        <is>
          <t>cost base adjustment allocation</t>
        </is>
      </c>
      <c r="J208" s="5" t="inlineStr">
        <is>
          <t>01a152b9-9a91-7339-8009-e999784804cc</t>
        </is>
      </c>
    </row>
    <row r="209">
      <c r="A209" s="5" t="inlineStr">
        <is>
          <t>01a152b9-a13b-735e-bb72-e41b6c5cef86</t>
        </is>
      </c>
      <c r="D209" s="5" t="inlineStr">
        <is>
          <t>01a152b9-6e67-75da-8adb-b03e5d07fd21</t>
        </is>
      </c>
      <c r="E209" s="4" t="n">
        <v>46314.24605994837</v>
      </c>
      <c r="F209" s="4" t="n">
        <v>46314.24605994846</v>
      </c>
      <c r="G209" t="b">
        <v>1</v>
      </c>
      <c r="H209" s="3" t="inlineStr">
        <is>
          <t>This CostBaseAdjustmentAllocation was created by splitting 01a152b9-9c23-7461-9908-7fb9c8d86a3c into two separate allocations.</t>
        </is>
      </c>
      <c r="I209" t="inlineStr">
        <is>
          <t>cost base adjustment allocation</t>
        </is>
      </c>
      <c r="J209" s="5" t="inlineStr">
        <is>
          <t>01a152b9-a135-7587-80af-bde93a6894f9</t>
        </is>
      </c>
    </row>
    <row r="210">
      <c r="A210" s="5" t="inlineStr">
        <is>
          <t>01a152b9-a143-74c7-8c2c-29c0d3577994</t>
        </is>
      </c>
      <c r="D210" s="5" t="inlineStr">
        <is>
          <t>01a152b9-6e67-75da-8adb-b03e5d07fd21</t>
        </is>
      </c>
      <c r="E210" s="4" t="n">
        <v>46314.24606004173</v>
      </c>
      <c r="F210" s="4" t="n">
        <v>46314.24606004189</v>
      </c>
      <c r="G210" t="b">
        <v>1</v>
      </c>
      <c r="H210" s="3" t="inlineStr">
        <is>
          <t>This CostBaseAdjustmentAllocation was created by splitting 01a152b9-9c23-7461-9908-7fb9c8d86a3c into two separate allocations.</t>
        </is>
      </c>
      <c r="I210" t="inlineStr">
        <is>
          <t>cost base adjustment allocation</t>
        </is>
      </c>
      <c r="J210" s="5" t="inlineStr">
        <is>
          <t>01a152b9-a13c-747e-8fdc-5b7fcb3fd946</t>
        </is>
      </c>
    </row>
    <row r="211">
      <c r="A211" s="5" t="inlineStr">
        <is>
          <t>01a152b9-a144-70da-a3cd-fdb1f4489171</t>
        </is>
      </c>
      <c r="D211" s="5" t="inlineStr">
        <is>
          <t>01a152b9-6e67-75da-8adb-b03e5d07fd21</t>
        </is>
      </c>
      <c r="E211" s="4" t="n">
        <v>46314.24606005391</v>
      </c>
      <c r="F211" s="4" t="n">
        <v>46314.24606005399</v>
      </c>
      <c r="G211" t="b">
        <v>1</v>
      </c>
      <c r="H211" s="3" t="inlineStr">
        <is>
          <t>This allocation was split into 01a152b9-a135-7587-80af-bde93a6894f9 and 01a152b9-a13c-747e-8fdc-5b7fcb3fd946, then marked as INACTIVE</t>
        </is>
      </c>
      <c r="I211" t="inlineStr">
        <is>
          <t>cost base adjustment allocation</t>
        </is>
      </c>
      <c r="J211" s="5" t="inlineStr">
        <is>
          <t>01a152b9-9c23-7461-9908-7fb9c8d86a3c</t>
        </is>
      </c>
    </row>
    <row r="212">
      <c r="A212" s="5" t="inlineStr">
        <is>
          <t>01a152b9-a157-7395-9614-72152513d2db</t>
        </is>
      </c>
      <c r="D212" s="5" t="inlineStr">
        <is>
          <t>01a152b9-6e67-75da-8adb-b03e5d07fd21</t>
        </is>
      </c>
      <c r="E212" s="4" t="n">
        <v>46314.2460602729</v>
      </c>
      <c r="F212" s="4" t="n">
        <v>46314.24606027301</v>
      </c>
      <c r="G212" t="b">
        <v>1</v>
      </c>
      <c r="H212" s="3" t="inlineStr">
        <is>
          <t>This CostBaseAdjustmentAllocation was created by splitting 01a152b9-9f09-751c-89cc-6d1fa9e7487c into two separate allocations.</t>
        </is>
      </c>
      <c r="I212" t="inlineStr">
        <is>
          <t>cost base adjustment allocation</t>
        </is>
      </c>
      <c r="J212" s="5" t="inlineStr">
        <is>
          <t>01a152b9-a14f-745a-b3ae-925cdf4bfe0a</t>
        </is>
      </c>
    </row>
    <row r="213">
      <c r="A213" s="5" t="inlineStr">
        <is>
          <t>01a152b9-a160-71b0-bf22-43a5a4ba6b96</t>
        </is>
      </c>
      <c r="D213" s="5" t="inlineStr">
        <is>
          <t>01a152b9-6e67-75da-8adb-b03e5d07fd21</t>
        </is>
      </c>
      <c r="E213" s="4" t="n">
        <v>46314.24606037611</v>
      </c>
      <c r="F213" s="4" t="n">
        <v>46314.24606037622</v>
      </c>
      <c r="G213" t="b">
        <v>1</v>
      </c>
      <c r="H213" s="3" t="inlineStr">
        <is>
          <t>This CostBaseAdjustmentAllocation was created by splitting 01a152b9-9f09-751c-89cc-6d1fa9e7487c into two separate allocations.</t>
        </is>
      </c>
      <c r="I213" t="inlineStr">
        <is>
          <t>cost base adjustment allocation</t>
        </is>
      </c>
      <c r="J213" s="5" t="inlineStr">
        <is>
          <t>01a152b9-a158-7443-aafe-5dd8cee98be2</t>
        </is>
      </c>
    </row>
    <row r="214">
      <c r="A214" s="5" t="inlineStr">
        <is>
          <t>01a152b9-a161-71f3-809e-aeece667006d</t>
        </is>
      </c>
      <c r="D214" s="5" t="inlineStr">
        <is>
          <t>01a152b9-6e67-75da-8adb-b03e5d07fd21</t>
        </is>
      </c>
      <c r="E214" s="4" t="n">
        <v>46314.24606038884</v>
      </c>
      <c r="F214" s="4" t="n">
        <v>46314.24606038903</v>
      </c>
      <c r="G214" t="b">
        <v>1</v>
      </c>
      <c r="H214" s="3" t="inlineStr">
        <is>
          <t>This allocation was split into 01a152b9-a14f-745a-b3ae-925cdf4bfe0a and 01a152b9-a158-7443-aafe-5dd8cee98be2, then marked as INACTIVE</t>
        </is>
      </c>
      <c r="I214" t="inlineStr">
        <is>
          <t>cost base adjustment allocation</t>
        </is>
      </c>
      <c r="J214" s="5" t="inlineStr">
        <is>
          <t>01a152b9-9f09-751c-89cc-6d1fa9e7487c</t>
        </is>
      </c>
    </row>
    <row r="215">
      <c r="A215" s="5" t="inlineStr">
        <is>
          <t>01a152b9-a203-752c-bd4a-56ac56deffb6</t>
        </is>
      </c>
      <c r="D215" s="5" t="inlineStr">
        <is>
          <t>01a152b9-6e67-75da-8adb-b03e5d07fd21</t>
        </is>
      </c>
      <c r="E215" s="4" t="n">
        <v>46314.24606226758</v>
      </c>
      <c r="F215" s="4" t="n">
        <v>46314.24606226767</v>
      </c>
      <c r="G215" t="b">
        <v>1</v>
      </c>
      <c r="H215" s="3" t="inlineStr">
        <is>
          <t>Added fraction 0.01466275659824046920821114370 of cost base adjustment 01a152b9-a1f9-777d-8f7d-6fece85c9489 | 2023-06-30 | Adjustment of VGS | Cost base increase = A$1,888.00</t>
        </is>
      </c>
      <c r="I215" t="inlineStr">
        <is>
          <t>cost base adjustment allocation</t>
        </is>
      </c>
      <c r="J215" s="5" t="inlineStr">
        <is>
          <t>01a152b9-a1fd-70b2-84e1-46f82fdc12bc</t>
        </is>
      </c>
    </row>
    <row r="216">
      <c r="A216" s="5" t="inlineStr">
        <is>
          <t>01a152b9-a20c-7667-9f97-468956fab9ae</t>
        </is>
      </c>
      <c r="D216" s="5" t="inlineStr">
        <is>
          <t>01a152b9-6e67-75da-8adb-b03e5d07fd21</t>
        </is>
      </c>
      <c r="E216" s="4" t="n">
        <v>46314.24606236797</v>
      </c>
      <c r="F216" s="4" t="n">
        <v>46314.2460623681</v>
      </c>
      <c r="G216" t="b">
        <v>1</v>
      </c>
      <c r="H216" s="3" t="inlineStr">
        <is>
          <t>Added fraction 0.01466275659824046920821114370 of cost base adjustment 01a152b9-a1f9-777d-8f7d-6fece85c9489 | 2023-06-30 | Adjustment of VGS | Cost base increase = A$1,888.00</t>
        </is>
      </c>
      <c r="I216" t="inlineStr">
        <is>
          <t>cost base adjustment allocation</t>
        </is>
      </c>
      <c r="J216" s="5" t="inlineStr">
        <is>
          <t>01a152b9-a204-7210-bbc5-35885f0d01f9</t>
        </is>
      </c>
    </row>
    <row r="217">
      <c r="A217" s="5" t="inlineStr">
        <is>
          <t>01a152b9-a213-70a9-864e-a329b9b59c42</t>
        </is>
      </c>
      <c r="D217" s="5" t="inlineStr">
        <is>
          <t>01a152b9-6e67-75da-8adb-b03e5d07fd21</t>
        </is>
      </c>
      <c r="E217" s="4" t="n">
        <v>46314.24606245402</v>
      </c>
      <c r="F217" s="4" t="n">
        <v>46314.24606245411</v>
      </c>
      <c r="G217" t="b">
        <v>1</v>
      </c>
      <c r="H217" s="3" t="inlineStr">
        <is>
          <t>Added fraction 0.01466275659824046920821114370 of cost base adjustment 01a152b9-a1f9-777d-8f7d-6fece85c9489 | 2023-06-30 | Adjustment of VGS | Cost base increase = A$1,888.00</t>
        </is>
      </c>
      <c r="I217" t="inlineStr">
        <is>
          <t>cost base adjustment allocation</t>
        </is>
      </c>
      <c r="J217" s="5" t="inlineStr">
        <is>
          <t>01a152b9-a20d-7638-b3c4-5039f92e681e</t>
        </is>
      </c>
    </row>
    <row r="218">
      <c r="A218" s="5" t="inlineStr">
        <is>
          <t>01a152b9-a21d-772f-8456-de6a8b8c9fea</t>
        </is>
      </c>
      <c r="D218" s="5" t="inlineStr">
        <is>
          <t>01a152b9-6e67-75da-8adb-b03e5d07fd21</t>
        </is>
      </c>
      <c r="E218" s="4" t="n">
        <v>46314.24606256896</v>
      </c>
      <c r="F218" s="4" t="n">
        <v>46314.24606256907</v>
      </c>
      <c r="G218" t="b">
        <v>1</v>
      </c>
      <c r="H218" s="3" t="inlineStr">
        <is>
          <t>Added fraction 0.01466275659824046920821114370 of cost base adjustment 01a152b9-a1f9-777d-8f7d-6fece85c9489 | 2023-06-30 | Adjustment of VGS | Cost base increase = A$1,888.00</t>
        </is>
      </c>
      <c r="I218" t="inlineStr">
        <is>
          <t>cost base adjustment allocation</t>
        </is>
      </c>
      <c r="J218" s="5" t="inlineStr">
        <is>
          <t>01a152b9-a214-7366-8af4-90035fd76199</t>
        </is>
      </c>
    </row>
    <row r="219">
      <c r="A219" s="5" t="inlineStr">
        <is>
          <t>01a152b9-a225-7143-9f1b-6aa0729bbbe3</t>
        </is>
      </c>
      <c r="D219" s="5" t="inlineStr">
        <is>
          <t>01a152b9-6e67-75da-8adb-b03e5d07fd21</t>
        </is>
      </c>
      <c r="E219" s="4" t="n">
        <v>46314.24606265851</v>
      </c>
      <c r="F219" s="4" t="n">
        <v>46314.2460626586</v>
      </c>
      <c r="G219" t="b">
        <v>1</v>
      </c>
      <c r="H219" s="3" t="inlineStr">
        <is>
          <t>Added fraction 0.01466275659824046920821114370 of cost base adjustment 01a152b9-a1f9-777d-8f7d-6fece85c9489 | 2023-06-30 | Adjustment of VGS | Cost base increase = A$1,888.00</t>
        </is>
      </c>
      <c r="I219" t="inlineStr">
        <is>
          <t>cost base adjustment allocation</t>
        </is>
      </c>
      <c r="J219" s="5" t="inlineStr">
        <is>
          <t>01a152b9-a21e-76cf-bd82-439788692619</t>
        </is>
      </c>
    </row>
    <row r="220">
      <c r="A220" s="5" t="inlineStr">
        <is>
          <t>01a152b9-a22d-7590-88ba-8f943819579a</t>
        </is>
      </c>
      <c r="D220" s="5" t="inlineStr">
        <is>
          <t>01a152b9-6e67-75da-8adb-b03e5d07fd21</t>
        </is>
      </c>
      <c r="E220" s="4" t="n">
        <v>46314.24606275542</v>
      </c>
      <c r="F220" s="4" t="n">
        <v>46314.24606275554</v>
      </c>
      <c r="G220" t="b">
        <v>1</v>
      </c>
      <c r="H220" s="3" t="inlineStr">
        <is>
          <t>Added fraction 0.01466275659824046920821114370 of cost base adjustment 01a152b9-a1f9-777d-8f7d-6fece85c9489 | 2023-06-30 | Adjustment of VGS | Cost base increase = A$1,888.00</t>
        </is>
      </c>
      <c r="I220" t="inlineStr">
        <is>
          <t>cost base adjustment allocation</t>
        </is>
      </c>
      <c r="J220" s="5" t="inlineStr">
        <is>
          <t>01a152b9-a226-7523-9401-e51d2351772c</t>
        </is>
      </c>
    </row>
    <row r="221">
      <c r="A221" s="5" t="inlineStr">
        <is>
          <t>01a152b9-a237-73eb-a41c-cf9241302650</t>
        </is>
      </c>
      <c r="D221" s="5" t="inlineStr">
        <is>
          <t>01a152b9-6e67-75da-8adb-b03e5d07fd21</t>
        </is>
      </c>
      <c r="E221" s="4" t="n">
        <v>46314.24606286527</v>
      </c>
      <c r="F221" s="4" t="n">
        <v>46314.24606286545</v>
      </c>
      <c r="G221" t="b">
        <v>1</v>
      </c>
      <c r="H221" s="3" t="inlineStr">
        <is>
          <t>Added fraction 0.01466275659824046920821114370 of cost base adjustment 01a152b9-a1f9-777d-8f7d-6fece85c9489 | 2023-06-30 | Adjustment of VGS | Cost base increase = A$1,888.00</t>
        </is>
      </c>
      <c r="I221" t="inlineStr">
        <is>
          <t>cost base adjustment allocation</t>
        </is>
      </c>
      <c r="J221" s="5" t="inlineStr">
        <is>
          <t>01a152b9-a22e-76b6-ac3c-113e140dc12f</t>
        </is>
      </c>
    </row>
    <row r="222">
      <c r="A222" s="5" t="inlineStr">
        <is>
          <t>01a152b9-a240-7769-a7a8-a77e78636203</t>
        </is>
      </c>
      <c r="D222" s="5" t="inlineStr">
        <is>
          <t>01a152b9-6e67-75da-8adb-b03e5d07fd21</t>
        </is>
      </c>
      <c r="E222" s="4" t="n">
        <v>46314.24606297374</v>
      </c>
      <c r="F222" s="4" t="n">
        <v>46314.24606297388</v>
      </c>
      <c r="G222" t="b">
        <v>1</v>
      </c>
      <c r="H222" s="3" t="inlineStr">
        <is>
          <t>Added fraction 0.01466275659824046920821114370 of cost base adjustment 01a152b9-a1f9-777d-8f7d-6fece85c9489 | 2023-06-30 | Adjustment of VGS | Cost base increase = A$1,888.00</t>
        </is>
      </c>
      <c r="I222" t="inlineStr">
        <is>
          <t>cost base adjustment allocation</t>
        </is>
      </c>
      <c r="J222" s="5" t="inlineStr">
        <is>
          <t>01a152b9-a238-7166-94ac-f5ae5122c222</t>
        </is>
      </c>
    </row>
    <row r="223">
      <c r="A223" s="5" t="inlineStr">
        <is>
          <t>01a152b9-a249-7412-acf3-13b3401206e8</t>
        </is>
      </c>
      <c r="D223" s="5" t="inlineStr">
        <is>
          <t>01a152b9-6e67-75da-8adb-b03e5d07fd21</t>
        </is>
      </c>
      <c r="E223" s="4" t="n">
        <v>46314.24606307369</v>
      </c>
      <c r="F223" s="4" t="n">
        <v>46314.24606307382</v>
      </c>
      <c r="G223" t="b">
        <v>1</v>
      </c>
      <c r="H223" s="3" t="inlineStr">
        <is>
          <t>Added fraction 0.02346041055718475073313782991 of cost base adjustment 01a152b9-a1f9-777d-8f7d-6fece85c9489 | 2023-06-30 | Adjustment of VGS | Cost base increase = A$1,888.00</t>
        </is>
      </c>
      <c r="I223" t="inlineStr">
        <is>
          <t>cost base adjustment allocation</t>
        </is>
      </c>
      <c r="J223" s="5" t="inlineStr">
        <is>
          <t>01a152b9-a241-7273-91f3-348dfbb84175</t>
        </is>
      </c>
    </row>
    <row r="224">
      <c r="A224" s="5" t="inlineStr">
        <is>
          <t>01a152b9-a251-72e3-99d4-108b1306f70a</t>
        </is>
      </c>
      <c r="D224" s="5" t="inlineStr">
        <is>
          <t>01a152b9-6e67-75da-8adb-b03e5d07fd21</t>
        </is>
      </c>
      <c r="E224" s="4" t="n">
        <v>46314.24606316806</v>
      </c>
      <c r="F224" s="4" t="n">
        <v>46314.2460631682</v>
      </c>
      <c r="G224" t="b">
        <v>1</v>
      </c>
      <c r="H224" s="3" t="inlineStr">
        <is>
          <t>Added fraction 0.02932551319648093841642228739 of cost base adjustment 01a152b9-a1f9-777d-8f7d-6fece85c9489 | 2023-06-30 | Adjustment of VGS | Cost base increase = A$1,888.00</t>
        </is>
      </c>
      <c r="I224" t="inlineStr">
        <is>
          <t>cost base adjustment allocation</t>
        </is>
      </c>
      <c r="J224" s="5" t="inlineStr">
        <is>
          <t>01a152b9-a24a-747f-b01d-d9478d88756c</t>
        </is>
      </c>
    </row>
    <row r="225">
      <c r="A225" s="5" t="inlineStr">
        <is>
          <t>01a152b9-a259-72c8-8f7e-e3e17f462346</t>
        </is>
      </c>
      <c r="D225" s="5" t="inlineStr">
        <is>
          <t>01a152b9-6e67-75da-8adb-b03e5d07fd21</t>
        </is>
      </c>
      <c r="E225" s="4" t="n">
        <v>46314.24606325643</v>
      </c>
      <c r="F225" s="4" t="n">
        <v>46314.24606325654</v>
      </c>
      <c r="G225" t="b">
        <v>1</v>
      </c>
      <c r="H225" s="3" t="inlineStr">
        <is>
          <t>Added fraction 0.02932551319648093841642228739 of cost base adjustment 01a152b9-a1f9-777d-8f7d-6fece85c9489 | 2023-06-30 | Adjustment of VGS | Cost base increase = A$1,888.00</t>
        </is>
      </c>
      <c r="I225" t="inlineStr">
        <is>
          <t>cost base adjustment allocation</t>
        </is>
      </c>
      <c r="J225" s="5" t="inlineStr">
        <is>
          <t>01a152b9-a252-7312-9846-ece1dd2d932c</t>
        </is>
      </c>
    </row>
    <row r="226">
      <c r="A226" s="5" t="inlineStr">
        <is>
          <t>01a152b9-a260-75ff-86a2-a4011326f7df</t>
        </is>
      </c>
      <c r="D226" s="5" t="inlineStr">
        <is>
          <t>01a152b9-6e67-75da-8adb-b03e5d07fd21</t>
        </is>
      </c>
      <c r="E226" s="4" t="n">
        <v>46314.24606334464</v>
      </c>
      <c r="F226" s="4" t="n">
        <v>46314.24606334475</v>
      </c>
      <c r="G226" t="b">
        <v>1</v>
      </c>
      <c r="H226" s="3" t="inlineStr">
        <is>
          <t>Added fraction 0.02932551319648093841642228739 of cost base adjustment 01a152b9-a1f9-777d-8f7d-6fece85c9489 | 2023-06-30 | Adjustment of VGS | Cost base increase = A$1,888.00</t>
        </is>
      </c>
      <c r="I226" t="inlineStr">
        <is>
          <t>cost base adjustment allocation</t>
        </is>
      </c>
      <c r="J226" s="5" t="inlineStr">
        <is>
          <t>01a152b9-a25a-734a-b206-76e86dc0b216</t>
        </is>
      </c>
    </row>
    <row r="227">
      <c r="A227" s="5" t="inlineStr">
        <is>
          <t>01a152b9-a268-77c6-9d3f-4483390682b5</t>
        </is>
      </c>
      <c r="D227" s="5" t="inlineStr">
        <is>
          <t>01a152b9-6e67-75da-8adb-b03e5d07fd21</t>
        </is>
      </c>
      <c r="E227" s="4" t="n">
        <v>46314.24606342894</v>
      </c>
      <c r="F227" s="4" t="n">
        <v>46314.24606342906</v>
      </c>
      <c r="G227" t="b">
        <v>1</v>
      </c>
      <c r="H227" s="3" t="inlineStr">
        <is>
          <t>Added fraction 0.02932551319648093841642228739 of cost base adjustment 01a152b9-a1f9-777d-8f7d-6fece85c9489 | 2023-06-30 | Adjustment of VGS | Cost base increase = A$1,888.00</t>
        </is>
      </c>
      <c r="I227" t="inlineStr">
        <is>
          <t>cost base adjustment allocation</t>
        </is>
      </c>
      <c r="J227" s="5" t="inlineStr">
        <is>
          <t>01a152b9-a261-7137-be82-186d1fddf943</t>
        </is>
      </c>
    </row>
    <row r="228">
      <c r="A228" s="5" t="inlineStr">
        <is>
          <t>01a152b9-a270-7044-8c6a-10f71c1bb2d2</t>
        </is>
      </c>
      <c r="D228" s="5" t="inlineStr">
        <is>
          <t>01a152b9-6e67-75da-8adb-b03e5d07fd21</t>
        </is>
      </c>
      <c r="E228" s="4" t="n">
        <v>46314.24606352804</v>
      </c>
      <c r="F228" s="4" t="n">
        <v>46314.24606352817</v>
      </c>
      <c r="G228" t="b">
        <v>1</v>
      </c>
      <c r="H228" s="3" t="inlineStr">
        <is>
          <t>Added fraction 0.02932551319648093841642228739 of cost base adjustment 01a152b9-a1f9-777d-8f7d-6fece85c9489 | 2023-06-30 | Adjustment of VGS | Cost base increase = A$1,888.00</t>
        </is>
      </c>
      <c r="I228" t="inlineStr">
        <is>
          <t>cost base adjustment allocation</t>
        </is>
      </c>
      <c r="J228" s="5" t="inlineStr">
        <is>
          <t>01a152b9-a269-7072-b742-665a1ca7335f</t>
        </is>
      </c>
    </row>
    <row r="229">
      <c r="A229" s="5" t="inlineStr">
        <is>
          <t>01a152b9-a279-731f-823f-716737b3afbc</t>
        </is>
      </c>
      <c r="D229" s="5" t="inlineStr">
        <is>
          <t>01a152b9-6e67-75da-8adb-b03e5d07fd21</t>
        </is>
      </c>
      <c r="E229" s="4" t="n">
        <v>46314.24606363443</v>
      </c>
      <c r="F229" s="4" t="n">
        <v>46314.24606363456</v>
      </c>
      <c r="G229" t="b">
        <v>1</v>
      </c>
      <c r="H229" s="3" t="inlineStr">
        <is>
          <t>Added fraction 0.02932551319648093841642228739 of cost base adjustment 01a152b9-a1f9-777d-8f7d-6fece85c9489 | 2023-06-30 | Adjustment of VGS | Cost base increase = A$1,888.00</t>
        </is>
      </c>
      <c r="I229" t="inlineStr">
        <is>
          <t>cost base adjustment allocation</t>
        </is>
      </c>
      <c r="J229" s="5" t="inlineStr">
        <is>
          <t>01a152b9-a271-7102-8a72-335684a1f0a6</t>
        </is>
      </c>
    </row>
    <row r="230">
      <c r="A230" s="5" t="inlineStr">
        <is>
          <t>01a152b9-a282-7677-9605-a3ecbd761f53</t>
        </is>
      </c>
      <c r="D230" s="5" t="inlineStr">
        <is>
          <t>01a152b9-6e67-75da-8adb-b03e5d07fd21</t>
        </is>
      </c>
      <c r="E230" s="4" t="n">
        <v>46314.24606373475</v>
      </c>
      <c r="F230" s="4" t="n">
        <v>46314.24606373486</v>
      </c>
      <c r="G230" t="b">
        <v>1</v>
      </c>
      <c r="H230" s="3" t="inlineStr">
        <is>
          <t>Added fraction 0.02932551319648093841642228739 of cost base adjustment 01a152b9-a1f9-777d-8f7d-6fece85c9489 | 2023-06-30 | Adjustment of VGS | Cost base increase = A$1,888.00</t>
        </is>
      </c>
      <c r="I230" t="inlineStr">
        <is>
          <t>cost base adjustment allocation</t>
        </is>
      </c>
      <c r="J230" s="5" t="inlineStr">
        <is>
          <t>01a152b9-a27a-7452-8f55-5d787c16cecf</t>
        </is>
      </c>
    </row>
    <row r="231">
      <c r="A231" s="5" t="inlineStr">
        <is>
          <t>01a152b9-a289-7040-bfac-d8ecad2092da</t>
        </is>
      </c>
      <c r="D231" s="5" t="inlineStr">
        <is>
          <t>01a152b9-6e67-75da-8adb-b03e5d07fd21</t>
        </is>
      </c>
      <c r="E231" s="4" t="n">
        <v>46314.24606381702</v>
      </c>
      <c r="F231" s="4" t="n">
        <v>46314.2460638171</v>
      </c>
      <c r="G231" t="b">
        <v>1</v>
      </c>
      <c r="H231" s="3" t="inlineStr">
        <is>
          <t>Added fraction 0.02932551319648093841642228739 of cost base adjustment 01a152b9-a1f9-777d-8f7d-6fece85c9489 | 2023-06-30 | Adjustment of VGS | Cost base increase = A$1,888.00</t>
        </is>
      </c>
      <c r="I231" t="inlineStr">
        <is>
          <t>cost base adjustment allocation</t>
        </is>
      </c>
      <c r="J231" s="5" t="inlineStr">
        <is>
          <t>01a152b9-a283-76f5-b515-bc53b5e05b74</t>
        </is>
      </c>
    </row>
    <row r="232">
      <c r="A232" s="5" t="inlineStr">
        <is>
          <t>01a152b9-a291-74a1-baa2-5abb281d09f0</t>
        </is>
      </c>
      <c r="D232" s="5" t="inlineStr">
        <is>
          <t>01a152b9-6e67-75da-8adb-b03e5d07fd21</t>
        </is>
      </c>
      <c r="E232" s="4" t="n">
        <v>46314.24606390472</v>
      </c>
      <c r="F232" s="4" t="n">
        <v>46314.24606390483</v>
      </c>
      <c r="G232" t="b">
        <v>1</v>
      </c>
      <c r="H232" s="3" t="inlineStr">
        <is>
          <t>Added fraction 0.02932551319648093841642228739 of cost base adjustment 01a152b9-a1f9-777d-8f7d-6fece85c9489 | 2023-06-30 | Adjustment of VGS | Cost base increase = A$1,888.00</t>
        </is>
      </c>
      <c r="I232" t="inlineStr">
        <is>
          <t>cost base adjustment allocation</t>
        </is>
      </c>
      <c r="J232" s="5" t="inlineStr">
        <is>
          <t>01a152b9-a28a-775d-b351-cbeb1efb4ec3</t>
        </is>
      </c>
    </row>
    <row r="233">
      <c r="A233" s="5" t="inlineStr">
        <is>
          <t>01a152b9-a298-7540-837e-e4f9ad70df66</t>
        </is>
      </c>
      <c r="D233" s="5" t="inlineStr">
        <is>
          <t>01a152b9-6e67-75da-8adb-b03e5d07fd21</t>
        </is>
      </c>
      <c r="E233" s="4" t="n">
        <v>46314.24606398668</v>
      </c>
      <c r="F233" s="4" t="n">
        <v>46314.24606398677</v>
      </c>
      <c r="G233" t="b">
        <v>1</v>
      </c>
      <c r="H233" s="3" t="inlineStr">
        <is>
          <t>Added fraction 0.02932551319648093841642228739 of cost base adjustment 01a152b9-a1f9-777d-8f7d-6fece85c9489 | 2023-06-30 | Adjustment of VGS | Cost base increase = A$1,888.00</t>
        </is>
      </c>
      <c r="I233" t="inlineStr">
        <is>
          <t>cost base adjustment allocation</t>
        </is>
      </c>
      <c r="J233" s="5" t="inlineStr">
        <is>
          <t>01a152b9-a292-72c6-9b7a-b6aed4632380</t>
        </is>
      </c>
    </row>
    <row r="234">
      <c r="A234" s="5" t="inlineStr">
        <is>
          <t>01a152b9-a29f-768c-a7e6-1f1e19ffbf2f</t>
        </is>
      </c>
      <c r="D234" s="5" t="inlineStr">
        <is>
          <t>01a152b9-6e67-75da-8adb-b03e5d07fd21</t>
        </is>
      </c>
      <c r="E234" s="4" t="n">
        <v>46314.24606407086</v>
      </c>
      <c r="F234" s="4" t="n">
        <v>46314.24606407097</v>
      </c>
      <c r="G234" t="b">
        <v>1</v>
      </c>
      <c r="H234" s="3" t="inlineStr">
        <is>
          <t>Added fraction 0.05278592375366568914956011730 of cost base adjustment 01a152b9-a1f9-777d-8f7d-6fece85c9489 | 2023-06-30 | Adjustment of VGS | Cost base increase = A$1,888.00</t>
        </is>
      </c>
      <c r="I234" t="inlineStr">
        <is>
          <t>cost base adjustment allocation</t>
        </is>
      </c>
      <c r="J234" s="5" t="inlineStr">
        <is>
          <t>01a152b9-a299-7787-9426-ec31a81ba917</t>
        </is>
      </c>
    </row>
    <row r="235">
      <c r="A235" s="5" t="inlineStr">
        <is>
          <t>01a152b9-a2a6-725c-b6d1-0e03ef4818b4</t>
        </is>
      </c>
      <c r="D235" s="5" t="inlineStr">
        <is>
          <t>01a152b9-6e67-75da-8adb-b03e5d07fd21</t>
        </is>
      </c>
      <c r="E235" s="4" t="n">
        <v>46314.24606415539</v>
      </c>
      <c r="F235" s="4" t="n">
        <v>46314.2460641555</v>
      </c>
      <c r="G235" t="b">
        <v>1</v>
      </c>
      <c r="H235" s="3" t="inlineStr">
        <is>
          <t>Added fraction 0.05865102639296187683284457478 of cost base adjustment 01a152b9-a1f9-777d-8f7d-6fece85c9489 | 2023-06-30 | Adjustment of VGS | Cost base increase = A$1,888.00</t>
        </is>
      </c>
      <c r="I235" t="inlineStr">
        <is>
          <t>cost base adjustment allocation</t>
        </is>
      </c>
      <c r="J235" s="5" t="inlineStr">
        <is>
          <t>01a152b9-a2a0-7541-a75e-095323453691</t>
        </is>
      </c>
    </row>
    <row r="236">
      <c r="A236" s="5" t="inlineStr">
        <is>
          <t>01a152b9-a2ae-73b8-938a-a79718bc63c4</t>
        </is>
      </c>
      <c r="D236" s="5" t="inlineStr">
        <is>
          <t>01a152b9-6e67-75da-8adb-b03e5d07fd21</t>
        </is>
      </c>
      <c r="E236" s="4" t="n">
        <v>46314.24606424828</v>
      </c>
      <c r="F236" s="4" t="n">
        <v>46314.24606424837</v>
      </c>
      <c r="G236" t="b">
        <v>1</v>
      </c>
      <c r="H236" s="3" t="inlineStr">
        <is>
          <t>Added fraction 0.05865102639296187683284457478 of cost base adjustment 01a152b9-a1f9-777d-8f7d-6fece85c9489 | 2023-06-30 | Adjustment of VGS | Cost base increase = A$1,888.00</t>
        </is>
      </c>
      <c r="I236" t="inlineStr">
        <is>
          <t>cost base adjustment allocation</t>
        </is>
      </c>
      <c r="J236" s="5" t="inlineStr">
        <is>
          <t>01a152b9-a2a8-75b9-8f1b-ea5f8751cc78</t>
        </is>
      </c>
    </row>
    <row r="237">
      <c r="A237" s="5" t="inlineStr">
        <is>
          <t>01a152b9-a2b6-7641-bd43-2f81ba3832c9</t>
        </is>
      </c>
      <c r="D237" s="5" t="inlineStr">
        <is>
          <t>01a152b9-6e67-75da-8adb-b03e5d07fd21</t>
        </is>
      </c>
      <c r="E237" s="4" t="n">
        <v>46314.2460643341</v>
      </c>
      <c r="F237" s="4" t="n">
        <v>46314.24606433421</v>
      </c>
      <c r="G237" t="b">
        <v>1</v>
      </c>
      <c r="H237" s="3" t="inlineStr">
        <is>
          <t>Added fraction 0.05865102639296187683284457478 of cost base adjustment 01a152b9-a1f9-777d-8f7d-6fece85c9489 | 2023-06-30 | Adjustment of VGS | Cost base increase = A$1,888.00</t>
        </is>
      </c>
      <c r="I237" t="inlineStr">
        <is>
          <t>cost base adjustment allocation</t>
        </is>
      </c>
      <c r="J237" s="5" t="inlineStr">
        <is>
          <t>01a152b9-a2af-768d-8dcd-6bb923644cae</t>
        </is>
      </c>
    </row>
    <row r="238">
      <c r="A238" s="5" t="inlineStr">
        <is>
          <t>01a152b9-a2be-77cf-986e-2ff67d3124d8</t>
        </is>
      </c>
      <c r="D238" s="5" t="inlineStr">
        <is>
          <t>01a152b9-6e67-75da-8adb-b03e5d07fd21</t>
        </is>
      </c>
      <c r="E238" s="4" t="n">
        <v>46314.24606442653</v>
      </c>
      <c r="F238" s="4" t="n">
        <v>46314.24606442662</v>
      </c>
      <c r="G238" t="b">
        <v>1</v>
      </c>
      <c r="H238" s="3" t="inlineStr">
        <is>
          <t>Added fraction 0.05865102639296187683284457478 of cost base adjustment 01a152b9-a1f9-777d-8f7d-6fece85c9489 | 2023-06-30 | Adjustment of VGS | Cost base increase = A$1,888.00</t>
        </is>
      </c>
      <c r="I238" t="inlineStr">
        <is>
          <t>cost base adjustment allocation</t>
        </is>
      </c>
      <c r="J238" s="5" t="inlineStr">
        <is>
          <t>01a152b9-a2b7-77a6-bd0b-f635f7a4b895</t>
        </is>
      </c>
    </row>
    <row r="239">
      <c r="A239" s="5" t="inlineStr">
        <is>
          <t>01a152b9-a2c5-768c-81e8-a028b2bbaa84</t>
        </is>
      </c>
      <c r="D239" s="5" t="inlineStr">
        <is>
          <t>01a152b9-6e67-75da-8adb-b03e5d07fd21</t>
        </is>
      </c>
      <c r="E239" s="4" t="n">
        <v>46314.24606450897</v>
      </c>
      <c r="F239" s="4" t="n">
        <v>46314.24606450908</v>
      </c>
      <c r="G239" t="b">
        <v>1</v>
      </c>
      <c r="H239" s="3" t="inlineStr">
        <is>
          <t>Added fraction 0.05865102639296187683284457478 of cost base adjustment 01a152b9-a1f9-777d-8f7d-6fece85c9489 | 2023-06-30 | Adjustment of VGS | Cost base increase = A$1,888.00</t>
        </is>
      </c>
      <c r="I239" t="inlineStr">
        <is>
          <t>cost base adjustment allocation</t>
        </is>
      </c>
      <c r="J239" s="5" t="inlineStr">
        <is>
          <t>01a152b9-a2bf-77d2-9f17-762a5073782a</t>
        </is>
      </c>
    </row>
    <row r="240">
      <c r="A240" s="5" t="inlineStr">
        <is>
          <t>01a152b9-a2cc-763a-a990-b8c14547ed4b</t>
        </is>
      </c>
      <c r="D240" s="5" t="inlineStr">
        <is>
          <t>01a152b9-6e67-75da-8adb-b03e5d07fd21</t>
        </is>
      </c>
      <c r="E240" s="4" t="n">
        <v>46314.24606459565</v>
      </c>
      <c r="F240" s="4" t="n">
        <v>46314.24606459574</v>
      </c>
      <c r="G240" t="b">
        <v>1</v>
      </c>
      <c r="H240" s="3" t="inlineStr">
        <is>
          <t>Added fraction 0.07331378299120234604105571848 of cost base adjustment 01a152b9-a1f9-777d-8f7d-6fece85c9489 | 2023-06-30 | Adjustment of VGS | Cost base increase = A$1,888.00</t>
        </is>
      </c>
      <c r="I240" t="inlineStr">
        <is>
          <t>cost base adjustment allocation</t>
        </is>
      </c>
      <c r="J240" s="5" t="inlineStr">
        <is>
          <t>01a152b9-a2c6-74cf-983a-efab258568d8</t>
        </is>
      </c>
    </row>
    <row r="241">
      <c r="A241" s="5" t="inlineStr">
        <is>
          <t>01a152b9-a2d4-7725-b0c2-837774a4ebc3</t>
        </is>
      </c>
      <c r="D241" s="5" t="inlineStr">
        <is>
          <t>01a152b9-6e67-75da-8adb-b03e5d07fd21</t>
        </is>
      </c>
      <c r="E241" s="4" t="n">
        <v>46314.24606468088</v>
      </c>
      <c r="F241" s="4" t="n">
        <v>46314.24606468099</v>
      </c>
      <c r="G241" t="b">
        <v>1</v>
      </c>
      <c r="H241" s="3" t="inlineStr">
        <is>
          <t>Added fraction 0.07331378299120234604105571848 of cost base adjustment 01a152b9-a1f9-777d-8f7d-6fece85c9489 | 2023-06-30 | Adjustment of VGS | Cost base increase = A$1,888.00</t>
        </is>
      </c>
      <c r="I241" t="inlineStr">
        <is>
          <t>cost base adjustment allocation</t>
        </is>
      </c>
      <c r="J241" s="5" t="inlineStr">
        <is>
          <t>01a152b9-a2cd-71ae-bacb-fcbf38c302d7</t>
        </is>
      </c>
    </row>
    <row r="242">
      <c r="A242" s="5" t="inlineStr">
        <is>
          <t>01a152b9-a2dd-7333-996e-f56d234a9071</t>
        </is>
      </c>
      <c r="D242" s="5" t="inlineStr">
        <is>
          <t>01a152b9-6e67-75da-8adb-b03e5d07fd21</t>
        </is>
      </c>
      <c r="E242" s="4" t="n">
        <v>46314.24606479253</v>
      </c>
      <c r="F242" s="4" t="n">
        <v>46314.24606479274</v>
      </c>
      <c r="G242" t="b">
        <v>1</v>
      </c>
      <c r="H242" s="3" t="inlineStr">
        <is>
          <t>residual of cost base adjustment 01a152b9-a1f9-777d-8f7d-6fece85c9489 | 2023-06-30 | Adjustment of VGS | Cost base increase = A$1,888.00</t>
        </is>
      </c>
      <c r="I242" t="inlineStr">
        <is>
          <t>cost base adjustment allocation</t>
        </is>
      </c>
      <c r="J242" s="5" t="inlineStr">
        <is>
          <t>01a152b9-a2d5-754e-bf77-21004abdaf95</t>
        </is>
      </c>
    </row>
    <row r="243">
      <c r="A243" s="5" t="inlineStr">
        <is>
          <t>01a152b9-a383-77c1-8358-3a0f3a45cefa</t>
        </is>
      </c>
      <c r="D243" s="5" t="inlineStr">
        <is>
          <t>01a152b9-6e67-75da-8adb-b03e5d07fd21</t>
        </is>
      </c>
      <c r="E243" s="4" t="n">
        <v>46314.2460667082</v>
      </c>
      <c r="F243" s="4" t="n">
        <v>46314.2460667083</v>
      </c>
      <c r="G243" t="b">
        <v>1</v>
      </c>
      <c r="H243" s="3" t="inlineStr">
        <is>
          <t>Added fraction 0.01466275659824046920821114370 of cost base adjustment 01a152b9-a378-71ad-9e63-bf781dccc053 | 2024-06-30 | Adjustment of VGS | Cost base increase = A$1,950.10</t>
        </is>
      </c>
      <c r="I243" t="inlineStr">
        <is>
          <t>cost base adjustment allocation</t>
        </is>
      </c>
      <c r="J243" s="5" t="inlineStr">
        <is>
          <t>01a152b9-a37c-7161-bb77-ae55a4cc282b</t>
        </is>
      </c>
    </row>
    <row r="244">
      <c r="A244" s="5" t="inlineStr">
        <is>
          <t>01a152b9-a38a-7431-bed1-d4bbfd495be1</t>
        </is>
      </c>
      <c r="D244" s="5" t="inlineStr">
        <is>
          <t>01a152b9-6e67-75da-8adb-b03e5d07fd21</t>
        </is>
      </c>
      <c r="E244" s="4" t="n">
        <v>46314.24606678775</v>
      </c>
      <c r="F244" s="4" t="n">
        <v>46314.24606678785</v>
      </c>
      <c r="G244" t="b">
        <v>1</v>
      </c>
      <c r="H244" s="3" t="inlineStr">
        <is>
          <t>Added fraction 0.01466275659824046920821114370 of cost base adjustment 01a152b9-a378-71ad-9e63-bf781dccc053 | 2024-06-30 | Adjustment of VGS | Cost base increase = A$1,950.10</t>
        </is>
      </c>
      <c r="I244" t="inlineStr">
        <is>
          <t>cost base adjustment allocation</t>
        </is>
      </c>
      <c r="J244" s="5" t="inlineStr">
        <is>
          <t>01a152b9-a384-7631-9fe0-ecf90fbf7b72</t>
        </is>
      </c>
    </row>
    <row r="245">
      <c r="A245" s="5" t="inlineStr">
        <is>
          <t>01a152b9-a392-74b6-8f9a-29a7aa402490</t>
        </is>
      </c>
      <c r="D245" s="5" t="inlineStr">
        <is>
          <t>01a152b9-6e67-75da-8adb-b03e5d07fd21</t>
        </is>
      </c>
      <c r="E245" s="4" t="n">
        <v>46314.2460668791</v>
      </c>
      <c r="F245" s="4" t="n">
        <v>46314.24606687923</v>
      </c>
      <c r="G245" t="b">
        <v>1</v>
      </c>
      <c r="H245" s="3" t="inlineStr">
        <is>
          <t>Added fraction 0.01466275659824046920821114370 of cost base adjustment 01a152b9-a378-71ad-9e63-bf781dccc053 | 2024-06-30 | Adjustment of VGS | Cost base increase = A$1,950.10</t>
        </is>
      </c>
      <c r="I245" t="inlineStr">
        <is>
          <t>cost base adjustment allocation</t>
        </is>
      </c>
      <c r="J245" s="5" t="inlineStr">
        <is>
          <t>01a152b9-a38b-77f4-b189-347cf478d7c0</t>
        </is>
      </c>
    </row>
    <row r="246">
      <c r="A246" s="5" t="inlineStr">
        <is>
          <t>01a152b9-a39a-76e3-86af-c34d5d58a6a3</t>
        </is>
      </c>
      <c r="D246" s="5" t="inlineStr">
        <is>
          <t>01a152b9-6e67-75da-8adb-b03e5d07fd21</t>
        </is>
      </c>
      <c r="E246" s="4" t="n">
        <v>46314.24606697061</v>
      </c>
      <c r="F246" s="4" t="n">
        <v>46314.24606697073</v>
      </c>
      <c r="G246" t="b">
        <v>1</v>
      </c>
      <c r="H246" s="3" t="inlineStr">
        <is>
          <t>Added fraction 0.01466275659824046920821114370 of cost base adjustment 01a152b9-a378-71ad-9e63-bf781dccc053 | 2024-06-30 | Adjustment of VGS | Cost base increase = A$1,950.10</t>
        </is>
      </c>
      <c r="I246" t="inlineStr">
        <is>
          <t>cost base adjustment allocation</t>
        </is>
      </c>
      <c r="J246" s="5" t="inlineStr">
        <is>
          <t>01a152b9-a393-70f2-9f17-7ec48ba7e8b0</t>
        </is>
      </c>
    </row>
    <row r="247">
      <c r="A247" s="5" t="inlineStr">
        <is>
          <t>01a152b9-a3a1-7309-9151-59501d9e468d</t>
        </is>
      </c>
      <c r="D247" s="5" t="inlineStr">
        <is>
          <t>01a152b9-6e67-75da-8adb-b03e5d07fd21</t>
        </is>
      </c>
      <c r="E247" s="4" t="n">
        <v>46314.24606705517</v>
      </c>
      <c r="F247" s="4" t="n">
        <v>46314.24606705527</v>
      </c>
      <c r="G247" t="b">
        <v>1</v>
      </c>
      <c r="H247" s="3" t="inlineStr">
        <is>
          <t>Added fraction 0.01466275659824046920821114370 of cost base adjustment 01a152b9-a378-71ad-9e63-bf781dccc053 | 2024-06-30 | Adjustment of VGS | Cost base increase = A$1,950.10</t>
        </is>
      </c>
      <c r="I247" t="inlineStr">
        <is>
          <t>cost base adjustment allocation</t>
        </is>
      </c>
      <c r="J247" s="5" t="inlineStr">
        <is>
          <t>01a152b9-a39b-70be-917f-6992e44690e5</t>
        </is>
      </c>
    </row>
    <row r="248">
      <c r="A248" s="5" t="inlineStr">
        <is>
          <t>01a152b9-a3a8-74f3-bb5f-6eaf0fb2915c</t>
        </is>
      </c>
      <c r="D248" s="5" t="inlineStr">
        <is>
          <t>01a152b9-6e67-75da-8adb-b03e5d07fd21</t>
        </is>
      </c>
      <c r="E248" s="4" t="n">
        <v>46314.2460671405</v>
      </c>
      <c r="F248" s="4" t="n">
        <v>46314.24606714059</v>
      </c>
      <c r="G248" t="b">
        <v>1</v>
      </c>
      <c r="H248" s="3" t="inlineStr">
        <is>
          <t>Added fraction 0.01466275659824046920821114370 of cost base adjustment 01a152b9-a378-71ad-9e63-bf781dccc053 | 2024-06-30 | Adjustment of VGS | Cost base increase = A$1,950.10</t>
        </is>
      </c>
      <c r="I248" t="inlineStr">
        <is>
          <t>cost base adjustment allocation</t>
        </is>
      </c>
      <c r="J248" s="5" t="inlineStr">
        <is>
          <t>01a152b9-a3a2-75c3-9518-1688810e4711</t>
        </is>
      </c>
    </row>
    <row r="249">
      <c r="A249" s="5" t="inlineStr">
        <is>
          <t>01a152b9-a3b1-7167-b4ee-c0f511c9dd62</t>
        </is>
      </c>
      <c r="D249" s="5" t="inlineStr">
        <is>
          <t>01a152b9-6e67-75da-8adb-b03e5d07fd21</t>
        </is>
      </c>
      <c r="E249" s="4" t="n">
        <v>46314.24606724546</v>
      </c>
      <c r="F249" s="4" t="n">
        <v>46314.24606724556</v>
      </c>
      <c r="G249" t="b">
        <v>1</v>
      </c>
      <c r="H249" s="3" t="inlineStr">
        <is>
          <t>Added fraction 0.01466275659824046920821114370 of cost base adjustment 01a152b9-a378-71ad-9e63-bf781dccc053 | 2024-06-30 | Adjustment of VGS | Cost base increase = A$1,950.10</t>
        </is>
      </c>
      <c r="I249" t="inlineStr">
        <is>
          <t>cost base adjustment allocation</t>
        </is>
      </c>
      <c r="J249" s="5" t="inlineStr">
        <is>
          <t>01a152b9-a3a9-7461-bb65-c2d1bb569a76</t>
        </is>
      </c>
    </row>
    <row r="250">
      <c r="A250" s="5" t="inlineStr">
        <is>
          <t>01a152b9-a3ba-7590-af2f-beb338a3f182</t>
        </is>
      </c>
      <c r="D250" s="5" t="inlineStr">
        <is>
          <t>01a152b9-6e67-75da-8adb-b03e5d07fd21</t>
        </is>
      </c>
      <c r="E250" s="4" t="n">
        <v>46314.24606734429</v>
      </c>
      <c r="F250" s="4" t="n">
        <v>46314.24606734442</v>
      </c>
      <c r="G250" t="b">
        <v>1</v>
      </c>
      <c r="H250" s="3" t="inlineStr">
        <is>
          <t>Added fraction 0.01466275659824046920821114370 of cost base adjustment 01a152b9-a378-71ad-9e63-bf781dccc053 | 2024-06-30 | Adjustment of VGS | Cost base increase = A$1,950.10</t>
        </is>
      </c>
      <c r="I250" t="inlineStr">
        <is>
          <t>cost base adjustment allocation</t>
        </is>
      </c>
      <c r="J250" s="5" t="inlineStr">
        <is>
          <t>01a152b9-a3b3-73cb-b814-6b1ac6f6958a</t>
        </is>
      </c>
    </row>
    <row r="251">
      <c r="A251" s="5" t="inlineStr">
        <is>
          <t>01a152b9-a3c4-7021-8775-0543caf201e9</t>
        </is>
      </c>
      <c r="D251" s="5" t="inlineStr">
        <is>
          <t>01a152b9-6e67-75da-8adb-b03e5d07fd21</t>
        </is>
      </c>
      <c r="E251" s="4" t="n">
        <v>46314.24606746023</v>
      </c>
      <c r="F251" s="4" t="n">
        <v>46314.24606746037</v>
      </c>
      <c r="G251" t="b">
        <v>1</v>
      </c>
      <c r="H251" s="3" t="inlineStr">
        <is>
          <t>Added fraction 0.02346041055718475073313782991 of cost base adjustment 01a152b9-a378-71ad-9e63-bf781dccc053 | 2024-06-30 | Adjustment of VGS | Cost base increase = A$1,950.10</t>
        </is>
      </c>
      <c r="I251" t="inlineStr">
        <is>
          <t>cost base adjustment allocation</t>
        </is>
      </c>
      <c r="J251" s="5" t="inlineStr">
        <is>
          <t>01a152b9-a3bb-7487-9030-203a775fa053</t>
        </is>
      </c>
    </row>
    <row r="252">
      <c r="A252" s="5" t="inlineStr">
        <is>
          <t>01a152b9-a3ce-7602-90ad-386b7ac4db5a</t>
        </is>
      </c>
      <c r="D252" s="5" t="inlineStr">
        <is>
          <t>01a152b9-6e67-75da-8adb-b03e5d07fd21</t>
        </is>
      </c>
      <c r="E252" s="4" t="n">
        <v>46314.24606757752</v>
      </c>
      <c r="F252" s="4" t="n">
        <v>46314.24606757766</v>
      </c>
      <c r="G252" t="b">
        <v>1</v>
      </c>
      <c r="H252" s="3" t="inlineStr">
        <is>
          <t>Added fraction 0.02932551319648093841642228739 of cost base adjustment 01a152b9-a378-71ad-9e63-bf781dccc053 | 2024-06-30 | Adjustment of VGS | Cost base increase = A$1,950.10</t>
        </is>
      </c>
      <c r="I252" t="inlineStr">
        <is>
          <t>cost base adjustment allocation</t>
        </is>
      </c>
      <c r="J252" s="5" t="inlineStr">
        <is>
          <t>01a152b9-a3c5-76f9-9125-22a624090200</t>
        </is>
      </c>
    </row>
    <row r="253">
      <c r="A253" s="5" t="inlineStr">
        <is>
          <t>01a152b9-a3d7-723e-b3c3-37c4dc6ba0de</t>
        </is>
      </c>
      <c r="D253" s="5" t="inlineStr">
        <is>
          <t>01a152b9-6e67-75da-8adb-b03e5d07fd21</t>
        </is>
      </c>
      <c r="E253" s="4" t="n">
        <v>46314.24606768679</v>
      </c>
      <c r="F253" s="4" t="n">
        <v>46314.24606768697</v>
      </c>
      <c r="G253" t="b">
        <v>1</v>
      </c>
      <c r="H253" s="3" t="inlineStr">
        <is>
          <t>Added fraction 0.02932551319648093841642228739 of cost base adjustment 01a152b9-a378-71ad-9e63-bf781dccc053 | 2024-06-30 | Adjustment of VGS | Cost base increase = A$1,950.10</t>
        </is>
      </c>
      <c r="I253" t="inlineStr">
        <is>
          <t>cost base adjustment allocation</t>
        </is>
      </c>
      <c r="J253" s="5" t="inlineStr">
        <is>
          <t>01a152b9-a3cf-74d4-8447-0c8727a10185</t>
        </is>
      </c>
    </row>
    <row r="254">
      <c r="A254" s="5" t="inlineStr">
        <is>
          <t>01a152b9-a3e2-724f-9ecb-cb74fefdb1cf</t>
        </is>
      </c>
      <c r="D254" s="5" t="inlineStr">
        <is>
          <t>01a152b9-6e67-75da-8adb-b03e5d07fd21</t>
        </is>
      </c>
      <c r="E254" s="4" t="n">
        <v>46314.24606780664</v>
      </c>
      <c r="F254" s="4" t="n">
        <v>46314.24606780685</v>
      </c>
      <c r="G254" t="b">
        <v>1</v>
      </c>
      <c r="H254" s="3" t="inlineStr">
        <is>
          <t>Added fraction 0.02932551319648093841642228739 of cost base adjustment 01a152b9-a378-71ad-9e63-bf781dccc053 | 2024-06-30 | Adjustment of VGS | Cost base increase = A$1,950.10</t>
        </is>
      </c>
      <c r="I254" t="inlineStr">
        <is>
          <t>cost base adjustment allocation</t>
        </is>
      </c>
      <c r="J254" s="5" t="inlineStr">
        <is>
          <t>01a152b9-a3d9-7539-8ce8-efa12613712d</t>
        </is>
      </c>
    </row>
    <row r="255">
      <c r="A255" s="5" t="inlineStr">
        <is>
          <t>01a152b9-a3eb-722e-b3e7-71ca433f7e86</t>
        </is>
      </c>
      <c r="D255" s="5" t="inlineStr">
        <is>
          <t>01a152b9-6e67-75da-8adb-b03e5d07fd21</t>
        </is>
      </c>
      <c r="E255" s="4" t="n">
        <v>46314.24606791794</v>
      </c>
      <c r="F255" s="4" t="n">
        <v>46314.2460679181</v>
      </c>
      <c r="G255" t="b">
        <v>1</v>
      </c>
      <c r="H255" s="3" t="inlineStr">
        <is>
          <t>Added fraction 0.02932551319648093841642228739 of cost base adjustment 01a152b9-a378-71ad-9e63-bf781dccc053 | 2024-06-30 | Adjustment of VGS | Cost base increase = A$1,950.10</t>
        </is>
      </c>
      <c r="I255" t="inlineStr">
        <is>
          <t>cost base adjustment allocation</t>
        </is>
      </c>
      <c r="J255" s="5" t="inlineStr">
        <is>
          <t>01a152b9-a3e3-74dc-adbf-0486f7fc0bad</t>
        </is>
      </c>
    </row>
    <row r="256">
      <c r="A256" s="5" t="inlineStr">
        <is>
          <t>01a152b9-a3f5-73c6-bf4a-a3b9f6ad5fd2</t>
        </is>
      </c>
      <c r="D256" s="5" t="inlineStr">
        <is>
          <t>01a152b9-6e67-75da-8adb-b03e5d07fd21</t>
        </is>
      </c>
      <c r="E256" s="4" t="n">
        <v>46314.24606802943</v>
      </c>
      <c r="F256" s="4" t="n">
        <v>46314.24606802955</v>
      </c>
      <c r="G256" t="b">
        <v>1</v>
      </c>
      <c r="H256" s="3" t="inlineStr">
        <is>
          <t>Added fraction 0.02932551319648093841642228739 of cost base adjustment 01a152b9-a378-71ad-9e63-bf781dccc053 | 2024-06-30 | Adjustment of VGS | Cost base increase = A$1,950.10</t>
        </is>
      </c>
      <c r="I256" t="inlineStr">
        <is>
          <t>cost base adjustment allocation</t>
        </is>
      </c>
      <c r="J256" s="5" t="inlineStr">
        <is>
          <t>01a152b9-a3ed-7783-8630-63d2c720855d</t>
        </is>
      </c>
    </row>
    <row r="257">
      <c r="A257" s="5" t="inlineStr">
        <is>
          <t>01a152b9-a3ff-7137-8563-a1b7a68c6d15</t>
        </is>
      </c>
      <c r="D257" s="5" t="inlineStr">
        <is>
          <t>01a152b9-6e67-75da-8adb-b03e5d07fd21</t>
        </is>
      </c>
      <c r="E257" s="4" t="n">
        <v>46314.24606814199</v>
      </c>
      <c r="F257" s="4" t="n">
        <v>46314.24606814213</v>
      </c>
      <c r="G257" t="b">
        <v>1</v>
      </c>
      <c r="H257" s="3" t="inlineStr">
        <is>
          <t>Added fraction 0.02932551319648093841642228739 of cost base adjustment 01a152b9-a378-71ad-9e63-bf781dccc053 | 2024-06-30 | Adjustment of VGS | Cost base increase = A$1,950.10</t>
        </is>
      </c>
      <c r="I257" t="inlineStr">
        <is>
          <t>cost base adjustment allocation</t>
        </is>
      </c>
      <c r="J257" s="5" t="inlineStr">
        <is>
          <t>01a152b9-a3f6-74f4-ad05-ee658964abe6</t>
        </is>
      </c>
    </row>
    <row r="258">
      <c r="A258" s="5" t="inlineStr">
        <is>
          <t>01a152b9-a407-7711-a1fb-10a05ecf7a49</t>
        </is>
      </c>
      <c r="D258" s="5" t="inlineStr">
        <is>
          <t>01a152b9-6e67-75da-8adb-b03e5d07fd21</t>
        </is>
      </c>
      <c r="E258" s="4" t="n">
        <v>46314.24606823853</v>
      </c>
      <c r="F258" s="4" t="n">
        <v>46314.24606823868</v>
      </c>
      <c r="G258" t="b">
        <v>1</v>
      </c>
      <c r="H258" s="3" t="inlineStr">
        <is>
          <t>Added fraction 0.02932551319648093841642228739 of cost base adjustment 01a152b9-a378-71ad-9e63-bf781dccc053 | 2024-06-30 | Adjustment of VGS | Cost base increase = A$1,950.10</t>
        </is>
      </c>
      <c r="I258" t="inlineStr">
        <is>
          <t>cost base adjustment allocation</t>
        </is>
      </c>
      <c r="J258" s="5" t="inlineStr">
        <is>
          <t>01a152b9-a400-723a-91f6-5a234c10bc33</t>
        </is>
      </c>
    </row>
    <row r="259">
      <c r="A259" s="5" t="inlineStr">
        <is>
          <t>01a152b9-a410-727a-92ea-6f51c1e31864</t>
        </is>
      </c>
      <c r="D259" s="5" t="inlineStr">
        <is>
          <t>01a152b9-6e67-75da-8adb-b03e5d07fd21</t>
        </is>
      </c>
      <c r="E259" s="4" t="n">
        <v>46314.24606834344</v>
      </c>
      <c r="F259" s="4" t="n">
        <v>46314.24606834354</v>
      </c>
      <c r="G259" t="b">
        <v>1</v>
      </c>
      <c r="H259" s="3" t="inlineStr">
        <is>
          <t>Added fraction 0.02932551319648093841642228739 of cost base adjustment 01a152b9-a378-71ad-9e63-bf781dccc053 | 2024-06-30 | Adjustment of VGS | Cost base increase = A$1,950.10</t>
        </is>
      </c>
      <c r="I259" t="inlineStr">
        <is>
          <t>cost base adjustment allocation</t>
        </is>
      </c>
      <c r="J259" s="5" t="inlineStr">
        <is>
          <t>01a152b9-a408-7656-9bd1-4205228de595</t>
        </is>
      </c>
    </row>
    <row r="260">
      <c r="A260" s="5" t="inlineStr">
        <is>
          <t>01a152b9-a419-7024-b527-e8ce807f0227</t>
        </is>
      </c>
      <c r="D260" s="5" t="inlineStr">
        <is>
          <t>01a152b9-6e67-75da-8adb-b03e5d07fd21</t>
        </is>
      </c>
      <c r="E260" s="4" t="n">
        <v>46314.24606844242</v>
      </c>
      <c r="F260" s="4" t="n">
        <v>46314.24606844255</v>
      </c>
      <c r="G260" t="b">
        <v>1</v>
      </c>
      <c r="H260" s="3" t="inlineStr">
        <is>
          <t>Added fraction 0.02932551319648093841642228739 of cost base adjustment 01a152b9-a378-71ad-9e63-bf781dccc053 | 2024-06-30 | Adjustment of VGS | Cost base increase = A$1,950.10</t>
        </is>
      </c>
      <c r="I260" t="inlineStr">
        <is>
          <t>cost base adjustment allocation</t>
        </is>
      </c>
      <c r="J260" s="5" t="inlineStr">
        <is>
          <t>01a152b9-a411-7011-9e0f-b5ff0af13d6f</t>
        </is>
      </c>
    </row>
    <row r="261">
      <c r="A261" s="5" t="inlineStr">
        <is>
          <t>01a152b9-a421-705f-b27c-e9bf54a6b2ee</t>
        </is>
      </c>
      <c r="D261" s="5" t="inlineStr">
        <is>
          <t>01a152b9-6e67-75da-8adb-b03e5d07fd21</t>
        </is>
      </c>
      <c r="E261" s="4" t="n">
        <v>46314.24606853173</v>
      </c>
      <c r="F261" s="4" t="n">
        <v>46314.24606853183</v>
      </c>
      <c r="G261" t="b">
        <v>1</v>
      </c>
      <c r="H261" s="3" t="inlineStr">
        <is>
          <t>Added fraction 0.02932551319648093841642228739 of cost base adjustment 01a152b9-a378-71ad-9e63-bf781dccc053 | 2024-06-30 | Adjustment of VGS | Cost base increase = A$1,950.10</t>
        </is>
      </c>
      <c r="I261" t="inlineStr">
        <is>
          <t>cost base adjustment allocation</t>
        </is>
      </c>
      <c r="J261" s="5" t="inlineStr">
        <is>
          <t>01a152b9-a41a-76f1-90a3-4c02d55ccfa0</t>
        </is>
      </c>
    </row>
    <row r="262">
      <c r="A262" s="5" t="inlineStr">
        <is>
          <t>01a152b9-a427-7637-a4dd-425f14f80799</t>
        </is>
      </c>
      <c r="D262" s="5" t="inlineStr">
        <is>
          <t>01a152b9-6e67-75da-8adb-b03e5d07fd21</t>
        </is>
      </c>
      <c r="E262" s="4" t="n">
        <v>46314.24606860918</v>
      </c>
      <c r="F262" s="4" t="n">
        <v>46314.24606860927</v>
      </c>
      <c r="G262" t="b">
        <v>1</v>
      </c>
      <c r="H262" s="3" t="inlineStr">
        <is>
          <t>Added fraction 0.05278592375366568914956011730 of cost base adjustment 01a152b9-a378-71ad-9e63-bf781dccc053 | 2024-06-30 | Adjustment of VGS | Cost base increase = A$1,950.10</t>
        </is>
      </c>
      <c r="I262" t="inlineStr">
        <is>
          <t>cost base adjustment allocation</t>
        </is>
      </c>
      <c r="J262" s="5" t="inlineStr">
        <is>
          <t>01a152b9-a421-705f-b27c-e9c04e2480e0</t>
        </is>
      </c>
    </row>
    <row r="263">
      <c r="A263" s="5" t="inlineStr">
        <is>
          <t>01a152b9-a42f-7376-ac9a-1b9ab54b245b</t>
        </is>
      </c>
      <c r="D263" s="5" t="inlineStr">
        <is>
          <t>01a152b9-6e67-75da-8adb-b03e5d07fd21</t>
        </is>
      </c>
      <c r="E263" s="4" t="n">
        <v>46314.24606869623</v>
      </c>
      <c r="F263" s="4" t="n">
        <v>46314.24606869633</v>
      </c>
      <c r="G263" t="b">
        <v>1</v>
      </c>
      <c r="H263" s="3" t="inlineStr">
        <is>
          <t>Added fraction 0.05865102639296187683284457478 of cost base adjustment 01a152b9-a378-71ad-9e63-bf781dccc053 | 2024-06-30 | Adjustment of VGS | Cost base increase = A$1,950.10</t>
        </is>
      </c>
      <c r="I263" t="inlineStr">
        <is>
          <t>cost base adjustment allocation</t>
        </is>
      </c>
      <c r="J263" s="5" t="inlineStr">
        <is>
          <t>01a152b9-a428-7017-a02a-306bde9d3a7d</t>
        </is>
      </c>
    </row>
    <row r="264">
      <c r="A264" s="5" t="inlineStr">
        <is>
          <t>01a152b9-a436-7527-ade0-2e10a3edaafb</t>
        </is>
      </c>
      <c r="D264" s="5" t="inlineStr">
        <is>
          <t>01a152b9-6e67-75da-8adb-b03e5d07fd21</t>
        </is>
      </c>
      <c r="E264" s="4" t="n">
        <v>46314.246068777</v>
      </c>
      <c r="F264" s="4" t="n">
        <v>46314.24606877711</v>
      </c>
      <c r="G264" t="b">
        <v>1</v>
      </c>
      <c r="H264" s="3" t="inlineStr">
        <is>
          <t>Added fraction 0.05865102639296187683284457478 of cost base adjustment 01a152b9-a378-71ad-9e63-bf781dccc053 | 2024-06-30 | Adjustment of VGS | Cost base increase = A$1,950.10</t>
        </is>
      </c>
      <c r="I264" t="inlineStr">
        <is>
          <t>cost base adjustment allocation</t>
        </is>
      </c>
      <c r="J264" s="5" t="inlineStr">
        <is>
          <t>01a152b9-a430-771d-95ca-4e1df003c34d</t>
        </is>
      </c>
    </row>
    <row r="265">
      <c r="A265" s="5" t="inlineStr">
        <is>
          <t>01a152b9-a43d-76e3-bee0-d4660de981d3</t>
        </is>
      </c>
      <c r="D265" s="5" t="inlineStr">
        <is>
          <t>01a152b9-6e67-75da-8adb-b03e5d07fd21</t>
        </is>
      </c>
      <c r="E265" s="4" t="n">
        <v>46314.24606886289</v>
      </c>
      <c r="F265" s="4" t="n">
        <v>46314.24606886301</v>
      </c>
      <c r="G265" t="b">
        <v>1</v>
      </c>
      <c r="H265" s="3" t="inlineStr">
        <is>
          <t>Added fraction 0.05865102639296187683284457478 of cost base adjustment 01a152b9-a378-71ad-9e63-bf781dccc053 | 2024-06-30 | Adjustment of VGS | Cost base increase = A$1,950.10</t>
        </is>
      </c>
      <c r="I265" t="inlineStr">
        <is>
          <t>cost base adjustment allocation</t>
        </is>
      </c>
      <c r="J265" s="5" t="inlineStr">
        <is>
          <t>01a152b9-a437-7181-a0df-936af940b120</t>
        </is>
      </c>
    </row>
    <row r="266">
      <c r="A266" s="5" t="inlineStr">
        <is>
          <t>01a152b9-a444-764b-8eaf-9e03e62ec8da</t>
        </is>
      </c>
      <c r="D266" s="5" t="inlineStr">
        <is>
          <t>01a152b9-6e67-75da-8adb-b03e5d07fd21</t>
        </is>
      </c>
      <c r="E266" s="4" t="n">
        <v>46314.24606894273</v>
      </c>
      <c r="F266" s="4" t="n">
        <v>46314.24606894283</v>
      </c>
      <c r="G266" t="b">
        <v>1</v>
      </c>
      <c r="H266" s="3" t="inlineStr">
        <is>
          <t>Added fraction 0.05865102639296187683284457478 of cost base adjustment 01a152b9-a378-71ad-9e63-bf781dccc053 | 2024-06-30 | Adjustment of VGS | Cost base increase = A$1,950.10</t>
        </is>
      </c>
      <c r="I266" t="inlineStr">
        <is>
          <t>cost base adjustment allocation</t>
        </is>
      </c>
      <c r="J266" s="5" t="inlineStr">
        <is>
          <t>01a152b9-a43e-719d-bc60-25a1d4e0383c</t>
        </is>
      </c>
    </row>
    <row r="267">
      <c r="A267" s="5" t="inlineStr">
        <is>
          <t>01a152b9-a44b-7088-84de-f9cf920ac21c</t>
        </is>
      </c>
      <c r="D267" s="5" t="inlineStr">
        <is>
          <t>01a152b9-6e67-75da-8adb-b03e5d07fd21</t>
        </is>
      </c>
      <c r="E267" s="4" t="n">
        <v>46314.24606902459</v>
      </c>
      <c r="F267" s="4" t="n">
        <v>46314.24606902467</v>
      </c>
      <c r="G267" t="b">
        <v>1</v>
      </c>
      <c r="H267" s="3" t="inlineStr">
        <is>
          <t>Added fraction 0.05865102639296187683284457478 of cost base adjustment 01a152b9-a378-71ad-9e63-bf781dccc053 | 2024-06-30 | Adjustment of VGS | Cost base increase = A$1,950.10</t>
        </is>
      </c>
      <c r="I267" t="inlineStr">
        <is>
          <t>cost base adjustment allocation</t>
        </is>
      </c>
      <c r="J267" s="5" t="inlineStr">
        <is>
          <t>01a152b9-a445-7076-9da1-c90e92122778</t>
        </is>
      </c>
    </row>
    <row r="268">
      <c r="A268" s="5" t="inlineStr">
        <is>
          <t>01a152b9-a452-709e-95f5-644ac4b1990c</t>
        </is>
      </c>
      <c r="D268" s="5" t="inlineStr">
        <is>
          <t>01a152b9-6e67-75da-8adb-b03e5d07fd21</t>
        </is>
      </c>
      <c r="E268" s="4" t="n">
        <v>46314.24606910397</v>
      </c>
      <c r="F268" s="4" t="n">
        <v>46314.24606910408</v>
      </c>
      <c r="G268" t="b">
        <v>1</v>
      </c>
      <c r="H268" s="3" t="inlineStr">
        <is>
          <t>Added fraction 0.07331378299120234604105571848 of cost base adjustment 01a152b9-a378-71ad-9e63-bf781dccc053 | 2024-06-30 | Adjustment of VGS | Cost base increase = A$1,950.10</t>
        </is>
      </c>
      <c r="I268" t="inlineStr">
        <is>
          <t>cost base adjustment allocation</t>
        </is>
      </c>
      <c r="J268" s="5" t="inlineStr">
        <is>
          <t>01a152b9-a44c-7253-ba77-c75d095f9914</t>
        </is>
      </c>
    </row>
    <row r="269">
      <c r="A269" s="5" t="inlineStr">
        <is>
          <t>01a152b9-a459-73cc-9a98-bffd686fbd82</t>
        </is>
      </c>
      <c r="D269" s="5" t="inlineStr">
        <is>
          <t>01a152b9-6e67-75da-8adb-b03e5d07fd21</t>
        </is>
      </c>
      <c r="E269" s="4" t="n">
        <v>46314.24606918474</v>
      </c>
      <c r="F269" s="4" t="n">
        <v>46314.24606918485</v>
      </c>
      <c r="G269" t="b">
        <v>1</v>
      </c>
      <c r="H269" s="3" t="inlineStr">
        <is>
          <t>Added fraction 0.07331378299120234604105571848 of cost base adjustment 01a152b9-a378-71ad-9e63-bf781dccc053 | 2024-06-30 | Adjustment of VGS | Cost base increase = A$1,950.10</t>
        </is>
      </c>
      <c r="I269" t="inlineStr">
        <is>
          <t>cost base adjustment allocation</t>
        </is>
      </c>
      <c r="J269" s="5" t="inlineStr">
        <is>
          <t>01a152b9-a453-7479-ac5a-abf3c53e713d</t>
        </is>
      </c>
    </row>
    <row r="270">
      <c r="A270" s="5" t="inlineStr">
        <is>
          <t>01a152b9-a460-7670-95c4-f9c282c3832b</t>
        </is>
      </c>
      <c r="D270" s="5" t="inlineStr">
        <is>
          <t>01a152b9-6e67-75da-8adb-b03e5d07fd21</t>
        </is>
      </c>
      <c r="E270" s="4" t="n">
        <v>46314.24606926546</v>
      </c>
      <c r="F270" s="4" t="n">
        <v>46314.24606926558</v>
      </c>
      <c r="G270" t="b">
        <v>1</v>
      </c>
      <c r="H270" s="3" t="inlineStr">
        <is>
          <t>residual of cost base adjustment 01a152b9-a378-71ad-9e63-bf781dccc053 | 2024-06-30 | Adjustment of VGS | Cost base increase = A$1,950.10</t>
        </is>
      </c>
      <c r="I270" t="inlineStr">
        <is>
          <t>cost base adjustment allocation</t>
        </is>
      </c>
      <c r="J270" s="5" t="inlineStr">
        <is>
          <t>01a152b9-a45a-73a2-878b-183136f5ec2d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2" customWidth="1" min="1" max="1"/>
    <col width="11.2" customWidth="1" min="2" max="2"/>
    <col width="45.2" customWidth="1" min="3" max="3"/>
    <col width="38.2" customWidth="1" min="4" max="4"/>
    <col width="28.2" customWidth="1" min="5" max="5"/>
    <col width="28.2" customWidth="1" min="6" max="6"/>
    <col width="11.2" customWidth="1" min="7" max="7"/>
    <col width="7.2" customWidth="1" min="8" max="8"/>
    <col width="8.199999999999999" customWidth="1" min="9" max="9"/>
    <col width="8.199999999999999" customWidth="1" min="10" max="10"/>
    <col width="9.199999999999999" customWidth="1" min="11" max="11"/>
    <col width="20.2" customWidth="1" min="12" max="12"/>
  </cols>
  <sheetData>
    <row r="1" ht="32" customHeight="1">
      <c r="A1" s="1" t="inlineStr">
        <is>
          <t>id</t>
        </is>
      </c>
      <c r="B1" s="1" t="inlineStr">
        <is>
          <t>legacy_id</t>
        </is>
      </c>
      <c r="C1" s="1" t="inlineStr">
        <is>
          <t>description</t>
        </is>
      </c>
      <c r="D1" s="1" t="inlineStr">
        <is>
          <t>account_id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is_active</t>
        </is>
      </c>
      <c r="H1" s="1" t="inlineStr">
        <is>
          <t>notes</t>
        </is>
      </c>
      <c r="I1" s="1" t="inlineStr">
        <is>
          <t>code</t>
        </is>
      </c>
      <c r="J1" s="1" t="inlineStr">
        <is>
          <t>suffix</t>
        </is>
      </c>
      <c r="K1" s="1" t="inlineStr">
        <is>
          <t>country</t>
        </is>
      </c>
      <c r="L1" s="1" t="inlineStr">
        <is>
          <t>is_exchange_listed</t>
        </is>
      </c>
    </row>
    <row r="2">
      <c r="A2" s="5" t="inlineStr">
        <is>
          <t>01a152b9-6ee2-7577-bddd-382bc3853fde</t>
        </is>
      </c>
      <c r="C2" t="inlineStr">
        <is>
          <t>Australian Stock Exchange</t>
        </is>
      </c>
      <c r="D2" s="5" t="inlineStr">
        <is>
          <t>01a152b9-6e67-75da-8adb-b03e5d07fd21</t>
        </is>
      </c>
      <c r="E2" s="4" t="n">
        <v>46314.24591077513</v>
      </c>
      <c r="F2" s="4" t="n">
        <v>46314.24591077528</v>
      </c>
      <c r="G2" t="b">
        <v>1</v>
      </c>
      <c r="I2" t="inlineStr">
        <is>
          <t>ASX</t>
        </is>
      </c>
      <c r="J2" t="inlineStr">
        <is>
          <t>.AX</t>
        </is>
      </c>
      <c r="K2" t="inlineStr">
        <is>
          <t>AU</t>
        </is>
      </c>
      <c r="L2" t="b">
        <v>1</v>
      </c>
    </row>
    <row r="3">
      <c r="A3" s="5" t="inlineStr">
        <is>
          <t>01a152b9-6ee5-74a1-b2dd-1e8b017d8fc0</t>
        </is>
      </c>
      <c r="C3" t="inlineStr">
        <is>
          <t>NASDAQ</t>
        </is>
      </c>
      <c r="D3" s="5" t="inlineStr">
        <is>
          <t>01a152b9-6e67-75da-8adb-b03e5d07fd21</t>
        </is>
      </c>
      <c r="E3" s="4" t="n">
        <v>46314.24591081093</v>
      </c>
      <c r="F3" s="4" t="n">
        <v>46314.24591081104</v>
      </c>
      <c r="G3" t="b">
        <v>1</v>
      </c>
      <c r="I3" t="inlineStr">
        <is>
          <t>NASDAQ</t>
        </is>
      </c>
      <c r="J3" t="n">
        <v/>
      </c>
      <c r="K3" t="inlineStr">
        <is>
          <t>US</t>
        </is>
      </c>
      <c r="L3" t="b">
        <v>1</v>
      </c>
    </row>
    <row r="4">
      <c r="A4" s="5" t="inlineStr">
        <is>
          <t>01a152b9-6ee7-7107-a7f7-c4aa140c780c</t>
        </is>
      </c>
      <c r="C4" t="inlineStr">
        <is>
          <t>New York Stock Exchange</t>
        </is>
      </c>
      <c r="D4" s="5" t="inlineStr">
        <is>
          <t>01a152b9-6e67-75da-8adb-b03e5d07fd21</t>
        </is>
      </c>
      <c r="E4" s="4" t="n">
        <v>46314.24591083236</v>
      </c>
      <c r="F4" s="4" t="n">
        <v>46314.24591083245</v>
      </c>
      <c r="G4" t="b">
        <v>1</v>
      </c>
      <c r="I4" t="inlineStr">
        <is>
          <t>NYSE</t>
        </is>
      </c>
      <c r="J4" t="n">
        <v/>
      </c>
      <c r="K4" t="inlineStr">
        <is>
          <t>US</t>
        </is>
      </c>
      <c r="L4" t="b">
        <v>1</v>
      </c>
    </row>
    <row r="5">
      <c r="A5" s="5" t="inlineStr">
        <is>
          <t>01a152b9-6ee9-7763-bb92-4d5bcf6928bf</t>
        </is>
      </c>
      <c r="C5" t="inlineStr">
        <is>
          <t>London Stock Exchange</t>
        </is>
      </c>
      <c r="D5" s="5" t="inlineStr">
        <is>
          <t>01a152b9-6e67-75da-8adb-b03e5d07fd21</t>
        </is>
      </c>
      <c r="E5" s="4" t="n">
        <v>46314.2459108516</v>
      </c>
      <c r="F5" s="4" t="n">
        <v>46314.2459108517</v>
      </c>
      <c r="G5" t="b">
        <v>1</v>
      </c>
      <c r="I5" t="inlineStr">
        <is>
          <t>LSE</t>
        </is>
      </c>
      <c r="J5" t="inlineStr">
        <is>
          <t>.L</t>
        </is>
      </c>
      <c r="K5" t="inlineStr">
        <is>
          <t>GB</t>
        </is>
      </c>
      <c r="L5" t="b">
        <v>1</v>
      </c>
    </row>
    <row r="6">
      <c r="A6" s="5" t="inlineStr">
        <is>
          <t>01a152b9-6eeb-75cd-85ab-030801595106</t>
        </is>
      </c>
      <c r="C6" t="inlineStr">
        <is>
          <t>New Zealand Stock Exchange</t>
        </is>
      </c>
      <c r="D6" s="5" t="inlineStr">
        <is>
          <t>01a152b9-6e67-75da-8adb-b03e5d07fd21</t>
        </is>
      </c>
      <c r="E6" s="4" t="n">
        <v>46314.24591087153</v>
      </c>
      <c r="F6" s="4" t="n">
        <v>46314.24591087162</v>
      </c>
      <c r="G6" t="b">
        <v>1</v>
      </c>
      <c r="I6" t="inlineStr">
        <is>
          <t>NZX</t>
        </is>
      </c>
      <c r="J6" t="inlineStr">
        <is>
          <t>.NZ</t>
        </is>
      </c>
      <c r="K6" t="inlineStr">
        <is>
          <t>NZ</t>
        </is>
      </c>
      <c r="L6" t="b">
        <v>1</v>
      </c>
    </row>
    <row r="7">
      <c r="A7" s="5" t="inlineStr">
        <is>
          <t>01a152b9-6eec-741c-88f8-5085651b8627</t>
        </is>
      </c>
      <c r="C7" t="inlineStr">
        <is>
          <t>Toronto Stock Exchange</t>
        </is>
      </c>
      <c r="D7" s="5" t="inlineStr">
        <is>
          <t>01a152b9-6e67-75da-8adb-b03e5d07fd21</t>
        </is>
      </c>
      <c r="E7" s="4" t="n">
        <v>46314.24591088769</v>
      </c>
      <c r="F7" s="4" t="n">
        <v>46314.24591088778</v>
      </c>
      <c r="G7" t="b">
        <v>1</v>
      </c>
      <c r="I7" t="inlineStr">
        <is>
          <t>TSX</t>
        </is>
      </c>
      <c r="J7" t="inlineStr">
        <is>
          <t>.TO</t>
        </is>
      </c>
      <c r="K7" t="inlineStr">
        <is>
          <t>CA</t>
        </is>
      </c>
      <c r="L7" t="b">
        <v>1</v>
      </c>
    </row>
    <row r="8">
      <c r="A8" s="5" t="inlineStr">
        <is>
          <t>01a152b9-6eee-7604-90e6-9303eaeeba51</t>
        </is>
      </c>
      <c r="C8" t="inlineStr">
        <is>
          <t>Japan Exchange Group (Tokyo Stock Exchange)</t>
        </is>
      </c>
      <c r="D8" s="5" t="inlineStr">
        <is>
          <t>01a152b9-6e67-75da-8adb-b03e5d07fd21</t>
        </is>
      </c>
      <c r="E8" s="4" t="n">
        <v>46314.24591090673</v>
      </c>
      <c r="F8" s="4" t="n">
        <v>46314.24591090681</v>
      </c>
      <c r="G8" t="b">
        <v>1</v>
      </c>
      <c r="I8" t="inlineStr">
        <is>
          <t>JPX</t>
        </is>
      </c>
      <c r="J8" t="inlineStr">
        <is>
          <t>.T</t>
        </is>
      </c>
      <c r="K8" t="inlineStr">
        <is>
          <t>JP</t>
        </is>
      </c>
      <c r="L8" t="b">
        <v>1</v>
      </c>
    </row>
    <row r="9">
      <c r="A9" s="5" t="inlineStr">
        <is>
          <t>01a152b9-6eef-712d-a3e1-7dc09b4b715a</t>
        </is>
      </c>
      <c r="C9" t="inlineStr">
        <is>
          <t>Hong Kong Stock Exchange</t>
        </is>
      </c>
      <c r="D9" s="5" t="inlineStr">
        <is>
          <t>01a152b9-6e67-75da-8adb-b03e5d07fd21</t>
        </is>
      </c>
      <c r="E9" s="4" t="n">
        <v>46314.24591092259</v>
      </c>
      <c r="F9" s="4" t="n">
        <v>46314.24591092268</v>
      </c>
      <c r="G9" t="b">
        <v>1</v>
      </c>
      <c r="I9" t="inlineStr">
        <is>
          <t>HKEX</t>
        </is>
      </c>
      <c r="J9" t="inlineStr">
        <is>
          <t>.HK</t>
        </is>
      </c>
      <c r="K9" t="inlineStr">
        <is>
          <t>HK</t>
        </is>
      </c>
      <c r="L9" t="b">
        <v>1</v>
      </c>
    </row>
    <row r="10">
      <c r="A10" s="5" t="inlineStr">
        <is>
          <t>01a152b9-6ef1-7331-bb10-083d9002fda8</t>
        </is>
      </c>
      <c r="C10" t="inlineStr">
        <is>
          <t>Shanghai Stock Exchange</t>
        </is>
      </c>
      <c r="D10" s="5" t="inlineStr">
        <is>
          <t>01a152b9-6e67-75da-8adb-b03e5d07fd21</t>
        </is>
      </c>
      <c r="E10" s="4" t="n">
        <v>46314.24591094311</v>
      </c>
      <c r="F10" s="4" t="n">
        <v>46314.24591094321</v>
      </c>
      <c r="G10" t="b">
        <v>1</v>
      </c>
      <c r="I10" t="inlineStr">
        <is>
          <t>SSE</t>
        </is>
      </c>
      <c r="J10" t="inlineStr">
        <is>
          <t>.SS</t>
        </is>
      </c>
      <c r="K10" t="n">
        <v/>
      </c>
      <c r="L10" t="b">
        <v>1</v>
      </c>
    </row>
    <row r="11">
      <c r="A11" s="5" t="inlineStr">
        <is>
          <t>01a152b9-6ef2-77ab-8c13-09bb3d70bf81</t>
        </is>
      </c>
      <c r="C11" t="inlineStr">
        <is>
          <t>Shenzhen Stock Exchange</t>
        </is>
      </c>
      <c r="D11" s="5" t="inlineStr">
        <is>
          <t>01a152b9-6e67-75da-8adb-b03e5d07fd21</t>
        </is>
      </c>
      <c r="E11" s="4" t="n">
        <v>46314.24591095834</v>
      </c>
      <c r="F11" s="4" t="n">
        <v>46314.24591095844</v>
      </c>
      <c r="G11" t="b">
        <v>1</v>
      </c>
      <c r="I11" t="inlineStr">
        <is>
          <t>SZSE</t>
        </is>
      </c>
      <c r="J11" t="inlineStr">
        <is>
          <t>.SZ</t>
        </is>
      </c>
      <c r="K11" t="n">
        <v/>
      </c>
      <c r="L11" t="b">
        <v>1</v>
      </c>
    </row>
    <row r="12">
      <c r="A12" s="5" t="inlineStr">
        <is>
          <t>01a152b9-6ef4-7445-ba55-dc6df679632f</t>
        </is>
      </c>
      <c r="C12" t="inlineStr">
        <is>
          <t>National Stock Exchange of India</t>
        </is>
      </c>
      <c r="D12" s="5" t="inlineStr">
        <is>
          <t>01a152b9-6e67-75da-8adb-b03e5d07fd21</t>
        </is>
      </c>
      <c r="E12" s="4" t="n">
        <v>46314.24591097454</v>
      </c>
      <c r="F12" s="4" t="n">
        <v>46314.24591097464</v>
      </c>
      <c r="G12" t="b">
        <v>1</v>
      </c>
      <c r="I12" t="inlineStr">
        <is>
          <t>NSE</t>
        </is>
      </c>
      <c r="J12" t="inlineStr">
        <is>
          <t>.NS</t>
        </is>
      </c>
      <c r="K12" t="inlineStr">
        <is>
          <t>IN</t>
        </is>
      </c>
      <c r="L12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2" customWidth="1" min="1" max="1"/>
    <col width="11.2" customWidth="1" min="2" max="2"/>
    <col width="38.2" customWidth="1" min="3" max="3"/>
    <col width="28.2" customWidth="1" min="4" max="4"/>
    <col width="28.2" customWidth="1" min="5" max="5"/>
    <col width="11.2" customWidth="1" min="6" max="6"/>
    <col width="65.2" customWidth="1" min="7" max="7"/>
    <col width="8.199999999999999" customWidth="1" min="8" max="8"/>
    <col width="62.2" customWidth="1" min="9" max="9"/>
    <col width="10.2" customWidth="1" min="10" max="10"/>
    <col width="38.2" customWidth="1" min="11" max="11"/>
    <col width="20.2" customWidth="1" min="12" max="12"/>
    <col width="12.2" customWidth="1" min="13" max="13"/>
    <col width="19.2" customWidth="1" min="14" max="14"/>
    <col width="29.2" customWidth="1" min="15" max="15"/>
    <col width="41.2" customWidth="1" min="16" max="16"/>
    <col width="26.2" customWidth="1" min="17" max="17"/>
    <col width="32.2" customWidth="1" min="18" max="18"/>
    <col width="23.2" customWidth="1" min="19" max="19"/>
    <col width="42.2" customWidth="1" min="20" max="20"/>
    <col width="33.2" customWidth="1" min="21" max="21"/>
  </cols>
  <sheetData>
    <row r="1" ht="32" customHeight="1">
      <c r="A1" s="1" t="inlineStr">
        <is>
          <t>id</t>
        </is>
      </c>
      <c r="B1" s="1" t="inlineStr">
        <is>
          <t>legacy_id</t>
        </is>
      </c>
      <c r="C1" s="1" t="inlineStr">
        <is>
          <t>account_id</t>
        </is>
      </c>
      <c r="D1" s="1" t="inlineStr">
        <is>
          <t>created_at</t>
        </is>
      </c>
      <c r="E1" s="1" t="inlineStr">
        <is>
          <t>updated_at</t>
        </is>
      </c>
      <c r="F1" s="1" t="inlineStr">
        <is>
          <t>is_active</t>
        </is>
      </c>
      <c r="G1" s="1" t="inlineStr">
        <is>
          <t>notes</t>
        </is>
      </c>
      <c r="H1" s="1" t="inlineStr">
        <is>
          <t>name</t>
        </is>
      </c>
      <c r="I1" s="1" t="inlineStr">
        <is>
          <t>description</t>
        </is>
      </c>
      <c r="J1" s="1" t="inlineStr">
        <is>
          <t>currency</t>
        </is>
      </c>
      <c r="K1" s="1" t="inlineStr">
        <is>
          <t>market_id</t>
        </is>
      </c>
      <c r="L1" s="1" t="inlineStr">
        <is>
          <t>current_unit_price</t>
        </is>
      </c>
      <c r="M1" s="1" t="inlineStr">
        <is>
          <t>legal_form</t>
        </is>
      </c>
      <c r="N1" s="1" t="inlineStr">
        <is>
          <t>legal_form_source</t>
        </is>
      </c>
      <c r="O1" s="1" t="inlineStr">
        <is>
          <t>cgt_asset_category_override</t>
        </is>
      </c>
      <c r="P1" s="1" t="inlineStr">
        <is>
          <t>is_taxable_australian_property_override</t>
        </is>
      </c>
      <c r="Q1" s="1" t="inlineStr">
        <is>
          <t>calculated_quantity_held</t>
        </is>
      </c>
      <c r="R1" s="1" t="inlineStr">
        <is>
          <t>calculated_value_held_currency</t>
        </is>
      </c>
      <c r="S1" s="1" t="inlineStr">
        <is>
          <t>calculated_value_held</t>
        </is>
      </c>
      <c r="T1" s="1" t="inlineStr">
        <is>
          <t>calculated_value_held_converted_currency</t>
        </is>
      </c>
      <c r="U1" s="1" t="inlineStr">
        <is>
          <t>calculated_value_held_converted</t>
        </is>
      </c>
    </row>
    <row r="2">
      <c r="A2" s="5" t="inlineStr">
        <is>
          <t>01a152b9-7164-71a8-bfc9-57fdf93f46ef</t>
        </is>
      </c>
      <c r="C2" s="5" t="inlineStr">
        <is>
          <t>01a152b9-6e67-75da-8adb-b03e5d07fd21</t>
        </is>
      </c>
      <c r="D2" s="4" t="n">
        <v>46314.24591820579</v>
      </c>
      <c r="E2" s="4" t="n">
        <v>46314.24591820592</v>
      </c>
      <c r="F2" t="b">
        <v>1</v>
      </c>
      <c r="G2" t="inlineStr">
        <is>
          <t>You might prefer to only load the instruments you intend to use</t>
        </is>
      </c>
      <c r="H2" t="inlineStr">
        <is>
          <t>CBA</t>
        </is>
      </c>
      <c r="I2" t="inlineStr">
        <is>
          <t>Commonwealth Bank of Australia</t>
        </is>
      </c>
      <c r="J2" t="inlineStr">
        <is>
          <t>AUD</t>
        </is>
      </c>
      <c r="K2" s="5" t="inlineStr">
        <is>
          <t>01a152b9-6ee2-7577-bddd-382bc3853fde</t>
        </is>
      </c>
      <c r="M2" t="inlineStr">
        <is>
          <t>UNKNOWN</t>
        </is>
      </c>
      <c r="N2" t="inlineStr">
        <is>
          <t>DEFAULT</t>
        </is>
      </c>
      <c r="Q2" t="n">
        <v>0</v>
      </c>
      <c r="R2" t="inlineStr">
        <is>
          <t>AUD</t>
        </is>
      </c>
      <c r="S2" t="n">
        <v>0</v>
      </c>
      <c r="T2" t="inlineStr">
        <is>
          <t>AUD</t>
        </is>
      </c>
      <c r="U2" t="n">
        <v>0</v>
      </c>
    </row>
    <row r="3">
      <c r="A3" s="5" t="inlineStr">
        <is>
          <t>01a152b9-7169-7136-902d-798a725bdc94</t>
        </is>
      </c>
      <c r="C3" s="5" t="inlineStr">
        <is>
          <t>01a152b9-6e67-75da-8adb-b03e5d07fd21</t>
        </is>
      </c>
      <c r="D3" s="4" t="n">
        <v>46314.24591826514</v>
      </c>
      <c r="E3" s="4" t="n">
        <v>46314.24591826527</v>
      </c>
      <c r="F3" t="b">
        <v>1</v>
      </c>
      <c r="G3" t="n">
        <v/>
      </c>
      <c r="H3" t="inlineStr">
        <is>
          <t>BHP</t>
        </is>
      </c>
      <c r="I3" t="inlineStr">
        <is>
          <t>BHP Group Ltd</t>
        </is>
      </c>
      <c r="J3" t="inlineStr">
        <is>
          <t>AUD</t>
        </is>
      </c>
      <c r="K3" s="5" t="inlineStr">
        <is>
          <t>01a152b9-6ee2-7577-bddd-382bc3853fde</t>
        </is>
      </c>
      <c r="M3" t="inlineStr">
        <is>
          <t>UNKNOWN</t>
        </is>
      </c>
      <c r="N3" t="inlineStr">
        <is>
          <t>DEFAULT</t>
        </is>
      </c>
      <c r="Q3" t="n">
        <v>0</v>
      </c>
      <c r="R3" t="inlineStr">
        <is>
          <t>AUD</t>
        </is>
      </c>
      <c r="S3" t="n">
        <v>0</v>
      </c>
      <c r="T3" t="inlineStr">
        <is>
          <t>AUD</t>
        </is>
      </c>
      <c r="U3" t="n">
        <v>0</v>
      </c>
    </row>
    <row r="4">
      <c r="A4" s="5" t="inlineStr">
        <is>
          <t>01a152b9-716d-72ae-b042-21730b665bef</t>
        </is>
      </c>
      <c r="C4" s="5" t="inlineStr">
        <is>
          <t>01a152b9-6e67-75da-8adb-b03e5d07fd21</t>
        </is>
      </c>
      <c r="D4" s="4" t="n">
        <v>46314.24591830353</v>
      </c>
      <c r="E4" s="4" t="n">
        <v>46314.24591830365</v>
      </c>
      <c r="F4" t="b">
        <v>1</v>
      </c>
      <c r="G4" t="n">
        <v/>
      </c>
      <c r="H4" t="inlineStr">
        <is>
          <t>CSL</t>
        </is>
      </c>
      <c r="I4" t="inlineStr">
        <is>
          <t>CSL Ltd</t>
        </is>
      </c>
      <c r="J4" t="inlineStr">
        <is>
          <t>AUD</t>
        </is>
      </c>
      <c r="K4" s="5" t="inlineStr">
        <is>
          <t>01a152b9-6ee2-7577-bddd-382bc3853fde</t>
        </is>
      </c>
      <c r="M4" t="inlineStr">
        <is>
          <t>UNKNOWN</t>
        </is>
      </c>
      <c r="N4" t="inlineStr">
        <is>
          <t>DEFAULT</t>
        </is>
      </c>
      <c r="Q4" t="n">
        <v>0</v>
      </c>
      <c r="R4" t="inlineStr">
        <is>
          <t>AUD</t>
        </is>
      </c>
      <c r="S4" t="n">
        <v>0</v>
      </c>
      <c r="T4" t="inlineStr">
        <is>
          <t>AUD</t>
        </is>
      </c>
      <c r="U4" t="n">
        <v>0</v>
      </c>
    </row>
    <row r="5">
      <c r="A5" s="5" t="inlineStr">
        <is>
          <t>01a152b9-7170-71bc-b390-8fab4266fea1</t>
        </is>
      </c>
      <c r="C5" s="5" t="inlineStr">
        <is>
          <t>01a152b9-6e67-75da-8adb-b03e5d07fd21</t>
        </is>
      </c>
      <c r="D5" s="4" t="n">
        <v>46314.24591833818</v>
      </c>
      <c r="E5" s="4" t="n">
        <v>46314.24591833829</v>
      </c>
      <c r="F5" t="b">
        <v>1</v>
      </c>
      <c r="G5" t="n">
        <v/>
      </c>
      <c r="H5" t="inlineStr">
        <is>
          <t>NAB</t>
        </is>
      </c>
      <c r="I5" t="inlineStr">
        <is>
          <t>National Australia Bank Ltd</t>
        </is>
      </c>
      <c r="J5" t="inlineStr">
        <is>
          <t>AUD</t>
        </is>
      </c>
      <c r="K5" s="5" t="inlineStr">
        <is>
          <t>01a152b9-6ee2-7577-bddd-382bc3853fde</t>
        </is>
      </c>
      <c r="M5" t="inlineStr">
        <is>
          <t>UNKNOWN</t>
        </is>
      </c>
      <c r="N5" t="inlineStr">
        <is>
          <t>DEFAULT</t>
        </is>
      </c>
      <c r="Q5" t="n">
        <v>0</v>
      </c>
      <c r="R5" t="inlineStr">
        <is>
          <t>AUD</t>
        </is>
      </c>
      <c r="S5" t="n">
        <v>0</v>
      </c>
      <c r="T5" t="inlineStr">
        <is>
          <t>AUD</t>
        </is>
      </c>
      <c r="U5" t="n">
        <v>0</v>
      </c>
    </row>
    <row r="6">
      <c r="A6" s="5" t="inlineStr">
        <is>
          <t>01a152b9-7173-7284-9dba-01b71bda6230</t>
        </is>
      </c>
      <c r="C6" s="5" t="inlineStr">
        <is>
          <t>01a152b9-6e67-75da-8adb-b03e5d07fd21</t>
        </is>
      </c>
      <c r="D6" s="4" t="n">
        <v>46314.24591837406</v>
      </c>
      <c r="E6" s="4" t="n">
        <v>46314.24591837418</v>
      </c>
      <c r="F6" t="b">
        <v>1</v>
      </c>
      <c r="G6" t="n">
        <v/>
      </c>
      <c r="H6" t="inlineStr">
        <is>
          <t>WBC</t>
        </is>
      </c>
      <c r="I6" t="inlineStr">
        <is>
          <t>Westpac Banking Corporation</t>
        </is>
      </c>
      <c r="J6" t="inlineStr">
        <is>
          <t>AUD</t>
        </is>
      </c>
      <c r="K6" s="5" t="inlineStr">
        <is>
          <t>01a152b9-6ee2-7577-bddd-382bc3853fde</t>
        </is>
      </c>
      <c r="M6" t="inlineStr">
        <is>
          <t>UNKNOWN</t>
        </is>
      </c>
      <c r="N6" t="inlineStr">
        <is>
          <t>DEFAULT</t>
        </is>
      </c>
      <c r="Q6" t="n">
        <v>0</v>
      </c>
      <c r="R6" t="inlineStr">
        <is>
          <t>AUD</t>
        </is>
      </c>
      <c r="S6" t="n">
        <v>0</v>
      </c>
      <c r="T6" t="inlineStr">
        <is>
          <t>AUD</t>
        </is>
      </c>
      <c r="U6" t="n">
        <v>0</v>
      </c>
    </row>
    <row r="7">
      <c r="A7" s="5" t="inlineStr">
        <is>
          <t>01a152b9-7176-73c1-a667-98602b933c8e</t>
        </is>
      </c>
      <c r="C7" s="5" t="inlineStr">
        <is>
          <t>01a152b9-6e67-75da-8adb-b03e5d07fd21</t>
        </is>
      </c>
      <c r="D7" s="4" t="n">
        <v>46314.24591840998</v>
      </c>
      <c r="E7" s="4" t="n">
        <v>46314.24591841007</v>
      </c>
      <c r="F7" t="b">
        <v>1</v>
      </c>
      <c r="G7" t="n">
        <v/>
      </c>
      <c r="H7" t="inlineStr">
        <is>
          <t>MQG</t>
        </is>
      </c>
      <c r="I7" t="inlineStr">
        <is>
          <t>Macquarie Group Ltd</t>
        </is>
      </c>
      <c r="J7" t="inlineStr">
        <is>
          <t>AUD</t>
        </is>
      </c>
      <c r="K7" s="5" t="inlineStr">
        <is>
          <t>01a152b9-6ee2-7577-bddd-382bc3853fde</t>
        </is>
      </c>
      <c r="M7" t="inlineStr">
        <is>
          <t>UNKNOWN</t>
        </is>
      </c>
      <c r="N7" t="inlineStr">
        <is>
          <t>DEFAULT</t>
        </is>
      </c>
      <c r="Q7" t="n">
        <v>0</v>
      </c>
      <c r="R7" t="inlineStr">
        <is>
          <t>AUD</t>
        </is>
      </c>
      <c r="S7" t="n">
        <v>0</v>
      </c>
      <c r="T7" t="inlineStr">
        <is>
          <t>AUD</t>
        </is>
      </c>
      <c r="U7" t="n">
        <v>0</v>
      </c>
    </row>
    <row r="8">
      <c r="A8" s="5" t="inlineStr">
        <is>
          <t>01a152b9-7179-76ef-a9e8-19cfca2ee64d</t>
        </is>
      </c>
      <c r="C8" s="5" t="inlineStr">
        <is>
          <t>01a152b9-6e67-75da-8adb-b03e5d07fd21</t>
        </is>
      </c>
      <c r="D8" s="4" t="n">
        <v>46314.24591844466</v>
      </c>
      <c r="E8" s="4" t="n">
        <v>46314.24591844474</v>
      </c>
      <c r="F8" t="b">
        <v>1</v>
      </c>
      <c r="G8" t="n">
        <v/>
      </c>
      <c r="H8" t="inlineStr">
        <is>
          <t>ANZ</t>
        </is>
      </c>
      <c r="I8" t="inlineStr">
        <is>
          <t>ANZ Group Holdings Ltd</t>
        </is>
      </c>
      <c r="J8" t="inlineStr">
        <is>
          <t>AUD</t>
        </is>
      </c>
      <c r="K8" s="5" t="inlineStr">
        <is>
          <t>01a152b9-6ee2-7577-bddd-382bc3853fde</t>
        </is>
      </c>
      <c r="M8" t="inlineStr">
        <is>
          <t>UNKNOWN</t>
        </is>
      </c>
      <c r="N8" t="inlineStr">
        <is>
          <t>DEFAULT</t>
        </is>
      </c>
      <c r="Q8" t="n">
        <v>0</v>
      </c>
      <c r="R8" t="inlineStr">
        <is>
          <t>AUD</t>
        </is>
      </c>
      <c r="S8" t="n">
        <v>0</v>
      </c>
      <c r="T8" t="inlineStr">
        <is>
          <t>AUD</t>
        </is>
      </c>
      <c r="U8" t="n">
        <v>0</v>
      </c>
    </row>
    <row r="9">
      <c r="A9" s="5" t="inlineStr">
        <is>
          <t>01a152b9-717c-7790-ae24-9d3df54c0a01</t>
        </is>
      </c>
      <c r="C9" s="5" t="inlineStr">
        <is>
          <t>01a152b9-6e67-75da-8adb-b03e5d07fd21</t>
        </is>
      </c>
      <c r="D9" s="4" t="n">
        <v>46314.24591848089</v>
      </c>
      <c r="E9" s="4" t="n">
        <v>46314.24591848098</v>
      </c>
      <c r="F9" t="b">
        <v>1</v>
      </c>
      <c r="G9" t="n">
        <v/>
      </c>
      <c r="H9" t="inlineStr">
        <is>
          <t>WES</t>
        </is>
      </c>
      <c r="I9" t="inlineStr">
        <is>
          <t>Wesfarmers Ltd</t>
        </is>
      </c>
      <c r="J9" t="inlineStr">
        <is>
          <t>AUD</t>
        </is>
      </c>
      <c r="K9" s="5" t="inlineStr">
        <is>
          <t>01a152b9-6ee2-7577-bddd-382bc3853fde</t>
        </is>
      </c>
      <c r="M9" t="inlineStr">
        <is>
          <t>UNKNOWN</t>
        </is>
      </c>
      <c r="N9" t="inlineStr">
        <is>
          <t>DEFAULT</t>
        </is>
      </c>
      <c r="Q9" t="n">
        <v>0</v>
      </c>
      <c r="R9" t="inlineStr">
        <is>
          <t>AUD</t>
        </is>
      </c>
      <c r="S9" t="n">
        <v>0</v>
      </c>
      <c r="T9" t="inlineStr">
        <is>
          <t>AUD</t>
        </is>
      </c>
      <c r="U9" t="n">
        <v>0</v>
      </c>
    </row>
    <row r="10">
      <c r="A10" s="5" t="inlineStr">
        <is>
          <t>01a152b9-717f-73ae-b1f3-d18b3ea57857</t>
        </is>
      </c>
      <c r="C10" s="5" t="inlineStr">
        <is>
          <t>01a152b9-6e67-75da-8adb-b03e5d07fd21</t>
        </is>
      </c>
      <c r="D10" s="4" t="n">
        <v>46314.24591851884</v>
      </c>
      <c r="E10" s="4" t="n">
        <v>46314.24591851894</v>
      </c>
      <c r="F10" t="b">
        <v>1</v>
      </c>
      <c r="G10" t="n">
        <v/>
      </c>
      <c r="H10" t="inlineStr">
        <is>
          <t>GMG</t>
        </is>
      </c>
      <c r="I10" t="inlineStr">
        <is>
          <t>Goodman Group</t>
        </is>
      </c>
      <c r="J10" t="inlineStr">
        <is>
          <t>AUD</t>
        </is>
      </c>
      <c r="K10" s="5" t="inlineStr">
        <is>
          <t>01a152b9-6ee2-7577-bddd-382bc3853fde</t>
        </is>
      </c>
      <c r="M10" t="inlineStr">
        <is>
          <t>STAPLED</t>
        </is>
      </c>
      <c r="N10" t="inlineStr">
        <is>
          <t>SUGGESTED</t>
        </is>
      </c>
      <c r="Q10" t="n">
        <v>0</v>
      </c>
      <c r="R10" t="inlineStr">
        <is>
          <t>AUD</t>
        </is>
      </c>
      <c r="S10" t="n">
        <v>0</v>
      </c>
      <c r="T10" t="inlineStr">
        <is>
          <t>AUD</t>
        </is>
      </c>
      <c r="U10" t="n">
        <v>0</v>
      </c>
    </row>
    <row r="11">
      <c r="A11" s="5" t="inlineStr">
        <is>
          <t>01a152b9-7183-7003-93ba-618e7fd75c84</t>
        </is>
      </c>
      <c r="C11" s="5" t="inlineStr">
        <is>
          <t>01a152b9-6e67-75da-8adb-b03e5d07fd21</t>
        </is>
      </c>
      <c r="D11" s="4" t="n">
        <v>46314.24591855941</v>
      </c>
      <c r="E11" s="4" t="n">
        <v>46314.2459185595</v>
      </c>
      <c r="F11" t="b">
        <v>1</v>
      </c>
      <c r="G11" t="n">
        <v/>
      </c>
      <c r="H11" t="inlineStr">
        <is>
          <t>FMG</t>
        </is>
      </c>
      <c r="I11" t="inlineStr">
        <is>
          <t>Fortescue Ltd</t>
        </is>
      </c>
      <c r="J11" t="inlineStr">
        <is>
          <t>AUD</t>
        </is>
      </c>
      <c r="K11" s="5" t="inlineStr">
        <is>
          <t>01a152b9-6ee2-7577-bddd-382bc3853fde</t>
        </is>
      </c>
      <c r="M11" t="inlineStr">
        <is>
          <t>UNKNOWN</t>
        </is>
      </c>
      <c r="N11" t="inlineStr">
        <is>
          <t>DEFAULT</t>
        </is>
      </c>
      <c r="Q11" t="n">
        <v>0</v>
      </c>
      <c r="R11" t="inlineStr">
        <is>
          <t>AUD</t>
        </is>
      </c>
      <c r="S11" t="n">
        <v>0</v>
      </c>
      <c r="T11" t="inlineStr">
        <is>
          <t>AUD</t>
        </is>
      </c>
      <c r="U11" t="n">
        <v>0</v>
      </c>
    </row>
    <row r="12">
      <c r="A12" s="5" t="inlineStr">
        <is>
          <t>01a152b9-7186-7563-a038-130b1f73ddf7</t>
        </is>
      </c>
      <c r="C12" s="5" t="inlineStr">
        <is>
          <t>01a152b9-6e67-75da-8adb-b03e5d07fd21</t>
        </is>
      </c>
      <c r="D12" s="4" t="n">
        <v>46314.2459185977</v>
      </c>
      <c r="E12" s="4" t="n">
        <v>46314.24591859779</v>
      </c>
      <c r="F12" t="b">
        <v>1</v>
      </c>
      <c r="G12" t="n">
        <v/>
      </c>
      <c r="H12" t="inlineStr">
        <is>
          <t>WDS</t>
        </is>
      </c>
      <c r="I12" t="inlineStr">
        <is>
          <t>Woodside Energy Group Ltd</t>
        </is>
      </c>
      <c r="J12" t="inlineStr">
        <is>
          <t>AUD</t>
        </is>
      </c>
      <c r="K12" s="5" t="inlineStr">
        <is>
          <t>01a152b9-6ee2-7577-bddd-382bc3853fde</t>
        </is>
      </c>
      <c r="M12" t="inlineStr">
        <is>
          <t>UNKNOWN</t>
        </is>
      </c>
      <c r="N12" t="inlineStr">
        <is>
          <t>DEFAULT</t>
        </is>
      </c>
      <c r="Q12" t="n">
        <v>0</v>
      </c>
      <c r="R12" t="inlineStr">
        <is>
          <t>AUD</t>
        </is>
      </c>
      <c r="S12" t="n">
        <v>0</v>
      </c>
      <c r="T12" t="inlineStr">
        <is>
          <t>AUD</t>
        </is>
      </c>
      <c r="U12" t="n">
        <v>0</v>
      </c>
    </row>
    <row r="13">
      <c r="A13" s="5" t="inlineStr">
        <is>
          <t>01a152b9-7189-7214-9fd3-73eb4e1ac74a</t>
        </is>
      </c>
      <c r="C13" s="5" t="inlineStr">
        <is>
          <t>01a152b9-6e67-75da-8adb-b03e5d07fd21</t>
        </is>
      </c>
      <c r="D13" s="4" t="n">
        <v>46314.24591863208</v>
      </c>
      <c r="E13" s="4" t="n">
        <v>46314.24591863218</v>
      </c>
      <c r="F13" t="b">
        <v>1</v>
      </c>
      <c r="G13" t="n">
        <v/>
      </c>
      <c r="H13" t="inlineStr">
        <is>
          <t>TLS</t>
        </is>
      </c>
      <c r="I13" t="inlineStr">
        <is>
          <t>Telstra Group Ltd</t>
        </is>
      </c>
      <c r="J13" t="inlineStr">
        <is>
          <t>AUD</t>
        </is>
      </c>
      <c r="K13" s="5" t="inlineStr">
        <is>
          <t>01a152b9-6ee2-7577-bddd-382bc3853fde</t>
        </is>
      </c>
      <c r="M13" t="inlineStr">
        <is>
          <t>UNKNOWN</t>
        </is>
      </c>
      <c r="N13" t="inlineStr">
        <is>
          <t>DEFAULT</t>
        </is>
      </c>
      <c r="Q13" t="n">
        <v>0</v>
      </c>
      <c r="R13" t="inlineStr">
        <is>
          <t>AUD</t>
        </is>
      </c>
      <c r="S13" t="n">
        <v>0</v>
      </c>
      <c r="T13" t="inlineStr">
        <is>
          <t>AUD</t>
        </is>
      </c>
      <c r="U13" t="n">
        <v>0</v>
      </c>
    </row>
    <row r="14">
      <c r="A14" s="5" t="inlineStr">
        <is>
          <t>01a152b9-718d-722b-bf4e-e2f0c622f9a8</t>
        </is>
      </c>
      <c r="C14" s="5" t="inlineStr">
        <is>
          <t>01a152b9-6e67-75da-8adb-b03e5d07fd21</t>
        </is>
      </c>
      <c r="D14" s="4" t="n">
        <v>46314.24591867381</v>
      </c>
      <c r="E14" s="4" t="n">
        <v>46314.24591867391</v>
      </c>
      <c r="F14" t="b">
        <v>1</v>
      </c>
      <c r="G14" t="n">
        <v/>
      </c>
      <c r="H14" t="inlineStr">
        <is>
          <t>RIO</t>
        </is>
      </c>
      <c r="I14" t="inlineStr">
        <is>
          <t>RIO Tinto Ltd</t>
        </is>
      </c>
      <c r="J14" t="inlineStr">
        <is>
          <t>AUD</t>
        </is>
      </c>
      <c r="K14" s="5" t="inlineStr">
        <is>
          <t>01a152b9-6ee2-7577-bddd-382bc3853fde</t>
        </is>
      </c>
      <c r="M14" t="inlineStr">
        <is>
          <t>UNKNOWN</t>
        </is>
      </c>
      <c r="N14" t="inlineStr">
        <is>
          <t>DEFAULT</t>
        </is>
      </c>
      <c r="Q14" t="n">
        <v>0</v>
      </c>
      <c r="R14" t="inlineStr">
        <is>
          <t>AUD</t>
        </is>
      </c>
      <c r="S14" t="n">
        <v>0</v>
      </c>
      <c r="T14" t="inlineStr">
        <is>
          <t>AUD</t>
        </is>
      </c>
      <c r="U14" t="n">
        <v>0</v>
      </c>
    </row>
    <row r="15">
      <c r="A15" s="5" t="inlineStr">
        <is>
          <t>01a152b9-7190-74f2-ae0f-22be4a6c7db4</t>
        </is>
      </c>
      <c r="C15" s="5" t="inlineStr">
        <is>
          <t>01a152b9-6e67-75da-8adb-b03e5d07fd21</t>
        </is>
      </c>
      <c r="D15" s="4" t="n">
        <v>46314.24591871189</v>
      </c>
      <c r="E15" s="4" t="n">
        <v>46314.24591871201</v>
      </c>
      <c r="F15" t="b">
        <v>1</v>
      </c>
      <c r="G15" t="n">
        <v/>
      </c>
      <c r="H15" t="inlineStr">
        <is>
          <t>ALL</t>
        </is>
      </c>
      <c r="I15" t="inlineStr">
        <is>
          <t>Aristocrat Leisure Ltd</t>
        </is>
      </c>
      <c r="J15" t="inlineStr">
        <is>
          <t>AUD</t>
        </is>
      </c>
      <c r="K15" s="5" t="inlineStr">
        <is>
          <t>01a152b9-6ee2-7577-bddd-382bc3853fde</t>
        </is>
      </c>
      <c r="M15" t="inlineStr">
        <is>
          <t>UNKNOWN</t>
        </is>
      </c>
      <c r="N15" t="inlineStr">
        <is>
          <t>DEFAULT</t>
        </is>
      </c>
      <c r="Q15" t="n">
        <v>0</v>
      </c>
      <c r="R15" t="inlineStr">
        <is>
          <t>AUD</t>
        </is>
      </c>
      <c r="S15" t="n">
        <v>0</v>
      </c>
      <c r="T15" t="inlineStr">
        <is>
          <t>AUD</t>
        </is>
      </c>
      <c r="U15" t="n">
        <v>0</v>
      </c>
    </row>
    <row r="16">
      <c r="A16" s="5" t="inlineStr">
        <is>
          <t>01a152b9-7194-73ad-86c8-85824ea8f3be</t>
        </is>
      </c>
      <c r="C16" s="5" t="inlineStr">
        <is>
          <t>01a152b9-6e67-75da-8adb-b03e5d07fd21</t>
        </is>
      </c>
      <c r="D16" s="4" t="n">
        <v>46314.24591875235</v>
      </c>
      <c r="E16" s="4" t="n">
        <v>46314.24591875247</v>
      </c>
      <c r="F16" t="b">
        <v>1</v>
      </c>
      <c r="G16" t="n">
        <v/>
      </c>
      <c r="H16" t="inlineStr">
        <is>
          <t>TCL</t>
        </is>
      </c>
      <c r="I16" t="inlineStr">
        <is>
          <t>Transurban Group</t>
        </is>
      </c>
      <c r="J16" t="inlineStr">
        <is>
          <t>AUD</t>
        </is>
      </c>
      <c r="K16" s="5" t="inlineStr">
        <is>
          <t>01a152b9-6ee2-7577-bddd-382bc3853fde</t>
        </is>
      </c>
      <c r="M16" t="inlineStr">
        <is>
          <t>UNKNOWN</t>
        </is>
      </c>
      <c r="N16" t="inlineStr">
        <is>
          <t>DEFAULT</t>
        </is>
      </c>
      <c r="Q16" t="n">
        <v>0</v>
      </c>
      <c r="R16" t="inlineStr">
        <is>
          <t>AUD</t>
        </is>
      </c>
      <c r="S16" t="n">
        <v>0</v>
      </c>
      <c r="T16" t="inlineStr">
        <is>
          <t>AUD</t>
        </is>
      </c>
      <c r="U16" t="n">
        <v>0</v>
      </c>
    </row>
    <row r="17">
      <c r="A17" s="5" t="inlineStr">
        <is>
          <t>01a152b9-7197-7186-aa06-51c9b925b2eb</t>
        </is>
      </c>
      <c r="C17" s="5" t="inlineStr">
        <is>
          <t>01a152b9-6e67-75da-8adb-b03e5d07fd21</t>
        </is>
      </c>
      <c r="D17" s="4" t="n">
        <v>46314.2459187895</v>
      </c>
      <c r="E17" s="4" t="n">
        <v>46314.24591878971</v>
      </c>
      <c r="F17" t="b">
        <v>1</v>
      </c>
      <c r="G17" t="n">
        <v/>
      </c>
      <c r="H17" t="inlineStr">
        <is>
          <t>WTC</t>
        </is>
      </c>
      <c r="I17" t="inlineStr">
        <is>
          <t>Wisetech Global Ltd</t>
        </is>
      </c>
      <c r="J17" t="inlineStr">
        <is>
          <t>AUD</t>
        </is>
      </c>
      <c r="K17" s="5" t="inlineStr">
        <is>
          <t>01a152b9-6ee2-7577-bddd-382bc3853fde</t>
        </is>
      </c>
      <c r="M17" t="inlineStr">
        <is>
          <t>UNKNOWN</t>
        </is>
      </c>
      <c r="N17" t="inlineStr">
        <is>
          <t>DEFAULT</t>
        </is>
      </c>
      <c r="Q17" t="n">
        <v>0</v>
      </c>
      <c r="R17" t="inlineStr">
        <is>
          <t>AUD</t>
        </is>
      </c>
      <c r="S17" t="n">
        <v>0</v>
      </c>
      <c r="T17" t="inlineStr">
        <is>
          <t>AUD</t>
        </is>
      </c>
      <c r="U17" t="n">
        <v>0</v>
      </c>
    </row>
    <row r="18">
      <c r="A18" s="5" t="inlineStr">
        <is>
          <t>01a152b9-719a-772d-a4f1-be7bdea7d28a</t>
        </is>
      </c>
      <c r="C18" s="5" t="inlineStr">
        <is>
          <t>01a152b9-6e67-75da-8adb-b03e5d07fd21</t>
        </is>
      </c>
      <c r="D18" s="4" t="n">
        <v>46314.24591882891</v>
      </c>
      <c r="E18" s="4" t="n">
        <v>46314.24591882903</v>
      </c>
      <c r="F18" t="b">
        <v>1</v>
      </c>
      <c r="G18" t="n">
        <v/>
      </c>
      <c r="H18" t="inlineStr">
        <is>
          <t>WOW</t>
        </is>
      </c>
      <c r="I18" t="inlineStr">
        <is>
          <t>Woolworths Group Ltd</t>
        </is>
      </c>
      <c r="J18" t="inlineStr">
        <is>
          <t>AUD</t>
        </is>
      </c>
      <c r="K18" s="5" t="inlineStr">
        <is>
          <t>01a152b9-6ee2-7577-bddd-382bc3853fde</t>
        </is>
      </c>
      <c r="M18" t="inlineStr">
        <is>
          <t>UNKNOWN</t>
        </is>
      </c>
      <c r="N18" t="inlineStr">
        <is>
          <t>DEFAULT</t>
        </is>
      </c>
      <c r="Q18" t="n">
        <v>0</v>
      </c>
      <c r="R18" t="inlineStr">
        <is>
          <t>AUD</t>
        </is>
      </c>
      <c r="S18" t="n">
        <v>0</v>
      </c>
      <c r="T18" t="inlineStr">
        <is>
          <t>AUD</t>
        </is>
      </c>
      <c r="U18" t="n">
        <v>0</v>
      </c>
    </row>
    <row r="19">
      <c r="A19" s="5" t="inlineStr">
        <is>
          <t>01a152b9-719e-72cb-9efb-dda1d1604c6b</t>
        </is>
      </c>
      <c r="C19" s="5" t="inlineStr">
        <is>
          <t>01a152b9-6e67-75da-8adb-b03e5d07fd21</t>
        </is>
      </c>
      <c r="D19" s="4" t="n">
        <v>46314.24591887287</v>
      </c>
      <c r="E19" s="4" t="n">
        <v>46314.24591887298</v>
      </c>
      <c r="F19" t="b">
        <v>1</v>
      </c>
      <c r="G19" t="n">
        <v/>
      </c>
      <c r="H19" t="inlineStr">
        <is>
          <t>REA</t>
        </is>
      </c>
      <c r="I19" t="inlineStr">
        <is>
          <t>REA Group Ltd</t>
        </is>
      </c>
      <c r="J19" t="inlineStr">
        <is>
          <t>AUD</t>
        </is>
      </c>
      <c r="K19" s="5" t="inlineStr">
        <is>
          <t>01a152b9-6ee2-7577-bddd-382bc3853fde</t>
        </is>
      </c>
      <c r="M19" t="inlineStr">
        <is>
          <t>UNKNOWN</t>
        </is>
      </c>
      <c r="N19" t="inlineStr">
        <is>
          <t>DEFAULT</t>
        </is>
      </c>
      <c r="Q19" t="n">
        <v>0</v>
      </c>
      <c r="R19" t="inlineStr">
        <is>
          <t>AUD</t>
        </is>
      </c>
      <c r="S19" t="n">
        <v>0</v>
      </c>
      <c r="T19" t="inlineStr">
        <is>
          <t>AUD</t>
        </is>
      </c>
      <c r="U19" t="n">
        <v>0</v>
      </c>
    </row>
    <row r="20">
      <c r="A20" s="5" t="inlineStr">
        <is>
          <t>01a152b9-71a2-768d-b70c-df9eea02cb19</t>
        </is>
      </c>
      <c r="C20" s="5" t="inlineStr">
        <is>
          <t>01a152b9-6e67-75da-8adb-b03e5d07fd21</t>
        </is>
      </c>
      <c r="D20" s="4" t="n">
        <v>46314.24591891379</v>
      </c>
      <c r="E20" s="4" t="n">
        <v>46314.24591891391</v>
      </c>
      <c r="F20" t="b">
        <v>1</v>
      </c>
      <c r="G20" t="n">
        <v/>
      </c>
      <c r="H20" t="inlineStr">
        <is>
          <t>QBE</t>
        </is>
      </c>
      <c r="I20" t="inlineStr">
        <is>
          <t>QBE Insurance Group Ltd</t>
        </is>
      </c>
      <c r="J20" t="inlineStr">
        <is>
          <t>AUD</t>
        </is>
      </c>
      <c r="K20" s="5" t="inlineStr">
        <is>
          <t>01a152b9-6ee2-7577-bddd-382bc3853fde</t>
        </is>
      </c>
      <c r="M20" t="inlineStr">
        <is>
          <t>UNKNOWN</t>
        </is>
      </c>
      <c r="N20" t="inlineStr">
        <is>
          <t>DEFAULT</t>
        </is>
      </c>
      <c r="Q20" t="n">
        <v>0</v>
      </c>
      <c r="R20" t="inlineStr">
        <is>
          <t>AUD</t>
        </is>
      </c>
      <c r="S20" t="n">
        <v>0</v>
      </c>
      <c r="T20" t="inlineStr">
        <is>
          <t>AUD</t>
        </is>
      </c>
      <c r="U20" t="n">
        <v>0</v>
      </c>
    </row>
    <row r="21">
      <c r="A21" s="5" t="inlineStr">
        <is>
          <t>01a152b9-71a5-70fb-bbaf-a65586f6a156</t>
        </is>
      </c>
      <c r="C21" s="5" t="inlineStr">
        <is>
          <t>01a152b9-6e67-75da-8adb-b03e5d07fd21</t>
        </is>
      </c>
      <c r="D21" s="4" t="n">
        <v>46314.24591895883</v>
      </c>
      <c r="E21" s="4" t="n">
        <v>46314.24591895896</v>
      </c>
      <c r="F21" t="b">
        <v>1</v>
      </c>
      <c r="G21" t="n">
        <v/>
      </c>
      <c r="H21" t="inlineStr">
        <is>
          <t>PME</t>
        </is>
      </c>
      <c r="I21" t="inlineStr">
        <is>
          <t>Pro Medicus Ltd</t>
        </is>
      </c>
      <c r="J21" t="inlineStr">
        <is>
          <t>AUD</t>
        </is>
      </c>
      <c r="K21" s="5" t="inlineStr">
        <is>
          <t>01a152b9-6ee2-7577-bddd-382bc3853fde</t>
        </is>
      </c>
      <c r="M21" t="inlineStr">
        <is>
          <t>UNKNOWN</t>
        </is>
      </c>
      <c r="N21" t="inlineStr">
        <is>
          <t>DEFAULT</t>
        </is>
      </c>
      <c r="Q21" t="n">
        <v>0</v>
      </c>
      <c r="R21" t="inlineStr">
        <is>
          <t>AUD</t>
        </is>
      </c>
      <c r="S21" t="n">
        <v>0</v>
      </c>
      <c r="T21" t="inlineStr">
        <is>
          <t>AUD</t>
        </is>
      </c>
      <c r="U21" t="n">
        <v>0</v>
      </c>
    </row>
    <row r="22">
      <c r="A22" s="5" t="inlineStr">
        <is>
          <t>01a152b9-71a9-7663-8513-93880c9bae70</t>
        </is>
      </c>
      <c r="C22" s="5" t="inlineStr">
        <is>
          <t>01a152b9-6e67-75da-8adb-b03e5d07fd21</t>
        </is>
      </c>
      <c r="D22" s="4" t="n">
        <v>46314.24591899853</v>
      </c>
      <c r="E22" s="4" t="n">
        <v>46314.24591899865</v>
      </c>
      <c r="F22" t="b">
        <v>1</v>
      </c>
      <c r="G22" t="n">
        <v/>
      </c>
      <c r="H22" t="inlineStr">
        <is>
          <t>BXB</t>
        </is>
      </c>
      <c r="I22" t="inlineStr">
        <is>
          <t>Brambles Ltd</t>
        </is>
      </c>
      <c r="J22" t="inlineStr">
        <is>
          <t>AUD</t>
        </is>
      </c>
      <c r="K22" s="5" t="inlineStr">
        <is>
          <t>01a152b9-6ee2-7577-bddd-382bc3853fde</t>
        </is>
      </c>
      <c r="M22" t="inlineStr">
        <is>
          <t>UNKNOWN</t>
        </is>
      </c>
      <c r="N22" t="inlineStr">
        <is>
          <t>DEFAULT</t>
        </is>
      </c>
      <c r="Q22" t="n">
        <v>0</v>
      </c>
      <c r="R22" t="inlineStr">
        <is>
          <t>AUD</t>
        </is>
      </c>
      <c r="S22" t="n">
        <v>0</v>
      </c>
      <c r="T22" t="inlineStr">
        <is>
          <t>AUD</t>
        </is>
      </c>
      <c r="U22" t="n">
        <v>0</v>
      </c>
    </row>
    <row r="23">
      <c r="A23" s="5" t="inlineStr">
        <is>
          <t>01a152b9-71ad-75d5-a68e-cd8b2e787104</t>
        </is>
      </c>
      <c r="C23" s="5" t="inlineStr">
        <is>
          <t>01a152b9-6e67-75da-8adb-b03e5d07fd21</t>
        </is>
      </c>
      <c r="D23" s="4" t="n">
        <v>46314.24591904381</v>
      </c>
      <c r="E23" s="4" t="n">
        <v>46314.24591904397</v>
      </c>
      <c r="F23" t="b">
        <v>1</v>
      </c>
      <c r="G23" t="n">
        <v/>
      </c>
      <c r="H23" t="inlineStr">
        <is>
          <t>XRO</t>
        </is>
      </c>
      <c r="I23" t="inlineStr">
        <is>
          <t>Xero Ltd</t>
        </is>
      </c>
      <c r="J23" t="inlineStr">
        <is>
          <t>AUD</t>
        </is>
      </c>
      <c r="K23" s="5" t="inlineStr">
        <is>
          <t>01a152b9-6ee2-7577-bddd-382bc3853fde</t>
        </is>
      </c>
      <c r="M23" t="inlineStr">
        <is>
          <t>UNKNOWN</t>
        </is>
      </c>
      <c r="N23" t="inlineStr">
        <is>
          <t>DEFAULT</t>
        </is>
      </c>
      <c r="Q23" t="n">
        <v>0</v>
      </c>
      <c r="R23" t="inlineStr">
        <is>
          <t>AUD</t>
        </is>
      </c>
      <c r="S23" t="n">
        <v>0</v>
      </c>
      <c r="T23" t="inlineStr">
        <is>
          <t>AUD</t>
        </is>
      </c>
      <c r="U23" t="n">
        <v>0</v>
      </c>
    </row>
    <row r="24">
      <c r="A24" s="5" t="inlineStr">
        <is>
          <t>01a152b9-71b1-7588-a449-68b976de337b</t>
        </is>
      </c>
      <c r="C24" s="5" t="inlineStr">
        <is>
          <t>01a152b9-6e67-75da-8adb-b03e5d07fd21</t>
        </is>
      </c>
      <c r="D24" s="4" t="n">
        <v>46314.2459190909</v>
      </c>
      <c r="E24" s="4" t="n">
        <v>46314.24591909105</v>
      </c>
      <c r="F24" t="b">
        <v>1</v>
      </c>
      <c r="G24" t="n">
        <v/>
      </c>
      <c r="H24" t="inlineStr">
        <is>
          <t>COL</t>
        </is>
      </c>
      <c r="I24" t="inlineStr">
        <is>
          <t>Coles Group Ltd</t>
        </is>
      </c>
      <c r="J24" t="inlineStr">
        <is>
          <t>AUD</t>
        </is>
      </c>
      <c r="K24" s="5" t="inlineStr">
        <is>
          <t>01a152b9-6ee2-7577-bddd-382bc3853fde</t>
        </is>
      </c>
      <c r="M24" t="inlineStr">
        <is>
          <t>UNKNOWN</t>
        </is>
      </c>
      <c r="N24" t="inlineStr">
        <is>
          <t>DEFAULT</t>
        </is>
      </c>
      <c r="Q24" t="n">
        <v>0</v>
      </c>
      <c r="R24" t="inlineStr">
        <is>
          <t>AUD</t>
        </is>
      </c>
      <c r="S24" t="n">
        <v>0</v>
      </c>
      <c r="T24" t="inlineStr">
        <is>
          <t>AUD</t>
        </is>
      </c>
      <c r="U24" t="n">
        <v>0</v>
      </c>
    </row>
    <row r="25">
      <c r="A25" s="5" t="inlineStr">
        <is>
          <t>01a152b9-71b5-722a-a287-bc1ecd13b95a</t>
        </is>
      </c>
      <c r="C25" s="5" t="inlineStr">
        <is>
          <t>01a152b9-6e67-75da-8adb-b03e5d07fd21</t>
        </is>
      </c>
      <c r="D25" s="4" t="n">
        <v>46314.24591914078</v>
      </c>
      <c r="E25" s="4" t="n">
        <v>46314.2459191409</v>
      </c>
      <c r="F25" t="b">
        <v>1</v>
      </c>
      <c r="G25" t="n">
        <v/>
      </c>
      <c r="H25" t="inlineStr">
        <is>
          <t>SUN</t>
        </is>
      </c>
      <c r="I25" t="inlineStr">
        <is>
          <t>Suncorp Group Ltd</t>
        </is>
      </c>
      <c r="J25" t="inlineStr">
        <is>
          <t>AUD</t>
        </is>
      </c>
      <c r="K25" s="5" t="inlineStr">
        <is>
          <t>01a152b9-6ee2-7577-bddd-382bc3853fde</t>
        </is>
      </c>
      <c r="M25" t="inlineStr">
        <is>
          <t>UNKNOWN</t>
        </is>
      </c>
      <c r="N25" t="inlineStr">
        <is>
          <t>DEFAULT</t>
        </is>
      </c>
      <c r="Q25" t="n">
        <v>0</v>
      </c>
      <c r="R25" t="inlineStr">
        <is>
          <t>AUD</t>
        </is>
      </c>
      <c r="S25" t="n">
        <v>0</v>
      </c>
      <c r="T25" t="inlineStr">
        <is>
          <t>AUD</t>
        </is>
      </c>
      <c r="U25" t="n">
        <v>0</v>
      </c>
    </row>
    <row r="26">
      <c r="A26" s="5" t="inlineStr">
        <is>
          <t>01a152b9-71b9-7693-911b-52d06c138a7f</t>
        </is>
      </c>
      <c r="C26" s="5" t="inlineStr">
        <is>
          <t>01a152b9-6e67-75da-8adb-b03e5d07fd21</t>
        </is>
      </c>
      <c r="D26" s="4" t="n">
        <v>46314.24591918943</v>
      </c>
      <c r="E26" s="4" t="n">
        <v>46314.24591918956</v>
      </c>
      <c r="F26" t="b">
        <v>1</v>
      </c>
      <c r="G26" t="n">
        <v/>
      </c>
      <c r="H26" t="inlineStr">
        <is>
          <t>RMD</t>
        </is>
      </c>
      <c r="I26" t="inlineStr">
        <is>
          <t>Resmed Inc</t>
        </is>
      </c>
      <c r="J26" t="inlineStr">
        <is>
          <t>AUD</t>
        </is>
      </c>
      <c r="K26" s="5" t="inlineStr">
        <is>
          <t>01a152b9-6ee2-7577-bddd-382bc3853fde</t>
        </is>
      </c>
      <c r="M26" t="inlineStr">
        <is>
          <t>UNKNOWN</t>
        </is>
      </c>
      <c r="N26" t="inlineStr">
        <is>
          <t>DEFAULT</t>
        </is>
      </c>
      <c r="Q26" t="n">
        <v>0</v>
      </c>
      <c r="R26" t="inlineStr">
        <is>
          <t>AUD</t>
        </is>
      </c>
      <c r="S26" t="n">
        <v>0</v>
      </c>
      <c r="T26" t="inlineStr">
        <is>
          <t>AUD</t>
        </is>
      </c>
      <c r="U26" t="n">
        <v>0</v>
      </c>
    </row>
    <row r="27">
      <c r="A27" s="5" t="inlineStr">
        <is>
          <t>01a152b9-71bd-7488-9dbc-4b8ea5740709</t>
        </is>
      </c>
      <c r="C27" s="5" t="inlineStr">
        <is>
          <t>01a152b9-6e67-75da-8adb-b03e5d07fd21</t>
        </is>
      </c>
      <c r="D27" s="4" t="n">
        <v>46314.24591923057</v>
      </c>
      <c r="E27" s="4" t="n">
        <v>46314.24591923073</v>
      </c>
      <c r="F27" t="b">
        <v>1</v>
      </c>
      <c r="G27" t="n">
        <v/>
      </c>
      <c r="H27" t="inlineStr">
        <is>
          <t>STO</t>
        </is>
      </c>
      <c r="I27" t="inlineStr">
        <is>
          <t>Santos Ltd</t>
        </is>
      </c>
      <c r="J27" t="inlineStr">
        <is>
          <t>AUD</t>
        </is>
      </c>
      <c r="K27" s="5" t="inlineStr">
        <is>
          <t>01a152b9-6ee2-7577-bddd-382bc3853fde</t>
        </is>
      </c>
      <c r="M27" t="inlineStr">
        <is>
          <t>UNKNOWN</t>
        </is>
      </c>
      <c r="N27" t="inlineStr">
        <is>
          <t>DEFAULT</t>
        </is>
      </c>
      <c r="Q27" t="n">
        <v>0</v>
      </c>
      <c r="R27" t="inlineStr">
        <is>
          <t>AUD</t>
        </is>
      </c>
      <c r="S27" t="n">
        <v>0</v>
      </c>
      <c r="T27" t="inlineStr">
        <is>
          <t>AUD</t>
        </is>
      </c>
      <c r="U27" t="n">
        <v>0</v>
      </c>
    </row>
    <row r="28">
      <c r="A28" s="5" t="inlineStr">
        <is>
          <t>01a152b9-71c1-741f-93e7-8ae90c4c25f6</t>
        </is>
      </c>
      <c r="C28" s="5" t="inlineStr">
        <is>
          <t>01a152b9-6e67-75da-8adb-b03e5d07fd21</t>
        </is>
      </c>
      <c r="D28" s="4" t="n">
        <v>46314.24591928208</v>
      </c>
      <c r="E28" s="4" t="n">
        <v>46314.24591928221</v>
      </c>
      <c r="F28" t="b">
        <v>1</v>
      </c>
      <c r="G28" t="n">
        <v/>
      </c>
      <c r="H28" t="inlineStr">
        <is>
          <t>JHX</t>
        </is>
      </c>
      <c r="I28" t="inlineStr">
        <is>
          <t>James Hardie Industries Plc</t>
        </is>
      </c>
      <c r="J28" t="inlineStr">
        <is>
          <t>AUD</t>
        </is>
      </c>
      <c r="K28" s="5" t="inlineStr">
        <is>
          <t>01a152b9-6ee2-7577-bddd-382bc3853fde</t>
        </is>
      </c>
      <c r="M28" t="inlineStr">
        <is>
          <t>UNKNOWN</t>
        </is>
      </c>
      <c r="N28" t="inlineStr">
        <is>
          <t>DEFAULT</t>
        </is>
      </c>
      <c r="Q28" t="n">
        <v>0</v>
      </c>
      <c r="R28" t="inlineStr">
        <is>
          <t>AUD</t>
        </is>
      </c>
      <c r="S28" t="n">
        <v>0</v>
      </c>
      <c r="T28" t="inlineStr">
        <is>
          <t>AUD</t>
        </is>
      </c>
      <c r="U28" t="n">
        <v>0</v>
      </c>
    </row>
    <row r="29">
      <c r="A29" s="5" t="inlineStr">
        <is>
          <t>01a152b9-71c6-73ee-b7f8-928b5486da5a</t>
        </is>
      </c>
      <c r="C29" s="5" t="inlineStr">
        <is>
          <t>01a152b9-6e67-75da-8adb-b03e5d07fd21</t>
        </is>
      </c>
      <c r="D29" s="4" t="n">
        <v>46314.24591933147</v>
      </c>
      <c r="E29" s="4" t="n">
        <v>46314.2459193316</v>
      </c>
      <c r="F29" t="b">
        <v>1</v>
      </c>
      <c r="G29" t="n">
        <v/>
      </c>
      <c r="H29" t="inlineStr">
        <is>
          <t>IAG</t>
        </is>
      </c>
      <c r="I29" t="inlineStr">
        <is>
          <t>Insurance Australia Group Ltd</t>
        </is>
      </c>
      <c r="J29" t="inlineStr">
        <is>
          <t>AUD</t>
        </is>
      </c>
      <c r="K29" s="5" t="inlineStr">
        <is>
          <t>01a152b9-6ee2-7577-bddd-382bc3853fde</t>
        </is>
      </c>
      <c r="M29" t="inlineStr">
        <is>
          <t>UNKNOWN</t>
        </is>
      </c>
      <c r="N29" t="inlineStr">
        <is>
          <t>DEFAULT</t>
        </is>
      </c>
      <c r="Q29" t="n">
        <v>0</v>
      </c>
      <c r="R29" t="inlineStr">
        <is>
          <t>AUD</t>
        </is>
      </c>
      <c r="S29" t="n">
        <v>0</v>
      </c>
      <c r="T29" t="inlineStr">
        <is>
          <t>AUD</t>
        </is>
      </c>
      <c r="U29" t="n">
        <v>0</v>
      </c>
    </row>
    <row r="30">
      <c r="A30" s="5" t="inlineStr">
        <is>
          <t>01a152b9-71c9-7382-97e8-e4e3fd5dc433</t>
        </is>
      </c>
      <c r="C30" s="5" t="inlineStr">
        <is>
          <t>01a152b9-6e67-75da-8adb-b03e5d07fd21</t>
        </is>
      </c>
      <c r="D30" s="4" t="n">
        <v>46314.24591937603</v>
      </c>
      <c r="E30" s="4" t="n">
        <v>46314.24591937618</v>
      </c>
      <c r="F30" t="b">
        <v>1</v>
      </c>
      <c r="G30" t="n">
        <v/>
      </c>
      <c r="H30" t="inlineStr">
        <is>
          <t>COH</t>
        </is>
      </c>
      <c r="I30" t="inlineStr">
        <is>
          <t>Cochlear Ltd</t>
        </is>
      </c>
      <c r="J30" t="inlineStr">
        <is>
          <t>AUD</t>
        </is>
      </c>
      <c r="K30" s="5" t="inlineStr">
        <is>
          <t>01a152b9-6ee2-7577-bddd-382bc3853fde</t>
        </is>
      </c>
      <c r="M30" t="inlineStr">
        <is>
          <t>UNKNOWN</t>
        </is>
      </c>
      <c r="N30" t="inlineStr">
        <is>
          <t>DEFAULT</t>
        </is>
      </c>
      <c r="Q30" t="n">
        <v>0</v>
      </c>
      <c r="R30" t="inlineStr">
        <is>
          <t>AUD</t>
        </is>
      </c>
      <c r="S30" t="n">
        <v>0</v>
      </c>
      <c r="T30" t="inlineStr">
        <is>
          <t>AUD</t>
        </is>
      </c>
      <c r="U30" t="n">
        <v>0</v>
      </c>
    </row>
    <row r="31">
      <c r="A31" s="5" t="inlineStr">
        <is>
          <t>01a152b9-71cd-71c7-b521-675c7708c49e</t>
        </is>
      </c>
      <c r="C31" s="5" t="inlineStr">
        <is>
          <t>01a152b9-6e67-75da-8adb-b03e5d07fd21</t>
        </is>
      </c>
      <c r="D31" s="4" t="n">
        <v>46314.24591942025</v>
      </c>
      <c r="E31" s="4" t="n">
        <v>46314.24591942041</v>
      </c>
      <c r="F31" t="b">
        <v>1</v>
      </c>
      <c r="G31" t="n">
        <v/>
      </c>
      <c r="H31" t="inlineStr">
        <is>
          <t>FPH</t>
        </is>
      </c>
      <c r="I31" t="inlineStr">
        <is>
          <t>Fisher &amp; Paykel Healthcare Corporation Ltd</t>
        </is>
      </c>
      <c r="J31" t="inlineStr">
        <is>
          <t>AUD</t>
        </is>
      </c>
      <c r="K31" s="5" t="inlineStr">
        <is>
          <t>01a152b9-6ee2-7577-bddd-382bc3853fde</t>
        </is>
      </c>
      <c r="M31" t="inlineStr">
        <is>
          <t>UNKNOWN</t>
        </is>
      </c>
      <c r="N31" t="inlineStr">
        <is>
          <t>DEFAULT</t>
        </is>
      </c>
      <c r="Q31" t="n">
        <v>0</v>
      </c>
      <c r="R31" t="inlineStr">
        <is>
          <t>AUD</t>
        </is>
      </c>
      <c r="S31" t="n">
        <v>0</v>
      </c>
      <c r="T31" t="inlineStr">
        <is>
          <t>AUD</t>
        </is>
      </c>
      <c r="U31" t="n">
        <v>0</v>
      </c>
    </row>
    <row r="32">
      <c r="A32" s="5" t="inlineStr">
        <is>
          <t>01a152b9-71d1-71e9-a5d5-02d6e71beb59</t>
        </is>
      </c>
      <c r="C32" s="5" t="inlineStr">
        <is>
          <t>01a152b9-6e67-75da-8adb-b03e5d07fd21</t>
        </is>
      </c>
      <c r="D32" s="4" t="n">
        <v>46314.2459194668</v>
      </c>
      <c r="E32" s="4" t="n">
        <v>46314.24591946691</v>
      </c>
      <c r="F32" t="b">
        <v>1</v>
      </c>
      <c r="G32" t="n">
        <v/>
      </c>
      <c r="H32" t="inlineStr">
        <is>
          <t>CPU</t>
        </is>
      </c>
      <c r="I32" t="inlineStr">
        <is>
          <t>Computershare Ltd</t>
        </is>
      </c>
      <c r="J32" t="inlineStr">
        <is>
          <t>AUD</t>
        </is>
      </c>
      <c r="K32" s="5" t="inlineStr">
        <is>
          <t>01a152b9-6ee2-7577-bddd-382bc3853fde</t>
        </is>
      </c>
      <c r="M32" t="inlineStr">
        <is>
          <t>UNKNOWN</t>
        </is>
      </c>
      <c r="N32" t="inlineStr">
        <is>
          <t>DEFAULT</t>
        </is>
      </c>
      <c r="Q32" t="n">
        <v>0</v>
      </c>
      <c r="R32" t="inlineStr">
        <is>
          <t>AUD</t>
        </is>
      </c>
      <c r="S32" t="n">
        <v>0</v>
      </c>
      <c r="T32" t="inlineStr">
        <is>
          <t>AUD</t>
        </is>
      </c>
      <c r="U32" t="n">
        <v>0</v>
      </c>
    </row>
    <row r="33">
      <c r="A33" s="5" t="inlineStr">
        <is>
          <t>01a152b9-71d5-7341-ad00-3a319711fe5c</t>
        </is>
      </c>
      <c r="C33" s="5" t="inlineStr">
        <is>
          <t>01a152b9-6e67-75da-8adb-b03e5d07fd21</t>
        </is>
      </c>
      <c r="D33" s="4" t="n">
        <v>46314.24591950565</v>
      </c>
      <c r="E33" s="4" t="n">
        <v>46314.24591950579</v>
      </c>
      <c r="F33" t="b">
        <v>1</v>
      </c>
      <c r="G33" t="n">
        <v/>
      </c>
      <c r="H33" t="inlineStr">
        <is>
          <t>NST</t>
        </is>
      </c>
      <c r="I33" t="inlineStr">
        <is>
          <t>Northern Star Resources Ltd</t>
        </is>
      </c>
      <c r="J33" t="inlineStr">
        <is>
          <t>AUD</t>
        </is>
      </c>
      <c r="K33" s="5" t="inlineStr">
        <is>
          <t>01a152b9-6ee2-7577-bddd-382bc3853fde</t>
        </is>
      </c>
      <c r="M33" t="inlineStr">
        <is>
          <t>UNKNOWN</t>
        </is>
      </c>
      <c r="N33" t="inlineStr">
        <is>
          <t>DEFAULT</t>
        </is>
      </c>
      <c r="Q33" t="n">
        <v>0</v>
      </c>
      <c r="R33" t="inlineStr">
        <is>
          <t>AUD</t>
        </is>
      </c>
      <c r="S33" t="n">
        <v>0</v>
      </c>
      <c r="T33" t="inlineStr">
        <is>
          <t>AUD</t>
        </is>
      </c>
      <c r="U33" t="n">
        <v>0</v>
      </c>
    </row>
    <row r="34">
      <c r="A34" s="5" t="inlineStr">
        <is>
          <t>01a152b9-71d8-77de-93e3-3aeab3be1ee7</t>
        </is>
      </c>
      <c r="C34" s="5" t="inlineStr">
        <is>
          <t>01a152b9-6e67-75da-8adb-b03e5d07fd21</t>
        </is>
      </c>
      <c r="D34" s="4" t="n">
        <v>46314.24591954824</v>
      </c>
      <c r="E34" s="4" t="n">
        <v>46314.24591954835</v>
      </c>
      <c r="F34" t="b">
        <v>1</v>
      </c>
      <c r="G34" t="n">
        <v/>
      </c>
      <c r="H34" t="inlineStr">
        <is>
          <t>ORG</t>
        </is>
      </c>
      <c r="I34" t="inlineStr">
        <is>
          <t>Origin Energy Ltd</t>
        </is>
      </c>
      <c r="J34" t="inlineStr">
        <is>
          <t>AUD</t>
        </is>
      </c>
      <c r="K34" s="5" t="inlineStr">
        <is>
          <t>01a152b9-6ee2-7577-bddd-382bc3853fde</t>
        </is>
      </c>
      <c r="M34" t="inlineStr">
        <is>
          <t>UNKNOWN</t>
        </is>
      </c>
      <c r="N34" t="inlineStr">
        <is>
          <t>DEFAULT</t>
        </is>
      </c>
      <c r="Q34" t="n">
        <v>0</v>
      </c>
      <c r="R34" t="inlineStr">
        <is>
          <t>AUD</t>
        </is>
      </c>
      <c r="S34" t="n">
        <v>0</v>
      </c>
      <c r="T34" t="inlineStr">
        <is>
          <t>AUD</t>
        </is>
      </c>
      <c r="U34" t="n">
        <v>0</v>
      </c>
    </row>
    <row r="35">
      <c r="A35" s="5" t="inlineStr">
        <is>
          <t>01a152b9-71dc-7630-8fb7-7765486eb8d6</t>
        </is>
      </c>
      <c r="C35" s="5" t="inlineStr">
        <is>
          <t>01a152b9-6e67-75da-8adb-b03e5d07fd21</t>
        </is>
      </c>
      <c r="D35" s="4" t="n">
        <v>46314.24591958843</v>
      </c>
      <c r="E35" s="4" t="n">
        <v>46314.24591958855</v>
      </c>
      <c r="F35" t="b">
        <v>1</v>
      </c>
      <c r="G35" t="n">
        <v/>
      </c>
      <c r="H35" t="inlineStr">
        <is>
          <t>SGH</t>
        </is>
      </c>
      <c r="I35" t="inlineStr">
        <is>
          <t>SGH Ltd</t>
        </is>
      </c>
      <c r="J35" t="inlineStr">
        <is>
          <t>AUD</t>
        </is>
      </c>
      <c r="K35" s="5" t="inlineStr">
        <is>
          <t>01a152b9-6ee2-7577-bddd-382bc3853fde</t>
        </is>
      </c>
      <c r="M35" t="inlineStr">
        <is>
          <t>UNKNOWN</t>
        </is>
      </c>
      <c r="N35" t="inlineStr">
        <is>
          <t>DEFAULT</t>
        </is>
      </c>
      <c r="Q35" t="n">
        <v>0</v>
      </c>
      <c r="R35" t="inlineStr">
        <is>
          <t>AUD</t>
        </is>
      </c>
      <c r="S35" t="n">
        <v>0</v>
      </c>
      <c r="T35" t="inlineStr">
        <is>
          <t>AUD</t>
        </is>
      </c>
      <c r="U35" t="n">
        <v>0</v>
      </c>
    </row>
    <row r="36">
      <c r="A36" s="5" t="inlineStr">
        <is>
          <t>01a152b9-71e0-76b8-a104-149b3a8137f4</t>
        </is>
      </c>
      <c r="C36" s="5" t="inlineStr">
        <is>
          <t>01a152b9-6e67-75da-8adb-b03e5d07fd21</t>
        </is>
      </c>
      <c r="D36" s="4" t="n">
        <v>46314.24591963307</v>
      </c>
      <c r="E36" s="4" t="n">
        <v>46314.24591963318</v>
      </c>
      <c r="F36" t="b">
        <v>1</v>
      </c>
      <c r="G36" t="n">
        <v/>
      </c>
      <c r="H36" t="inlineStr">
        <is>
          <t>SCG</t>
        </is>
      </c>
      <c r="I36" t="inlineStr">
        <is>
          <t>Scentre Group</t>
        </is>
      </c>
      <c r="J36" t="inlineStr">
        <is>
          <t>AUD</t>
        </is>
      </c>
      <c r="K36" s="5" t="inlineStr">
        <is>
          <t>01a152b9-6ee2-7577-bddd-382bc3853fde</t>
        </is>
      </c>
      <c r="M36" t="inlineStr">
        <is>
          <t>STAPLED</t>
        </is>
      </c>
      <c r="N36" t="inlineStr">
        <is>
          <t>SUGGESTED</t>
        </is>
      </c>
      <c r="Q36" t="n">
        <v>0</v>
      </c>
      <c r="R36" t="inlineStr">
        <is>
          <t>AUD</t>
        </is>
      </c>
      <c r="S36" t="n">
        <v>0</v>
      </c>
      <c r="T36" t="inlineStr">
        <is>
          <t>AUD</t>
        </is>
      </c>
      <c r="U36" t="n">
        <v>0</v>
      </c>
    </row>
    <row r="37">
      <c r="A37" s="5" t="inlineStr">
        <is>
          <t>01a152b9-71e4-7348-8cb4-6d16fd4da57d</t>
        </is>
      </c>
      <c r="C37" s="5" t="inlineStr">
        <is>
          <t>01a152b9-6e67-75da-8adb-b03e5d07fd21</t>
        </is>
      </c>
      <c r="D37" s="4" t="n">
        <v>46314.24591967983</v>
      </c>
      <c r="E37" s="4" t="n">
        <v>46314.24591967993</v>
      </c>
      <c r="F37" t="b">
        <v>1</v>
      </c>
      <c r="G37" t="n">
        <v/>
      </c>
      <c r="H37" t="inlineStr">
        <is>
          <t>VAS</t>
        </is>
      </c>
      <c r="I37" t="inlineStr">
        <is>
          <t>Vanguard Australian Shares INDEX ETF</t>
        </is>
      </c>
      <c r="J37" t="inlineStr">
        <is>
          <t>AUD</t>
        </is>
      </c>
      <c r="K37" s="5" t="inlineStr">
        <is>
          <t>01a152b9-6ee2-7577-bddd-382bc3853fde</t>
        </is>
      </c>
      <c r="M37" t="inlineStr">
        <is>
          <t>UNIT_TRUST</t>
        </is>
      </c>
      <c r="N37" t="inlineStr">
        <is>
          <t>SUGGESTED</t>
        </is>
      </c>
      <c r="Q37" t="n">
        <v>0</v>
      </c>
      <c r="R37" t="inlineStr">
        <is>
          <t>AUD</t>
        </is>
      </c>
      <c r="S37" t="n">
        <v>0</v>
      </c>
      <c r="T37" t="inlineStr">
        <is>
          <t>AUD</t>
        </is>
      </c>
      <c r="U37" t="n">
        <v>0</v>
      </c>
    </row>
    <row r="38">
      <c r="A38" s="5" t="inlineStr">
        <is>
          <t>01a152b9-71e8-7613-b3e5-23356d313525</t>
        </is>
      </c>
      <c r="C38" s="5" t="inlineStr">
        <is>
          <t>01a152b9-6e67-75da-8adb-b03e5d07fd21</t>
        </is>
      </c>
      <c r="D38" s="4" t="n">
        <v>46314.24591973068</v>
      </c>
      <c r="E38" s="4" t="n">
        <v>46314.24591973078</v>
      </c>
      <c r="F38" t="b">
        <v>1</v>
      </c>
      <c r="G38" t="n">
        <v/>
      </c>
      <c r="H38" t="inlineStr">
        <is>
          <t>S32</t>
        </is>
      </c>
      <c r="I38" t="inlineStr">
        <is>
          <t>SOUTH32 Ltd</t>
        </is>
      </c>
      <c r="J38" t="inlineStr">
        <is>
          <t>AUD</t>
        </is>
      </c>
      <c r="K38" s="5" t="inlineStr">
        <is>
          <t>01a152b9-6ee2-7577-bddd-382bc3853fde</t>
        </is>
      </c>
      <c r="M38" t="inlineStr">
        <is>
          <t>UNKNOWN</t>
        </is>
      </c>
      <c r="N38" t="inlineStr">
        <is>
          <t>DEFAULT</t>
        </is>
      </c>
      <c r="Q38" t="n">
        <v>0</v>
      </c>
      <c r="R38" t="inlineStr">
        <is>
          <t>AUD</t>
        </is>
      </c>
      <c r="S38" t="n">
        <v>0</v>
      </c>
      <c r="T38" t="inlineStr">
        <is>
          <t>AUD</t>
        </is>
      </c>
      <c r="U38" t="n">
        <v>0</v>
      </c>
    </row>
    <row r="39">
      <c r="A39" s="5" t="inlineStr">
        <is>
          <t>01a152b9-71ec-74ca-a114-474c3adcb2af</t>
        </is>
      </c>
      <c r="C39" s="5" t="inlineStr">
        <is>
          <t>01a152b9-6e67-75da-8adb-b03e5d07fd21</t>
        </is>
      </c>
      <c r="D39" s="4" t="n">
        <v>46314.24591977267</v>
      </c>
      <c r="E39" s="4" t="n">
        <v>46314.24591977278</v>
      </c>
      <c r="F39" t="b">
        <v>1</v>
      </c>
      <c r="G39" t="n">
        <v/>
      </c>
      <c r="H39" t="inlineStr">
        <is>
          <t>REH</t>
        </is>
      </c>
      <c r="I39" t="inlineStr">
        <is>
          <t>Reece Ltd</t>
        </is>
      </c>
      <c r="J39" t="inlineStr">
        <is>
          <t>AUD</t>
        </is>
      </c>
      <c r="K39" s="5" t="inlineStr">
        <is>
          <t>01a152b9-6ee2-7577-bddd-382bc3853fde</t>
        </is>
      </c>
      <c r="M39" t="inlineStr">
        <is>
          <t>UNKNOWN</t>
        </is>
      </c>
      <c r="N39" t="inlineStr">
        <is>
          <t>DEFAULT</t>
        </is>
      </c>
      <c r="Q39" t="n">
        <v>0</v>
      </c>
      <c r="R39" t="inlineStr">
        <is>
          <t>AUD</t>
        </is>
      </c>
      <c r="S39" t="n">
        <v>0</v>
      </c>
      <c r="T39" t="inlineStr">
        <is>
          <t>AUD</t>
        </is>
      </c>
      <c r="U39" t="n">
        <v>0</v>
      </c>
    </row>
    <row r="40">
      <c r="A40" s="5" t="inlineStr">
        <is>
          <t>01a152b9-71ef-7558-bc18-20815fa40c76</t>
        </is>
      </c>
      <c r="C40" s="5" t="inlineStr">
        <is>
          <t>01a152b9-6e67-75da-8adb-b03e5d07fd21</t>
        </is>
      </c>
      <c r="D40" s="4" t="n">
        <v>46314.24591981103</v>
      </c>
      <c r="E40" s="4" t="n">
        <v>46314.24591981113</v>
      </c>
      <c r="F40" t="b">
        <v>1</v>
      </c>
      <c r="G40" t="n">
        <v/>
      </c>
      <c r="H40" t="inlineStr">
        <is>
          <t>CAR</t>
        </is>
      </c>
      <c r="I40" t="inlineStr">
        <is>
          <t>CAR Group Ltd</t>
        </is>
      </c>
      <c r="J40" t="inlineStr">
        <is>
          <t>AUD</t>
        </is>
      </c>
      <c r="K40" s="5" t="inlineStr">
        <is>
          <t>01a152b9-6ee2-7577-bddd-382bc3853fde</t>
        </is>
      </c>
      <c r="M40" t="inlineStr">
        <is>
          <t>UNKNOWN</t>
        </is>
      </c>
      <c r="N40" t="inlineStr">
        <is>
          <t>DEFAULT</t>
        </is>
      </c>
      <c r="Q40" t="n">
        <v>0</v>
      </c>
      <c r="R40" t="inlineStr">
        <is>
          <t>AUD</t>
        </is>
      </c>
      <c r="S40" t="n">
        <v>0</v>
      </c>
      <c r="T40" t="inlineStr">
        <is>
          <t>AUD</t>
        </is>
      </c>
      <c r="U40" t="n">
        <v>0</v>
      </c>
    </row>
    <row r="41">
      <c r="A41" s="5" t="inlineStr">
        <is>
          <t>01a152b9-71f4-7013-8981-807bbe4ac1e1</t>
        </is>
      </c>
      <c r="C41" s="5" t="inlineStr">
        <is>
          <t>01a152b9-6e67-75da-8adb-b03e5d07fd21</t>
        </is>
      </c>
      <c r="D41" s="4" t="n">
        <v>46314.24591986369</v>
      </c>
      <c r="E41" s="4" t="n">
        <v>46314.2459198638</v>
      </c>
      <c r="F41" t="b">
        <v>1</v>
      </c>
      <c r="G41" t="n">
        <v/>
      </c>
      <c r="H41" t="inlineStr">
        <is>
          <t>QAN</t>
        </is>
      </c>
      <c r="I41" t="inlineStr">
        <is>
          <t>Qantas Airways Ltd</t>
        </is>
      </c>
      <c r="J41" t="inlineStr">
        <is>
          <t>AUD</t>
        </is>
      </c>
      <c r="K41" s="5" t="inlineStr">
        <is>
          <t>01a152b9-6ee2-7577-bddd-382bc3853fde</t>
        </is>
      </c>
      <c r="M41" t="inlineStr">
        <is>
          <t>UNKNOWN</t>
        </is>
      </c>
      <c r="N41" t="inlineStr">
        <is>
          <t>DEFAULT</t>
        </is>
      </c>
      <c r="Q41" t="n">
        <v>0</v>
      </c>
      <c r="R41" t="inlineStr">
        <is>
          <t>AUD</t>
        </is>
      </c>
      <c r="S41" t="n">
        <v>0</v>
      </c>
      <c r="T41" t="inlineStr">
        <is>
          <t>AUD</t>
        </is>
      </c>
      <c r="U41" t="n">
        <v>0</v>
      </c>
    </row>
    <row r="42">
      <c r="A42" s="5" t="inlineStr">
        <is>
          <t>01a152b9-71f8-703f-99d5-202b17111563</t>
        </is>
      </c>
      <c r="C42" s="5" t="inlineStr">
        <is>
          <t>01a152b9-6e67-75da-8adb-b03e5d07fd21</t>
        </is>
      </c>
      <c r="D42" s="4" t="n">
        <v>46314.24591991303</v>
      </c>
      <c r="E42" s="4" t="n">
        <v>46314.24591991313</v>
      </c>
      <c r="F42" t="b">
        <v>1</v>
      </c>
      <c r="G42" t="n">
        <v/>
      </c>
      <c r="H42" t="inlineStr">
        <is>
          <t>PMGOLD</t>
        </is>
      </c>
      <c r="I42" t="inlineStr">
        <is>
          <t>Gold Corporation</t>
        </is>
      </c>
      <c r="J42" t="inlineStr">
        <is>
          <t>AUD</t>
        </is>
      </c>
      <c r="K42" s="5" t="inlineStr">
        <is>
          <t>01a152b9-6ee2-7577-bddd-382bc3853fde</t>
        </is>
      </c>
      <c r="M42" t="inlineStr">
        <is>
          <t>UNKNOWN</t>
        </is>
      </c>
      <c r="N42" t="inlineStr">
        <is>
          <t>DEFAULT</t>
        </is>
      </c>
      <c r="Q42" t="n">
        <v>0</v>
      </c>
      <c r="R42" t="inlineStr">
        <is>
          <t>AUD</t>
        </is>
      </c>
      <c r="S42" t="n">
        <v>0</v>
      </c>
      <c r="T42" t="inlineStr">
        <is>
          <t>AUD</t>
        </is>
      </c>
      <c r="U42" t="n">
        <v>0</v>
      </c>
    </row>
    <row r="43">
      <c r="A43" s="5" t="inlineStr">
        <is>
          <t>01a152b9-71fb-779c-8ef2-e05f57bbf1f4</t>
        </is>
      </c>
      <c r="C43" s="5" t="inlineStr">
        <is>
          <t>01a152b9-6e67-75da-8adb-b03e5d07fd21</t>
        </is>
      </c>
      <c r="D43" s="4" t="n">
        <v>46314.245919949</v>
      </c>
      <c r="E43" s="4" t="n">
        <v>46314.24591994911</v>
      </c>
      <c r="F43" t="b">
        <v>1</v>
      </c>
      <c r="G43" t="n">
        <v/>
      </c>
      <c r="H43" t="inlineStr">
        <is>
          <t>SHL</t>
        </is>
      </c>
      <c r="I43" t="inlineStr">
        <is>
          <t>Sonic Healthcare Ltd</t>
        </is>
      </c>
      <c r="J43" t="inlineStr">
        <is>
          <t>AUD</t>
        </is>
      </c>
      <c r="K43" s="5" t="inlineStr">
        <is>
          <t>01a152b9-6ee2-7577-bddd-382bc3853fde</t>
        </is>
      </c>
      <c r="M43" t="inlineStr">
        <is>
          <t>UNKNOWN</t>
        </is>
      </c>
      <c r="N43" t="inlineStr">
        <is>
          <t>DEFAULT</t>
        </is>
      </c>
      <c r="Q43" t="n">
        <v>0</v>
      </c>
      <c r="R43" t="inlineStr">
        <is>
          <t>AUD</t>
        </is>
      </c>
      <c r="S43" t="n">
        <v>0</v>
      </c>
      <c r="T43" t="inlineStr">
        <is>
          <t>AUD</t>
        </is>
      </c>
      <c r="U43" t="n">
        <v>0</v>
      </c>
    </row>
    <row r="44">
      <c r="A44" s="5" t="inlineStr">
        <is>
          <t>01a152b9-71fe-72c9-94c9-ad4b2386b38d</t>
        </is>
      </c>
      <c r="C44" s="5" t="inlineStr">
        <is>
          <t>01a152b9-6e67-75da-8adb-b03e5d07fd21</t>
        </is>
      </c>
      <c r="D44" s="4" t="n">
        <v>46314.24591998893</v>
      </c>
      <c r="E44" s="4" t="n">
        <v>46314.24591998904</v>
      </c>
      <c r="F44" t="b">
        <v>1</v>
      </c>
      <c r="G44" t="n">
        <v/>
      </c>
      <c r="H44" t="inlineStr">
        <is>
          <t>AIA</t>
        </is>
      </c>
      <c r="I44" t="inlineStr">
        <is>
          <t>Auckland International Airport Ltd</t>
        </is>
      </c>
      <c r="J44" t="inlineStr">
        <is>
          <t>AUD</t>
        </is>
      </c>
      <c r="K44" s="5" t="inlineStr">
        <is>
          <t>01a152b9-6ee2-7577-bddd-382bc3853fde</t>
        </is>
      </c>
      <c r="M44" t="inlineStr">
        <is>
          <t>UNKNOWN</t>
        </is>
      </c>
      <c r="N44" t="inlineStr">
        <is>
          <t>DEFAULT</t>
        </is>
      </c>
      <c r="Q44" t="n">
        <v>0</v>
      </c>
      <c r="R44" t="inlineStr">
        <is>
          <t>AUD</t>
        </is>
      </c>
      <c r="S44" t="n">
        <v>0</v>
      </c>
      <c r="T44" t="inlineStr">
        <is>
          <t>AUD</t>
        </is>
      </c>
      <c r="U44" t="n">
        <v>0</v>
      </c>
    </row>
    <row r="45">
      <c r="A45" s="5" t="inlineStr">
        <is>
          <t>01a152b9-7202-7045-929c-381b33bc1c0d</t>
        </is>
      </c>
      <c r="C45" s="5" t="inlineStr">
        <is>
          <t>01a152b9-6e67-75da-8adb-b03e5d07fd21</t>
        </is>
      </c>
      <c r="D45" s="4" t="n">
        <v>46314.24592002916</v>
      </c>
      <c r="E45" s="4" t="n">
        <v>46314.24592002927</v>
      </c>
      <c r="F45" t="b">
        <v>1</v>
      </c>
      <c r="G45" t="n">
        <v/>
      </c>
      <c r="H45" t="inlineStr">
        <is>
          <t>SOL</t>
        </is>
      </c>
      <c r="I45" t="inlineStr">
        <is>
          <t>Washington H Soul Pattinson &amp; Company Ltd</t>
        </is>
      </c>
      <c r="J45" t="inlineStr">
        <is>
          <t>AUD</t>
        </is>
      </c>
      <c r="K45" s="5" t="inlineStr">
        <is>
          <t>01a152b9-6ee2-7577-bddd-382bc3853fde</t>
        </is>
      </c>
      <c r="M45" t="inlineStr">
        <is>
          <t>UNKNOWN</t>
        </is>
      </c>
      <c r="N45" t="inlineStr">
        <is>
          <t>DEFAULT</t>
        </is>
      </c>
      <c r="Q45" t="n">
        <v>0</v>
      </c>
      <c r="R45" t="inlineStr">
        <is>
          <t>AUD</t>
        </is>
      </c>
      <c r="S45" t="n">
        <v>0</v>
      </c>
      <c r="T45" t="inlineStr">
        <is>
          <t>AUD</t>
        </is>
      </c>
      <c r="U45" t="n">
        <v>0</v>
      </c>
    </row>
    <row r="46">
      <c r="A46" s="5" t="inlineStr">
        <is>
          <t>01a152b9-7206-7766-a6ff-4f2fdd62267e</t>
        </is>
      </c>
      <c r="C46" s="5" t="inlineStr">
        <is>
          <t>01a152b9-6e67-75da-8adb-b03e5d07fd21</t>
        </is>
      </c>
      <c r="D46" s="4" t="n">
        <v>46314.24592007402</v>
      </c>
      <c r="E46" s="4" t="n">
        <v>46314.24592007414</v>
      </c>
      <c r="F46" t="b">
        <v>1</v>
      </c>
      <c r="G46" t="n">
        <v/>
      </c>
      <c r="H46" t="inlineStr">
        <is>
          <t>ASX</t>
        </is>
      </c>
      <c r="I46" t="inlineStr">
        <is>
          <t>ASX Ltd</t>
        </is>
      </c>
      <c r="J46" t="inlineStr">
        <is>
          <t>AUD</t>
        </is>
      </c>
      <c r="K46" s="5" t="inlineStr">
        <is>
          <t>01a152b9-6ee2-7577-bddd-382bc3853fde</t>
        </is>
      </c>
      <c r="M46" t="inlineStr">
        <is>
          <t>UNKNOWN</t>
        </is>
      </c>
      <c r="N46" t="inlineStr">
        <is>
          <t>DEFAULT</t>
        </is>
      </c>
      <c r="Q46" t="n">
        <v>0</v>
      </c>
      <c r="R46" t="inlineStr">
        <is>
          <t>AUD</t>
        </is>
      </c>
      <c r="S46" t="n">
        <v>0</v>
      </c>
      <c r="T46" t="inlineStr">
        <is>
          <t>AUD</t>
        </is>
      </c>
      <c r="U46" t="n">
        <v>0</v>
      </c>
    </row>
    <row r="47">
      <c r="A47" s="5" t="inlineStr">
        <is>
          <t>01a152b9-720a-7451-88de-e6fa2ea7a2c8</t>
        </is>
      </c>
      <c r="C47" s="5" t="inlineStr">
        <is>
          <t>01a152b9-6e67-75da-8adb-b03e5d07fd21</t>
        </is>
      </c>
      <c r="D47" s="4" t="n">
        <v>46314.2459201251</v>
      </c>
      <c r="E47" s="4" t="n">
        <v>46314.2459201252</v>
      </c>
      <c r="F47" t="b">
        <v>1</v>
      </c>
      <c r="G47" t="n">
        <v/>
      </c>
      <c r="H47" t="inlineStr">
        <is>
          <t>SGP</t>
        </is>
      </c>
      <c r="I47" t="inlineStr">
        <is>
          <t>Stockland</t>
        </is>
      </c>
      <c r="J47" t="inlineStr">
        <is>
          <t>AUD</t>
        </is>
      </c>
      <c r="K47" s="5" t="inlineStr">
        <is>
          <t>01a152b9-6ee2-7577-bddd-382bc3853fde</t>
        </is>
      </c>
      <c r="M47" t="inlineStr">
        <is>
          <t>STAPLED</t>
        </is>
      </c>
      <c r="N47" t="inlineStr">
        <is>
          <t>SUGGESTED</t>
        </is>
      </c>
      <c r="Q47" t="n">
        <v>0</v>
      </c>
      <c r="R47" t="inlineStr">
        <is>
          <t>AUD</t>
        </is>
      </c>
      <c r="S47" t="n">
        <v>0</v>
      </c>
      <c r="T47" t="inlineStr">
        <is>
          <t>AUD</t>
        </is>
      </c>
      <c r="U47" t="n">
        <v>0</v>
      </c>
    </row>
    <row r="48">
      <c r="A48" s="5" t="inlineStr">
        <is>
          <t>01a152b9-720e-7045-b914-db7be31f59b1</t>
        </is>
      </c>
      <c r="C48" s="5" t="inlineStr">
        <is>
          <t>01a152b9-6e67-75da-8adb-b03e5d07fd21</t>
        </is>
      </c>
      <c r="D48" s="4" t="n">
        <v>46314.24592016578</v>
      </c>
      <c r="E48" s="4" t="n">
        <v>46314.24592016589</v>
      </c>
      <c r="F48" t="b">
        <v>1</v>
      </c>
      <c r="G48" t="n">
        <v/>
      </c>
      <c r="H48" t="inlineStr">
        <is>
          <t>IVV</t>
        </is>
      </c>
      <c r="I48" t="inlineStr">
        <is>
          <t>Ishares S&amp;P 500 ETF</t>
        </is>
      </c>
      <c r="J48" t="inlineStr">
        <is>
          <t>AUD</t>
        </is>
      </c>
      <c r="K48" s="5" t="inlineStr">
        <is>
          <t>01a152b9-6ee2-7577-bddd-382bc3853fde</t>
        </is>
      </c>
      <c r="M48" t="inlineStr">
        <is>
          <t>UNIT_TRUST</t>
        </is>
      </c>
      <c r="N48" t="inlineStr">
        <is>
          <t>SUGGESTED</t>
        </is>
      </c>
      <c r="Q48" t="n">
        <v>0</v>
      </c>
      <c r="R48" t="inlineStr">
        <is>
          <t>AUD</t>
        </is>
      </c>
      <c r="S48" t="n">
        <v>0</v>
      </c>
      <c r="T48" t="inlineStr">
        <is>
          <t>AUD</t>
        </is>
      </c>
      <c r="U48" t="n">
        <v>0</v>
      </c>
    </row>
    <row r="49">
      <c r="A49" s="5" t="inlineStr">
        <is>
          <t>01a152b9-7211-7596-a90f-e0ce681f6c67</t>
        </is>
      </c>
      <c r="C49" s="5" t="inlineStr">
        <is>
          <t>01a152b9-6e67-75da-8adb-b03e5d07fd21</t>
        </is>
      </c>
      <c r="D49" s="4" t="n">
        <v>46314.24592020724</v>
      </c>
      <c r="E49" s="4" t="n">
        <v>46314.24592020736</v>
      </c>
      <c r="F49" t="b">
        <v>1</v>
      </c>
      <c r="G49" t="n">
        <v/>
      </c>
      <c r="H49" t="inlineStr">
        <is>
          <t>EVN</t>
        </is>
      </c>
      <c r="I49" t="inlineStr">
        <is>
          <t>Evolution Mining Ltd</t>
        </is>
      </c>
      <c r="J49" t="inlineStr">
        <is>
          <t>AUD</t>
        </is>
      </c>
      <c r="K49" s="5" t="inlineStr">
        <is>
          <t>01a152b9-6ee2-7577-bddd-382bc3853fde</t>
        </is>
      </c>
      <c r="M49" t="inlineStr">
        <is>
          <t>UNKNOWN</t>
        </is>
      </c>
      <c r="N49" t="inlineStr">
        <is>
          <t>DEFAULT</t>
        </is>
      </c>
      <c r="Q49" t="n">
        <v>0</v>
      </c>
      <c r="R49" t="inlineStr">
        <is>
          <t>AUD</t>
        </is>
      </c>
      <c r="S49" t="n">
        <v>0</v>
      </c>
      <c r="T49" t="inlineStr">
        <is>
          <t>AUD</t>
        </is>
      </c>
      <c r="U49" t="n">
        <v>0</v>
      </c>
    </row>
    <row r="50">
      <c r="A50" s="5" t="inlineStr">
        <is>
          <t>01a152b9-7215-7582-be4f-eb4789b05796</t>
        </is>
      </c>
      <c r="C50" s="5" t="inlineStr">
        <is>
          <t>01a152b9-6e67-75da-8adb-b03e5d07fd21</t>
        </is>
      </c>
      <c r="D50" s="4" t="n">
        <v>46314.2459202481</v>
      </c>
      <c r="E50" s="4" t="n">
        <v>46314.24592024821</v>
      </c>
      <c r="F50" t="b">
        <v>1</v>
      </c>
      <c r="G50" t="n">
        <v/>
      </c>
      <c r="H50" t="inlineStr">
        <is>
          <t>TLC</t>
        </is>
      </c>
      <c r="I50" t="inlineStr">
        <is>
          <t>The Lottery Corporation Ltd</t>
        </is>
      </c>
      <c r="J50" t="inlineStr">
        <is>
          <t>AUD</t>
        </is>
      </c>
      <c r="K50" s="5" t="inlineStr">
        <is>
          <t>01a152b9-6ee2-7577-bddd-382bc3853fde</t>
        </is>
      </c>
      <c r="M50" t="inlineStr">
        <is>
          <t>UNKNOWN</t>
        </is>
      </c>
      <c r="N50" t="inlineStr">
        <is>
          <t>DEFAULT</t>
        </is>
      </c>
      <c r="Q50" t="n">
        <v>0</v>
      </c>
      <c r="R50" t="inlineStr">
        <is>
          <t>AUD</t>
        </is>
      </c>
      <c r="S50" t="n">
        <v>0</v>
      </c>
      <c r="T50" t="inlineStr">
        <is>
          <t>AUD</t>
        </is>
      </c>
      <c r="U50" t="n">
        <v>0</v>
      </c>
    </row>
    <row r="51">
      <c r="A51" s="5" t="inlineStr">
        <is>
          <t>01a152b9-7218-75f5-9225-f09822e68c27</t>
        </is>
      </c>
      <c r="C51" s="5" t="inlineStr">
        <is>
          <t>01a152b9-6e67-75da-8adb-b03e5d07fd21</t>
        </is>
      </c>
      <c r="D51" s="4" t="n">
        <v>46314.24592028631</v>
      </c>
      <c r="E51" s="4" t="n">
        <v>46314.24592028641</v>
      </c>
      <c r="F51" t="b">
        <v>1</v>
      </c>
      <c r="G51" t="n">
        <v/>
      </c>
      <c r="H51" t="inlineStr">
        <is>
          <t>JBH</t>
        </is>
      </c>
      <c r="I51" t="inlineStr">
        <is>
          <t>JB Hi-Fi Ltd</t>
        </is>
      </c>
      <c r="J51" t="inlineStr">
        <is>
          <t>AUD</t>
        </is>
      </c>
      <c r="K51" s="5" t="inlineStr">
        <is>
          <t>01a152b9-6ee2-7577-bddd-382bc3853fde</t>
        </is>
      </c>
      <c r="M51" t="inlineStr">
        <is>
          <t>UNKNOWN</t>
        </is>
      </c>
      <c r="N51" t="inlineStr">
        <is>
          <t>DEFAULT</t>
        </is>
      </c>
      <c r="Q51" t="n">
        <v>0</v>
      </c>
      <c r="R51" t="inlineStr">
        <is>
          <t>AUD</t>
        </is>
      </c>
      <c r="S51" t="n">
        <v>0</v>
      </c>
      <c r="T51" t="inlineStr">
        <is>
          <t>AUD</t>
        </is>
      </c>
      <c r="U51" t="n">
        <v>0</v>
      </c>
    </row>
    <row r="52">
      <c r="A52" s="5" t="inlineStr">
        <is>
          <t>01a152b9-721c-7262-8a8a-82406da11da4</t>
        </is>
      </c>
      <c r="C52" s="5" t="inlineStr">
        <is>
          <t>01a152b9-6e67-75da-8adb-b03e5d07fd21</t>
        </is>
      </c>
      <c r="D52" s="4" t="n">
        <v>46314.24592032706</v>
      </c>
      <c r="E52" s="4" t="n">
        <v>46314.24603157453</v>
      </c>
      <c r="F52" t="b">
        <v>1</v>
      </c>
      <c r="G52" t="n">
        <v/>
      </c>
      <c r="H52" t="inlineStr">
        <is>
          <t>VGS</t>
        </is>
      </c>
      <c r="I52" t="inlineStr">
        <is>
          <t>Vanguard MSCI INDEX International Shares ETF</t>
        </is>
      </c>
      <c r="J52" t="inlineStr">
        <is>
          <t>AUD</t>
        </is>
      </c>
      <c r="K52" s="5" t="inlineStr">
        <is>
          <t>01a152b9-6ee2-7577-bddd-382bc3853fde</t>
        </is>
      </c>
      <c r="M52" t="inlineStr">
        <is>
          <t>UNIT_TRUST</t>
        </is>
      </c>
      <c r="N52" t="inlineStr">
        <is>
          <t>SUGGESTED</t>
        </is>
      </c>
      <c r="Q52" t="n">
        <v>3410</v>
      </c>
      <c r="R52" t="inlineStr">
        <is>
          <t>AUD</t>
        </is>
      </c>
      <c r="S52" t="n">
        <v>0</v>
      </c>
      <c r="T52" t="inlineStr">
        <is>
          <t>AUD</t>
        </is>
      </c>
      <c r="U52" t="n">
        <v>0</v>
      </c>
    </row>
    <row r="53">
      <c r="A53" s="5" t="inlineStr">
        <is>
          <t>01a152b9-721f-7245-a5b4-d1104be7f9db</t>
        </is>
      </c>
      <c r="C53" s="5" t="inlineStr">
        <is>
          <t>01a152b9-6e67-75da-8adb-b03e5d07fd21</t>
        </is>
      </c>
      <c r="D53" s="4" t="n">
        <v>46314.24592036948</v>
      </c>
      <c r="E53" s="4" t="n">
        <v>46314.24592036957</v>
      </c>
      <c r="F53" t="b">
        <v>1</v>
      </c>
      <c r="G53" t="n">
        <v/>
      </c>
      <c r="H53" t="inlineStr">
        <is>
          <t>MPL</t>
        </is>
      </c>
      <c r="I53" t="inlineStr">
        <is>
          <t>Medibank Private Ltd</t>
        </is>
      </c>
      <c r="J53" t="inlineStr">
        <is>
          <t>AUD</t>
        </is>
      </c>
      <c r="K53" s="5" t="inlineStr">
        <is>
          <t>01a152b9-6ee2-7577-bddd-382bc3853fde</t>
        </is>
      </c>
      <c r="M53" t="inlineStr">
        <is>
          <t>UNKNOWN</t>
        </is>
      </c>
      <c r="N53" t="inlineStr">
        <is>
          <t>DEFAULT</t>
        </is>
      </c>
      <c r="Q53" t="n">
        <v>0</v>
      </c>
      <c r="R53" t="inlineStr">
        <is>
          <t>AUD</t>
        </is>
      </c>
      <c r="S53" t="n">
        <v>0</v>
      </c>
      <c r="T53" t="inlineStr">
        <is>
          <t>AUD</t>
        </is>
      </c>
      <c r="U53" t="n">
        <v>0</v>
      </c>
    </row>
    <row r="54">
      <c r="A54" s="5" t="inlineStr">
        <is>
          <t>01a152b9-7223-7482-bdf6-ffd62b1389c6</t>
        </is>
      </c>
      <c r="C54" s="5" t="inlineStr">
        <is>
          <t>01a152b9-6e67-75da-8adb-b03e5d07fd21</t>
        </is>
      </c>
      <c r="D54" s="4" t="n">
        <v>46314.24592041595</v>
      </c>
      <c r="E54" s="4" t="n">
        <v>46314.24592041608</v>
      </c>
      <c r="F54" t="b">
        <v>1</v>
      </c>
      <c r="G54" t="n">
        <v/>
      </c>
      <c r="H54" t="inlineStr">
        <is>
          <t>IFT</t>
        </is>
      </c>
      <c r="I54" t="inlineStr">
        <is>
          <t>Infratil Ltd</t>
        </is>
      </c>
      <c r="J54" t="inlineStr">
        <is>
          <t>AUD</t>
        </is>
      </c>
      <c r="K54" s="5" t="inlineStr">
        <is>
          <t>01a152b9-6ee2-7577-bddd-382bc3853fde</t>
        </is>
      </c>
      <c r="M54" t="inlineStr">
        <is>
          <t>UNKNOWN</t>
        </is>
      </c>
      <c r="N54" t="inlineStr">
        <is>
          <t>DEFAULT</t>
        </is>
      </c>
      <c r="Q54" t="n">
        <v>0</v>
      </c>
      <c r="R54" t="inlineStr">
        <is>
          <t>AUD</t>
        </is>
      </c>
      <c r="S54" t="n">
        <v>0</v>
      </c>
      <c r="T54" t="inlineStr">
        <is>
          <t>AUD</t>
        </is>
      </c>
      <c r="U54" t="n">
        <v>0</v>
      </c>
    </row>
    <row r="55">
      <c r="A55" s="5" t="inlineStr">
        <is>
          <t>01a152b9-7227-73f5-bb85-e1b24f347b15</t>
        </is>
      </c>
      <c r="C55" s="5" t="inlineStr">
        <is>
          <t>01a152b9-6e67-75da-8adb-b03e5d07fd21</t>
        </is>
      </c>
      <c r="D55" s="4" t="n">
        <v>46314.24592045912</v>
      </c>
      <c r="E55" s="4" t="n">
        <v>46314.24592045922</v>
      </c>
      <c r="F55" t="b">
        <v>1</v>
      </c>
      <c r="G55" t="n">
        <v/>
      </c>
      <c r="H55" t="inlineStr">
        <is>
          <t>NXT</t>
        </is>
      </c>
      <c r="I55" t="inlineStr">
        <is>
          <t>NEXTDC Ltd</t>
        </is>
      </c>
      <c r="J55" t="inlineStr">
        <is>
          <t>AUD</t>
        </is>
      </c>
      <c r="K55" s="5" t="inlineStr">
        <is>
          <t>01a152b9-6ee2-7577-bddd-382bc3853fde</t>
        </is>
      </c>
      <c r="M55" t="inlineStr">
        <is>
          <t>UNKNOWN</t>
        </is>
      </c>
      <c r="N55" t="inlineStr">
        <is>
          <t>DEFAULT</t>
        </is>
      </c>
      <c r="Q55" t="n">
        <v>0</v>
      </c>
      <c r="R55" t="inlineStr">
        <is>
          <t>AUD</t>
        </is>
      </c>
      <c r="S55" t="n">
        <v>0</v>
      </c>
      <c r="T55" t="inlineStr">
        <is>
          <t>AUD</t>
        </is>
      </c>
      <c r="U55" t="n">
        <v>0</v>
      </c>
    </row>
    <row r="56">
      <c r="A56" s="5" t="inlineStr">
        <is>
          <t>01a152b9-722a-753b-a43a-65d83d9a1565</t>
        </is>
      </c>
      <c r="C56" s="5" t="inlineStr">
        <is>
          <t>01a152b9-6e67-75da-8adb-b03e5d07fd21</t>
        </is>
      </c>
      <c r="D56" s="4" t="n">
        <v>46314.24592049899</v>
      </c>
      <c r="E56" s="4" t="n">
        <v>46314.2459204991</v>
      </c>
      <c r="F56" t="b">
        <v>1</v>
      </c>
      <c r="G56" t="n">
        <v/>
      </c>
      <c r="H56" t="inlineStr">
        <is>
          <t>AMC</t>
        </is>
      </c>
      <c r="I56" t="inlineStr">
        <is>
          <t>Amcor Plc</t>
        </is>
      </c>
      <c r="J56" t="inlineStr">
        <is>
          <t>AUD</t>
        </is>
      </c>
      <c r="K56" s="5" t="inlineStr">
        <is>
          <t>01a152b9-6ee2-7577-bddd-382bc3853fde</t>
        </is>
      </c>
      <c r="M56" t="inlineStr">
        <is>
          <t>UNKNOWN</t>
        </is>
      </c>
      <c r="N56" t="inlineStr">
        <is>
          <t>DEFAULT</t>
        </is>
      </c>
      <c r="Q56" t="n">
        <v>0</v>
      </c>
      <c r="R56" t="inlineStr">
        <is>
          <t>AUD</t>
        </is>
      </c>
      <c r="S56" t="n">
        <v>0</v>
      </c>
      <c r="T56" t="inlineStr">
        <is>
          <t>AUD</t>
        </is>
      </c>
      <c r="U56" t="n">
        <v>0</v>
      </c>
    </row>
    <row r="57">
      <c r="A57" s="5" t="inlineStr">
        <is>
          <t>01a152b9-722e-75d0-a313-19c75facddb6</t>
        </is>
      </c>
      <c r="C57" s="5" t="inlineStr">
        <is>
          <t>01a152b9-6e67-75da-8adb-b03e5d07fd21</t>
        </is>
      </c>
      <c r="D57" s="4" t="n">
        <v>46314.2459205369</v>
      </c>
      <c r="E57" s="4" t="n">
        <v>46314.245920537</v>
      </c>
      <c r="F57" t="b">
        <v>1</v>
      </c>
      <c r="G57" t="n">
        <v/>
      </c>
      <c r="H57" t="inlineStr">
        <is>
          <t>VCX</t>
        </is>
      </c>
      <c r="I57" t="inlineStr">
        <is>
          <t>Vicinity Centres</t>
        </is>
      </c>
      <c r="J57" t="inlineStr">
        <is>
          <t>AUD</t>
        </is>
      </c>
      <c r="K57" s="5" t="inlineStr">
        <is>
          <t>01a152b9-6ee2-7577-bddd-382bc3853fde</t>
        </is>
      </c>
      <c r="M57" t="inlineStr">
        <is>
          <t>UNKNOWN</t>
        </is>
      </c>
      <c r="N57" t="inlineStr">
        <is>
          <t>DEFAULT</t>
        </is>
      </c>
      <c r="Q57" t="n">
        <v>0</v>
      </c>
      <c r="R57" t="inlineStr">
        <is>
          <t>AUD</t>
        </is>
      </c>
      <c r="S57" t="n">
        <v>0</v>
      </c>
      <c r="T57" t="inlineStr">
        <is>
          <t>AUD</t>
        </is>
      </c>
      <c r="U57" t="n">
        <v>0</v>
      </c>
    </row>
    <row r="58">
      <c r="A58" s="5" t="inlineStr">
        <is>
          <t>01a152b9-7231-76a3-a3bb-fd433a99f50d</t>
        </is>
      </c>
      <c r="C58" s="5" t="inlineStr">
        <is>
          <t>01a152b9-6e67-75da-8adb-b03e5d07fd21</t>
        </is>
      </c>
      <c r="D58" s="4" t="n">
        <v>46314.24592057619</v>
      </c>
      <c r="E58" s="4" t="n">
        <v>46314.24592057629</v>
      </c>
      <c r="F58" t="b">
        <v>1</v>
      </c>
      <c r="G58" t="n">
        <v/>
      </c>
      <c r="H58" t="inlineStr">
        <is>
          <t>TNE</t>
        </is>
      </c>
      <c r="I58" t="inlineStr">
        <is>
          <t>Technology One Ltd</t>
        </is>
      </c>
      <c r="J58" t="inlineStr">
        <is>
          <t>AUD</t>
        </is>
      </c>
      <c r="K58" s="5" t="inlineStr">
        <is>
          <t>01a152b9-6ee2-7577-bddd-382bc3853fde</t>
        </is>
      </c>
      <c r="M58" t="inlineStr">
        <is>
          <t>UNKNOWN</t>
        </is>
      </c>
      <c r="N58" t="inlineStr">
        <is>
          <t>DEFAULT</t>
        </is>
      </c>
      <c r="Q58" t="n">
        <v>0</v>
      </c>
      <c r="R58" t="inlineStr">
        <is>
          <t>AUD</t>
        </is>
      </c>
      <c r="S58" t="n">
        <v>0</v>
      </c>
      <c r="T58" t="inlineStr">
        <is>
          <t>AUD</t>
        </is>
      </c>
      <c r="U58" t="n">
        <v>0</v>
      </c>
    </row>
    <row r="59">
      <c r="A59" s="5" t="inlineStr">
        <is>
          <t>01a152b9-7235-7623-9355-5310d850c04b</t>
        </is>
      </c>
      <c r="C59" s="5" t="inlineStr">
        <is>
          <t>01a152b9-6e67-75da-8adb-b03e5d07fd21</t>
        </is>
      </c>
      <c r="D59" s="4" t="n">
        <v>46314.24592062345</v>
      </c>
      <c r="E59" s="4" t="n">
        <v>46314.24602230421</v>
      </c>
      <c r="F59" t="b">
        <v>1</v>
      </c>
      <c r="G59" t="n">
        <v/>
      </c>
      <c r="H59" t="inlineStr">
        <is>
          <t>AFI</t>
        </is>
      </c>
      <c r="I59" t="inlineStr">
        <is>
          <t>Australian Foundation Investment Company Ltd</t>
        </is>
      </c>
      <c r="J59" t="inlineStr">
        <is>
          <t>AUD</t>
        </is>
      </c>
      <c r="K59" s="5" t="inlineStr">
        <is>
          <t>01a152b9-6ee2-7577-bddd-382bc3853fde</t>
        </is>
      </c>
      <c r="M59" t="inlineStr">
        <is>
          <t>COMPANY</t>
        </is>
      </c>
      <c r="N59" t="inlineStr">
        <is>
          <t>SUGGESTED</t>
        </is>
      </c>
      <c r="Q59" t="n">
        <v>4000</v>
      </c>
      <c r="R59" t="inlineStr">
        <is>
          <t>AUD</t>
        </is>
      </c>
      <c r="S59" t="n">
        <v>0</v>
      </c>
      <c r="T59" t="inlineStr">
        <is>
          <t>AUD</t>
        </is>
      </c>
      <c r="U59" t="n">
        <v>0</v>
      </c>
    </row>
    <row r="60">
      <c r="A60" s="5" t="inlineStr">
        <is>
          <t>01a152b9-7239-702e-abe8-a89a56af9023</t>
        </is>
      </c>
      <c r="C60" s="5" t="inlineStr">
        <is>
          <t>01a152b9-6e67-75da-8adb-b03e5d07fd21</t>
        </is>
      </c>
      <c r="D60" s="4" t="n">
        <v>46314.24592067151</v>
      </c>
      <c r="E60" s="4" t="n">
        <v>46314.24592067161</v>
      </c>
      <c r="F60" t="b">
        <v>1</v>
      </c>
      <c r="G60" t="n">
        <v/>
      </c>
      <c r="H60" t="inlineStr">
        <is>
          <t>TLX</t>
        </is>
      </c>
      <c r="I60" t="inlineStr">
        <is>
          <t>TELIX Pharmaceuticals Ltd</t>
        </is>
      </c>
      <c r="J60" t="inlineStr">
        <is>
          <t>AUD</t>
        </is>
      </c>
      <c r="K60" s="5" t="inlineStr">
        <is>
          <t>01a152b9-6ee2-7577-bddd-382bc3853fde</t>
        </is>
      </c>
      <c r="M60" t="inlineStr">
        <is>
          <t>UNKNOWN</t>
        </is>
      </c>
      <c r="N60" t="inlineStr">
        <is>
          <t>DEFAULT</t>
        </is>
      </c>
      <c r="Q60" t="n">
        <v>0</v>
      </c>
      <c r="R60" t="inlineStr">
        <is>
          <t>AUD</t>
        </is>
      </c>
      <c r="S60" t="n">
        <v>0</v>
      </c>
      <c r="T60" t="inlineStr">
        <is>
          <t>AUD</t>
        </is>
      </c>
      <c r="U60" t="n">
        <v>0</v>
      </c>
    </row>
    <row r="61">
      <c r="A61" s="5" t="inlineStr">
        <is>
          <t>01a152b9-723c-7424-85e3-9e21d7f6c157</t>
        </is>
      </c>
      <c r="C61" s="5" t="inlineStr">
        <is>
          <t>01a152b9-6e67-75da-8adb-b03e5d07fd21</t>
        </is>
      </c>
      <c r="D61" s="4" t="n">
        <v>46314.24592070537</v>
      </c>
      <c r="E61" s="4" t="n">
        <v>46314.24592070546</v>
      </c>
      <c r="F61" t="b">
        <v>1</v>
      </c>
      <c r="G61" t="n">
        <v/>
      </c>
      <c r="H61" t="inlineStr">
        <is>
          <t>BSL</t>
        </is>
      </c>
      <c r="I61" t="inlineStr">
        <is>
          <t>Bluescope Steel Ltd</t>
        </is>
      </c>
      <c r="J61" t="inlineStr">
        <is>
          <t>AUD</t>
        </is>
      </c>
      <c r="K61" s="5" t="inlineStr">
        <is>
          <t>01a152b9-6ee2-7577-bddd-382bc3853fde</t>
        </is>
      </c>
      <c r="M61" t="inlineStr">
        <is>
          <t>UNKNOWN</t>
        </is>
      </c>
      <c r="N61" t="inlineStr">
        <is>
          <t>DEFAULT</t>
        </is>
      </c>
      <c r="Q61" t="n">
        <v>0</v>
      </c>
      <c r="R61" t="inlineStr">
        <is>
          <t>AUD</t>
        </is>
      </c>
      <c r="S61" t="n">
        <v>0</v>
      </c>
      <c r="T61" t="inlineStr">
        <is>
          <t>AUD</t>
        </is>
      </c>
      <c r="U61" t="n">
        <v>0</v>
      </c>
    </row>
    <row r="62">
      <c r="A62" s="5" t="inlineStr">
        <is>
          <t>01a152b9-7240-728c-88a4-b670080a935b</t>
        </is>
      </c>
      <c r="C62" s="5" t="inlineStr">
        <is>
          <t>01a152b9-6e67-75da-8adb-b03e5d07fd21</t>
        </is>
      </c>
      <c r="D62" s="4" t="n">
        <v>46314.24592074551</v>
      </c>
      <c r="E62" s="4" t="n">
        <v>46314.24592074561</v>
      </c>
      <c r="F62" t="b">
        <v>1</v>
      </c>
      <c r="G62" t="n">
        <v/>
      </c>
      <c r="H62" t="inlineStr">
        <is>
          <t>APA</t>
        </is>
      </c>
      <c r="I62" t="inlineStr">
        <is>
          <t>APA Group</t>
        </is>
      </c>
      <c r="J62" t="inlineStr">
        <is>
          <t>AUD</t>
        </is>
      </c>
      <c r="K62" s="5" t="inlineStr">
        <is>
          <t>01a152b9-6ee2-7577-bddd-382bc3853fde</t>
        </is>
      </c>
      <c r="M62" t="inlineStr">
        <is>
          <t>UNKNOWN</t>
        </is>
      </c>
      <c r="N62" t="inlineStr">
        <is>
          <t>DEFAULT</t>
        </is>
      </c>
      <c r="Q62" t="n">
        <v>0</v>
      </c>
      <c r="R62" t="inlineStr">
        <is>
          <t>AUD</t>
        </is>
      </c>
      <c r="S62" t="n">
        <v>0</v>
      </c>
      <c r="T62" t="inlineStr">
        <is>
          <t>AUD</t>
        </is>
      </c>
      <c r="U62" t="n">
        <v>0</v>
      </c>
    </row>
    <row r="63">
      <c r="A63" s="5" t="inlineStr">
        <is>
          <t>01a152b9-7244-700c-8891-614d2c5b96cf</t>
        </is>
      </c>
      <c r="C63" s="5" t="inlineStr">
        <is>
          <t>01a152b9-6e67-75da-8adb-b03e5d07fd21</t>
        </is>
      </c>
      <c r="D63" s="4" t="n">
        <v>46314.24592079077</v>
      </c>
      <c r="E63" s="4" t="n">
        <v>46314.24592079089</v>
      </c>
      <c r="F63" t="b">
        <v>1</v>
      </c>
      <c r="G63" t="n">
        <v/>
      </c>
      <c r="H63" t="inlineStr">
        <is>
          <t>GPT</t>
        </is>
      </c>
      <c r="I63" t="inlineStr">
        <is>
          <t>GPT Group</t>
        </is>
      </c>
      <c r="J63" t="inlineStr">
        <is>
          <t>AUD</t>
        </is>
      </c>
      <c r="K63" s="5" t="inlineStr">
        <is>
          <t>01a152b9-6ee2-7577-bddd-382bc3853fde</t>
        </is>
      </c>
      <c r="M63" t="inlineStr">
        <is>
          <t>UNKNOWN</t>
        </is>
      </c>
      <c r="N63" t="inlineStr">
        <is>
          <t>DEFAULT</t>
        </is>
      </c>
      <c r="Q63" t="n">
        <v>0</v>
      </c>
      <c r="R63" t="inlineStr">
        <is>
          <t>AUD</t>
        </is>
      </c>
      <c r="S63" t="n">
        <v>0</v>
      </c>
      <c r="T63" t="inlineStr">
        <is>
          <t>AUD</t>
        </is>
      </c>
      <c r="U63" t="n">
        <v>0</v>
      </c>
    </row>
    <row r="64">
      <c r="A64" s="5" t="inlineStr">
        <is>
          <t>01a152b9-7247-77be-be13-9f55f03eb54b</t>
        </is>
      </c>
      <c r="C64" s="5" t="inlineStr">
        <is>
          <t>01a152b9-6e67-75da-8adb-b03e5d07fd21</t>
        </is>
      </c>
      <c r="D64" s="4" t="n">
        <v>46314.24592083251</v>
      </c>
      <c r="E64" s="4" t="n">
        <v>46314.24592083262</v>
      </c>
      <c r="F64" t="b">
        <v>1</v>
      </c>
      <c r="G64" t="n">
        <v/>
      </c>
      <c r="H64" t="inlineStr">
        <is>
          <t>TWE</t>
        </is>
      </c>
      <c r="I64" t="inlineStr">
        <is>
          <t>Treasury Wine Estates Ltd</t>
        </is>
      </c>
      <c r="J64" t="inlineStr">
        <is>
          <t>AUD</t>
        </is>
      </c>
      <c r="K64" s="5" t="inlineStr">
        <is>
          <t>01a152b9-6ee2-7577-bddd-382bc3853fde</t>
        </is>
      </c>
      <c r="M64" t="inlineStr">
        <is>
          <t>UNKNOWN</t>
        </is>
      </c>
      <c r="N64" t="inlineStr">
        <is>
          <t>DEFAULT</t>
        </is>
      </c>
      <c r="Q64" t="n">
        <v>0</v>
      </c>
      <c r="R64" t="inlineStr">
        <is>
          <t>AUD</t>
        </is>
      </c>
      <c r="S64" t="n">
        <v>0</v>
      </c>
      <c r="T64" t="inlineStr">
        <is>
          <t>AUD</t>
        </is>
      </c>
      <c r="U64" t="n">
        <v>0</v>
      </c>
    </row>
    <row r="65">
      <c r="A65" s="5" t="inlineStr">
        <is>
          <t>01a152b9-724b-74cb-bec2-c5f3c4a01734</t>
        </is>
      </c>
      <c r="C65" s="5" t="inlineStr">
        <is>
          <t>01a152b9-6e67-75da-8adb-b03e5d07fd21</t>
        </is>
      </c>
      <c r="D65" s="4" t="n">
        <v>46314.24592087036</v>
      </c>
      <c r="E65" s="4" t="n">
        <v>46314.24592087045</v>
      </c>
      <c r="F65" t="b">
        <v>1</v>
      </c>
      <c r="G65" t="n">
        <v/>
      </c>
      <c r="H65" t="inlineStr">
        <is>
          <t>ORI</t>
        </is>
      </c>
      <c r="I65" t="inlineStr">
        <is>
          <t>Orica Ltd</t>
        </is>
      </c>
      <c r="J65" t="inlineStr">
        <is>
          <t>AUD</t>
        </is>
      </c>
      <c r="K65" s="5" t="inlineStr">
        <is>
          <t>01a152b9-6ee2-7577-bddd-382bc3853fde</t>
        </is>
      </c>
      <c r="M65" t="inlineStr">
        <is>
          <t>UNKNOWN</t>
        </is>
      </c>
      <c r="N65" t="inlineStr">
        <is>
          <t>DEFAULT</t>
        </is>
      </c>
      <c r="Q65" t="n">
        <v>0</v>
      </c>
      <c r="R65" t="inlineStr">
        <is>
          <t>AUD</t>
        </is>
      </c>
      <c r="S65" t="n">
        <v>0</v>
      </c>
      <c r="T65" t="inlineStr">
        <is>
          <t>AUD</t>
        </is>
      </c>
      <c r="U65" t="n">
        <v>0</v>
      </c>
    </row>
    <row r="66">
      <c r="A66" s="5" t="inlineStr">
        <is>
          <t>01a152b9-724e-76ea-8a2c-dc5e5abe3ebc</t>
        </is>
      </c>
      <c r="C66" s="5" t="inlineStr">
        <is>
          <t>01a152b9-6e67-75da-8adb-b03e5d07fd21</t>
        </is>
      </c>
      <c r="D66" s="4" t="n">
        <v>46314.24592090512</v>
      </c>
      <c r="E66" s="4" t="n">
        <v>46314.24592090523</v>
      </c>
      <c r="F66" t="b">
        <v>1</v>
      </c>
      <c r="G66" t="n">
        <v/>
      </c>
      <c r="H66" t="inlineStr">
        <is>
          <t>YAL</t>
        </is>
      </c>
      <c r="I66" t="inlineStr">
        <is>
          <t>Yancoal Australia Ltd</t>
        </is>
      </c>
      <c r="J66" t="inlineStr">
        <is>
          <t>AUD</t>
        </is>
      </c>
      <c r="K66" s="5" t="inlineStr">
        <is>
          <t>01a152b9-6ee2-7577-bddd-382bc3853fde</t>
        </is>
      </c>
      <c r="M66" t="inlineStr">
        <is>
          <t>UNKNOWN</t>
        </is>
      </c>
      <c r="N66" t="inlineStr">
        <is>
          <t>DEFAULT</t>
        </is>
      </c>
      <c r="Q66" t="n">
        <v>0</v>
      </c>
      <c r="R66" t="inlineStr">
        <is>
          <t>AUD</t>
        </is>
      </c>
      <c r="S66" t="n">
        <v>0</v>
      </c>
      <c r="T66" t="inlineStr">
        <is>
          <t>AUD</t>
        </is>
      </c>
      <c r="U66" t="n">
        <v>0</v>
      </c>
    </row>
    <row r="67">
      <c r="A67" s="5" t="inlineStr">
        <is>
          <t>01a152b9-7251-75f1-b462-b3535c01460c</t>
        </is>
      </c>
      <c r="C67" s="5" t="inlineStr">
        <is>
          <t>01a152b9-6e67-75da-8adb-b03e5d07fd21</t>
        </is>
      </c>
      <c r="D67" s="4" t="n">
        <v>46314.24592094483</v>
      </c>
      <c r="E67" s="4" t="n">
        <v>46314.24592094495</v>
      </c>
      <c r="F67" t="b">
        <v>1</v>
      </c>
      <c r="G67" t="n">
        <v/>
      </c>
      <c r="H67" t="inlineStr">
        <is>
          <t>TPG</t>
        </is>
      </c>
      <c r="I67" t="inlineStr">
        <is>
          <t>TPG Telecom Ltd</t>
        </is>
      </c>
      <c r="J67" t="inlineStr">
        <is>
          <t>AUD</t>
        </is>
      </c>
      <c r="K67" s="5" t="inlineStr">
        <is>
          <t>01a152b9-6ee2-7577-bddd-382bc3853fde</t>
        </is>
      </c>
      <c r="M67" t="inlineStr">
        <is>
          <t>UNKNOWN</t>
        </is>
      </c>
      <c r="N67" t="inlineStr">
        <is>
          <t>DEFAULT</t>
        </is>
      </c>
      <c r="Q67" t="n">
        <v>0</v>
      </c>
      <c r="R67" t="inlineStr">
        <is>
          <t>AUD</t>
        </is>
      </c>
      <c r="S67" t="n">
        <v>0</v>
      </c>
      <c r="T67" t="inlineStr">
        <is>
          <t>AUD</t>
        </is>
      </c>
      <c r="U67" t="n">
        <v>0</v>
      </c>
    </row>
    <row r="68">
      <c r="A68" s="5" t="inlineStr">
        <is>
          <t>01a152b9-7255-7597-843c-ae1576bce7d2</t>
        </is>
      </c>
      <c r="C68" s="5" t="inlineStr">
        <is>
          <t>01a152b9-6e67-75da-8adb-b03e5d07fd21</t>
        </is>
      </c>
      <c r="D68" s="4" t="n">
        <v>46314.24592098832</v>
      </c>
      <c r="E68" s="4" t="n">
        <v>46314.24592098841</v>
      </c>
      <c r="F68" t="b">
        <v>1</v>
      </c>
      <c r="G68" t="n">
        <v/>
      </c>
      <c r="H68" t="inlineStr">
        <is>
          <t>MGOC</t>
        </is>
      </c>
      <c r="I68" t="inlineStr">
        <is>
          <t>Magellan Global Fund -Open Class Units -Active ETF</t>
        </is>
      </c>
      <c r="J68" t="inlineStr">
        <is>
          <t>AUD</t>
        </is>
      </c>
      <c r="K68" s="5" t="inlineStr">
        <is>
          <t>01a152b9-6ee2-7577-bddd-382bc3853fde</t>
        </is>
      </c>
      <c r="M68" t="inlineStr">
        <is>
          <t>UNKNOWN</t>
        </is>
      </c>
      <c r="N68" t="inlineStr">
        <is>
          <t>DEFAULT</t>
        </is>
      </c>
      <c r="Q68" t="n">
        <v>0</v>
      </c>
      <c r="R68" t="inlineStr">
        <is>
          <t>AUD</t>
        </is>
      </c>
      <c r="S68" t="n">
        <v>0</v>
      </c>
      <c r="T68" t="inlineStr">
        <is>
          <t>AUD</t>
        </is>
      </c>
      <c r="U68" t="n">
        <v>0</v>
      </c>
    </row>
    <row r="69">
      <c r="A69" s="5" t="inlineStr">
        <is>
          <t>01a152b9-7258-775a-a56b-3fef4cb22241</t>
        </is>
      </c>
      <c r="C69" s="5" t="inlineStr">
        <is>
          <t>01a152b9-6e67-75da-8adb-b03e5d07fd21</t>
        </is>
      </c>
      <c r="D69" s="4" t="n">
        <v>46314.24592102318</v>
      </c>
      <c r="E69" s="4" t="n">
        <v>46314.24592102328</v>
      </c>
      <c r="F69" t="b">
        <v>1</v>
      </c>
      <c r="G69" t="n">
        <v/>
      </c>
      <c r="H69" t="inlineStr">
        <is>
          <t>AGL</t>
        </is>
      </c>
      <c r="I69" t="inlineStr">
        <is>
          <t>AGL Energy Ltd</t>
        </is>
      </c>
      <c r="J69" t="inlineStr">
        <is>
          <t>AUD</t>
        </is>
      </c>
      <c r="K69" s="5" t="inlineStr">
        <is>
          <t>01a152b9-6ee2-7577-bddd-382bc3853fde</t>
        </is>
      </c>
      <c r="M69" t="inlineStr">
        <is>
          <t>UNKNOWN</t>
        </is>
      </c>
      <c r="N69" t="inlineStr">
        <is>
          <t>DEFAULT</t>
        </is>
      </c>
      <c r="Q69" t="n">
        <v>0</v>
      </c>
      <c r="R69" t="inlineStr">
        <is>
          <t>AUD</t>
        </is>
      </c>
      <c r="S69" t="n">
        <v>0</v>
      </c>
      <c r="T69" t="inlineStr">
        <is>
          <t>AUD</t>
        </is>
      </c>
      <c r="U69" t="n">
        <v>0</v>
      </c>
    </row>
    <row r="70">
      <c r="A70" s="5" t="inlineStr">
        <is>
          <t>01a152b9-725b-736a-8537-6019972b87ae</t>
        </is>
      </c>
      <c r="C70" s="5" t="inlineStr">
        <is>
          <t>01a152b9-6e67-75da-8adb-b03e5d07fd21</t>
        </is>
      </c>
      <c r="D70" s="4" t="n">
        <v>46314.24592106009</v>
      </c>
      <c r="E70" s="4" t="n">
        <v>46314.24592106022</v>
      </c>
      <c r="F70" t="b">
        <v>1</v>
      </c>
      <c r="G70" t="n">
        <v/>
      </c>
      <c r="H70" t="inlineStr">
        <is>
          <t>WOR</t>
        </is>
      </c>
      <c r="I70" t="inlineStr">
        <is>
          <t>Worley Ltd</t>
        </is>
      </c>
      <c r="J70" t="inlineStr">
        <is>
          <t>AUD</t>
        </is>
      </c>
      <c r="K70" s="5" t="inlineStr">
        <is>
          <t>01a152b9-6ee2-7577-bddd-382bc3853fde</t>
        </is>
      </c>
      <c r="M70" t="inlineStr">
        <is>
          <t>UNKNOWN</t>
        </is>
      </c>
      <c r="N70" t="inlineStr">
        <is>
          <t>DEFAULT</t>
        </is>
      </c>
      <c r="Q70" t="n">
        <v>0</v>
      </c>
      <c r="R70" t="inlineStr">
        <is>
          <t>AUD</t>
        </is>
      </c>
      <c r="S70" t="n">
        <v>0</v>
      </c>
      <c r="T70" t="inlineStr">
        <is>
          <t>AUD</t>
        </is>
      </c>
      <c r="U70" t="n">
        <v>0</v>
      </c>
    </row>
    <row r="71">
      <c r="A71" s="5" t="inlineStr">
        <is>
          <t>01a152b9-725e-713c-b47c-f594a6116267</t>
        </is>
      </c>
      <c r="C71" s="5" t="inlineStr">
        <is>
          <t>01a152b9-6e67-75da-8adb-b03e5d07fd21</t>
        </is>
      </c>
      <c r="D71" s="4" t="n">
        <v>46314.24592109807</v>
      </c>
      <c r="E71" s="4" t="n">
        <v>46314.24592109817</v>
      </c>
      <c r="F71" t="b">
        <v>1</v>
      </c>
      <c r="G71" t="n">
        <v/>
      </c>
      <c r="H71" t="inlineStr">
        <is>
          <t>SEK</t>
        </is>
      </c>
      <c r="I71" t="inlineStr">
        <is>
          <t>Seek Ltd</t>
        </is>
      </c>
      <c r="J71" t="inlineStr">
        <is>
          <t>AUD</t>
        </is>
      </c>
      <c r="K71" s="5" t="inlineStr">
        <is>
          <t>01a152b9-6ee2-7577-bddd-382bc3853fde</t>
        </is>
      </c>
      <c r="M71" t="inlineStr">
        <is>
          <t>UNKNOWN</t>
        </is>
      </c>
      <c r="N71" t="inlineStr">
        <is>
          <t>DEFAULT</t>
        </is>
      </c>
      <c r="Q71" t="n">
        <v>0</v>
      </c>
      <c r="R71" t="inlineStr">
        <is>
          <t>AUD</t>
        </is>
      </c>
      <c r="S71" t="n">
        <v>0</v>
      </c>
      <c r="T71" t="inlineStr">
        <is>
          <t>AUD</t>
        </is>
      </c>
      <c r="U71" t="n">
        <v>0</v>
      </c>
    </row>
    <row r="72">
      <c r="A72" s="5" t="inlineStr">
        <is>
          <t>01a152b9-7262-7245-b211-52250881cc0a</t>
        </is>
      </c>
      <c r="C72" s="5" t="inlineStr">
        <is>
          <t>01a152b9-6e67-75da-8adb-b03e5d07fd21</t>
        </is>
      </c>
      <c r="D72" s="4" t="n">
        <v>46314.24592114201</v>
      </c>
      <c r="E72" s="4" t="n">
        <v>46314.24592114213</v>
      </c>
      <c r="F72" t="b">
        <v>1</v>
      </c>
      <c r="G72" t="n">
        <v/>
      </c>
      <c r="H72" t="inlineStr">
        <is>
          <t>NEM</t>
        </is>
      </c>
      <c r="I72" t="inlineStr">
        <is>
          <t>Newmont Corporation</t>
        </is>
      </c>
      <c r="J72" t="inlineStr">
        <is>
          <t>AUD</t>
        </is>
      </c>
      <c r="K72" s="5" t="inlineStr">
        <is>
          <t>01a152b9-6ee2-7577-bddd-382bc3853fde</t>
        </is>
      </c>
      <c r="M72" t="inlineStr">
        <is>
          <t>UNKNOWN</t>
        </is>
      </c>
      <c r="N72" t="inlineStr">
        <is>
          <t>DEFAULT</t>
        </is>
      </c>
      <c r="Q72" t="n">
        <v>0</v>
      </c>
      <c r="R72" t="inlineStr">
        <is>
          <t>AUD</t>
        </is>
      </c>
      <c r="S72" t="n">
        <v>0</v>
      </c>
      <c r="T72" t="inlineStr">
        <is>
          <t>AUD</t>
        </is>
      </c>
      <c r="U72" t="n">
        <v>0</v>
      </c>
    </row>
    <row r="73">
      <c r="A73" s="5" t="inlineStr">
        <is>
          <t>01a152b9-7266-730c-a6eb-fc955165e7ea</t>
        </is>
      </c>
      <c r="C73" s="5" t="inlineStr">
        <is>
          <t>01a152b9-6e67-75da-8adb-b03e5d07fd21</t>
        </is>
      </c>
      <c r="D73" s="4" t="n">
        <v>46314.24592119039</v>
      </c>
      <c r="E73" s="4" t="n">
        <v>46314.24592119057</v>
      </c>
      <c r="F73" t="b">
        <v>1</v>
      </c>
      <c r="G73" t="n">
        <v/>
      </c>
      <c r="H73" t="inlineStr">
        <is>
          <t>MCY</t>
        </is>
      </c>
      <c r="I73" t="inlineStr">
        <is>
          <t>Mercury NZ Ltd</t>
        </is>
      </c>
      <c r="J73" t="inlineStr">
        <is>
          <t>AUD</t>
        </is>
      </c>
      <c r="K73" s="5" t="inlineStr">
        <is>
          <t>01a152b9-6ee2-7577-bddd-382bc3853fde</t>
        </is>
      </c>
      <c r="M73" t="inlineStr">
        <is>
          <t>UNKNOWN</t>
        </is>
      </c>
      <c r="N73" t="inlineStr">
        <is>
          <t>DEFAULT</t>
        </is>
      </c>
      <c r="Q73" t="n">
        <v>0</v>
      </c>
      <c r="R73" t="inlineStr">
        <is>
          <t>AUD</t>
        </is>
      </c>
      <c r="S73" t="n">
        <v>0</v>
      </c>
      <c r="T73" t="inlineStr">
        <is>
          <t>AUD</t>
        </is>
      </c>
      <c r="U73" t="n">
        <v>0</v>
      </c>
    </row>
    <row r="74">
      <c r="A74" s="5" t="inlineStr">
        <is>
          <t>01a152b9-726a-730f-b3bf-ad568ef54d70</t>
        </is>
      </c>
      <c r="C74" s="5" t="inlineStr">
        <is>
          <t>01a152b9-6e67-75da-8adb-b03e5d07fd21</t>
        </is>
      </c>
      <c r="D74" s="4" t="n">
        <v>46314.24592123958</v>
      </c>
      <c r="E74" s="4" t="n">
        <v>46314.24592123972</v>
      </c>
      <c r="F74" t="b">
        <v>1</v>
      </c>
      <c r="G74" t="n">
        <v/>
      </c>
      <c r="H74" t="inlineStr">
        <is>
          <t>RHC</t>
        </is>
      </c>
      <c r="I74" t="inlineStr">
        <is>
          <t>Ramsay Health Care Ltd</t>
        </is>
      </c>
      <c r="J74" t="inlineStr">
        <is>
          <t>AUD</t>
        </is>
      </c>
      <c r="K74" s="5" t="inlineStr">
        <is>
          <t>01a152b9-6ee2-7577-bddd-382bc3853fde</t>
        </is>
      </c>
      <c r="M74" t="inlineStr">
        <is>
          <t>UNKNOWN</t>
        </is>
      </c>
      <c r="N74" t="inlineStr">
        <is>
          <t>DEFAULT</t>
        </is>
      </c>
      <c r="Q74" t="n">
        <v>0</v>
      </c>
      <c r="R74" t="inlineStr">
        <is>
          <t>AUD</t>
        </is>
      </c>
      <c r="S74" t="n">
        <v>0</v>
      </c>
      <c r="T74" t="inlineStr">
        <is>
          <t>AUD</t>
        </is>
      </c>
      <c r="U74" t="n">
        <v>0</v>
      </c>
    </row>
    <row r="75">
      <c r="A75" s="5" t="inlineStr">
        <is>
          <t>01a152b9-726e-74e8-931e-25580cfe5b75</t>
        </is>
      </c>
      <c r="C75" s="5" t="inlineStr">
        <is>
          <t>01a152b9-6e67-75da-8adb-b03e5d07fd21</t>
        </is>
      </c>
      <c r="D75" s="4" t="n">
        <v>46314.24592128146</v>
      </c>
      <c r="E75" s="4" t="n">
        <v>46314.24592128159</v>
      </c>
      <c r="F75" t="b">
        <v>1</v>
      </c>
      <c r="G75" t="n">
        <v/>
      </c>
      <c r="H75" t="inlineStr">
        <is>
          <t>MGR</t>
        </is>
      </c>
      <c r="I75" t="inlineStr">
        <is>
          <t>Mirvac Group</t>
        </is>
      </c>
      <c r="J75" t="inlineStr">
        <is>
          <t>AUD</t>
        </is>
      </c>
      <c r="K75" s="5" t="inlineStr">
        <is>
          <t>01a152b9-6ee2-7577-bddd-382bc3853fde</t>
        </is>
      </c>
      <c r="M75" t="inlineStr">
        <is>
          <t>STAPLED</t>
        </is>
      </c>
      <c r="N75" t="inlineStr">
        <is>
          <t>SUGGESTED</t>
        </is>
      </c>
      <c r="Q75" t="n">
        <v>0</v>
      </c>
      <c r="R75" t="inlineStr">
        <is>
          <t>AUD</t>
        </is>
      </c>
      <c r="S75" t="n">
        <v>0</v>
      </c>
      <c r="T75" t="inlineStr">
        <is>
          <t>AUD</t>
        </is>
      </c>
      <c r="U75" t="n">
        <v>0</v>
      </c>
    </row>
    <row r="76">
      <c r="A76" s="5" t="inlineStr">
        <is>
          <t>01a152b9-7272-721c-b452-22817649258f</t>
        </is>
      </c>
      <c r="C76" s="5" t="inlineStr">
        <is>
          <t>01a152b9-6e67-75da-8adb-b03e5d07fd21</t>
        </is>
      </c>
      <c r="D76" s="4" t="n">
        <v>46314.24592132418</v>
      </c>
      <c r="E76" s="4" t="n">
        <v>46314.24592132431</v>
      </c>
      <c r="F76" t="b">
        <v>1</v>
      </c>
      <c r="G76" t="n">
        <v/>
      </c>
      <c r="H76" t="inlineStr">
        <is>
          <t>ALQ</t>
        </is>
      </c>
      <c r="I76" t="inlineStr">
        <is>
          <t>Als Ltd</t>
        </is>
      </c>
      <c r="J76" t="inlineStr">
        <is>
          <t>AUD</t>
        </is>
      </c>
      <c r="K76" s="5" t="inlineStr">
        <is>
          <t>01a152b9-6ee2-7577-bddd-382bc3853fde</t>
        </is>
      </c>
      <c r="M76" t="inlineStr">
        <is>
          <t>UNKNOWN</t>
        </is>
      </c>
      <c r="N76" t="inlineStr">
        <is>
          <t>DEFAULT</t>
        </is>
      </c>
      <c r="Q76" t="n">
        <v>0</v>
      </c>
      <c r="R76" t="inlineStr">
        <is>
          <t>AUD</t>
        </is>
      </c>
      <c r="S76" t="n">
        <v>0</v>
      </c>
      <c r="T76" t="inlineStr">
        <is>
          <t>AUD</t>
        </is>
      </c>
      <c r="U76" t="n">
        <v>0</v>
      </c>
    </row>
    <row r="77">
      <c r="A77" s="5" t="inlineStr">
        <is>
          <t>01a152b9-7275-73b9-8097-ebfb95b57f11</t>
        </is>
      </c>
      <c r="C77" s="5" t="inlineStr">
        <is>
          <t>01a152b9-6e67-75da-8adb-b03e5d07fd21</t>
        </is>
      </c>
      <c r="D77" s="4" t="n">
        <v>46314.24592136467</v>
      </c>
      <c r="E77" s="4" t="n">
        <v>46314.24592136479</v>
      </c>
      <c r="F77" t="b">
        <v>1</v>
      </c>
      <c r="G77" t="n">
        <v/>
      </c>
      <c r="H77" t="inlineStr">
        <is>
          <t>BEN</t>
        </is>
      </c>
      <c r="I77" t="inlineStr">
        <is>
          <t>Bendigo and Adelaide Bank Ltd</t>
        </is>
      </c>
      <c r="J77" t="inlineStr">
        <is>
          <t>AUD</t>
        </is>
      </c>
      <c r="K77" s="5" t="inlineStr">
        <is>
          <t>01a152b9-6ee2-7577-bddd-382bc3853fde</t>
        </is>
      </c>
      <c r="M77" t="inlineStr">
        <is>
          <t>UNKNOWN</t>
        </is>
      </c>
      <c r="N77" t="inlineStr">
        <is>
          <t>DEFAULT</t>
        </is>
      </c>
      <c r="Q77" t="n">
        <v>0</v>
      </c>
      <c r="R77" t="inlineStr">
        <is>
          <t>AUD</t>
        </is>
      </c>
      <c r="S77" t="n">
        <v>0</v>
      </c>
      <c r="T77" t="inlineStr">
        <is>
          <t>AUD</t>
        </is>
      </c>
      <c r="U77" t="n">
        <v>0</v>
      </c>
    </row>
    <row r="78">
      <c r="A78" s="5" t="inlineStr">
        <is>
          <t>01a152b9-7279-7107-9903-a69300bc6720</t>
        </is>
      </c>
      <c r="C78" s="5" t="inlineStr">
        <is>
          <t>01a152b9-6e67-75da-8adb-b03e5d07fd21</t>
        </is>
      </c>
      <c r="D78" s="4" t="n">
        <v>46314.24592140221</v>
      </c>
      <c r="E78" s="4" t="n">
        <v>46314.24592140232</v>
      </c>
      <c r="F78" t="b">
        <v>1</v>
      </c>
      <c r="G78" t="n">
        <v/>
      </c>
      <c r="H78" t="inlineStr">
        <is>
          <t>NWL</t>
        </is>
      </c>
      <c r="I78" t="inlineStr">
        <is>
          <t>Netwealth Group Ltd</t>
        </is>
      </c>
      <c r="J78" t="inlineStr">
        <is>
          <t>AUD</t>
        </is>
      </c>
      <c r="K78" s="5" t="inlineStr">
        <is>
          <t>01a152b9-6ee2-7577-bddd-382bc3853fde</t>
        </is>
      </c>
      <c r="M78" t="inlineStr">
        <is>
          <t>UNKNOWN</t>
        </is>
      </c>
      <c r="N78" t="inlineStr">
        <is>
          <t>DEFAULT</t>
        </is>
      </c>
      <c r="Q78" t="n">
        <v>0</v>
      </c>
      <c r="R78" t="inlineStr">
        <is>
          <t>AUD</t>
        </is>
      </c>
      <c r="S78" t="n">
        <v>0</v>
      </c>
      <c r="T78" t="inlineStr">
        <is>
          <t>AUD</t>
        </is>
      </c>
      <c r="U78" t="n">
        <v>0</v>
      </c>
    </row>
    <row r="79">
      <c r="A79" s="5" t="inlineStr">
        <is>
          <t>01a152b9-727c-71b7-9650-ea196407d0f1</t>
        </is>
      </c>
      <c r="C79" s="5" t="inlineStr">
        <is>
          <t>01a152b9-6e67-75da-8adb-b03e5d07fd21</t>
        </is>
      </c>
      <c r="D79" s="4" t="n">
        <v>46314.24592143953</v>
      </c>
      <c r="E79" s="4" t="n">
        <v>46314.24592143965</v>
      </c>
      <c r="F79" t="b">
        <v>1</v>
      </c>
      <c r="G79" t="n">
        <v/>
      </c>
      <c r="H79" t="inlineStr">
        <is>
          <t>EDV</t>
        </is>
      </c>
      <c r="I79" t="inlineStr">
        <is>
          <t>Endeavour Group Ltd</t>
        </is>
      </c>
      <c r="J79" t="inlineStr">
        <is>
          <t>AUD</t>
        </is>
      </c>
      <c r="K79" s="5" t="inlineStr">
        <is>
          <t>01a152b9-6ee2-7577-bddd-382bc3853fde</t>
        </is>
      </c>
      <c r="M79" t="inlineStr">
        <is>
          <t>UNKNOWN</t>
        </is>
      </c>
      <c r="N79" t="inlineStr">
        <is>
          <t>DEFAULT</t>
        </is>
      </c>
      <c r="Q79" t="n">
        <v>0</v>
      </c>
      <c r="R79" t="inlineStr">
        <is>
          <t>AUD</t>
        </is>
      </c>
      <c r="S79" t="n">
        <v>0</v>
      </c>
      <c r="T79" t="inlineStr">
        <is>
          <t>AUD</t>
        </is>
      </c>
      <c r="U79" t="n">
        <v>0</v>
      </c>
    </row>
    <row r="80">
      <c r="A80" s="5" t="inlineStr">
        <is>
          <t>01a152b9-727f-7044-87a2-aaff247db115</t>
        </is>
      </c>
      <c r="C80" s="5" t="inlineStr">
        <is>
          <t>01a152b9-6e67-75da-8adb-b03e5d07fd21</t>
        </is>
      </c>
      <c r="D80" s="4" t="n">
        <v>46314.2459214781</v>
      </c>
      <c r="E80" s="4" t="n">
        <v>46314.24592147823</v>
      </c>
      <c r="F80" t="b">
        <v>1</v>
      </c>
      <c r="G80" t="n">
        <v/>
      </c>
      <c r="H80" t="inlineStr">
        <is>
          <t>DXS</t>
        </is>
      </c>
      <c r="I80" t="inlineStr">
        <is>
          <t>Dexus</t>
        </is>
      </c>
      <c r="J80" t="inlineStr">
        <is>
          <t>AUD</t>
        </is>
      </c>
      <c r="K80" s="5" t="inlineStr">
        <is>
          <t>01a152b9-6ee2-7577-bddd-382bc3853fde</t>
        </is>
      </c>
      <c r="M80" t="inlineStr">
        <is>
          <t>STAPLED</t>
        </is>
      </c>
      <c r="N80" t="inlineStr">
        <is>
          <t>SUGGESTED</t>
        </is>
      </c>
      <c r="Q80" t="n">
        <v>0</v>
      </c>
      <c r="R80" t="inlineStr">
        <is>
          <t>AUD</t>
        </is>
      </c>
      <c r="S80" t="n">
        <v>0</v>
      </c>
      <c r="T80" t="inlineStr">
        <is>
          <t>AUD</t>
        </is>
      </c>
      <c r="U80" t="n">
        <v>0</v>
      </c>
    </row>
    <row r="81">
      <c r="A81" s="5" t="inlineStr">
        <is>
          <t>01a152b9-7283-77cc-869f-eb44a78a8c3c</t>
        </is>
      </c>
      <c r="C81" s="5" t="inlineStr">
        <is>
          <t>01a152b9-6e67-75da-8adb-b03e5d07fd21</t>
        </is>
      </c>
      <c r="D81" s="4" t="n">
        <v>46314.24592152789</v>
      </c>
      <c r="E81" s="4" t="n">
        <v>46314.24592152802</v>
      </c>
      <c r="F81" t="b">
        <v>1</v>
      </c>
      <c r="G81" t="n">
        <v/>
      </c>
      <c r="H81" t="inlineStr">
        <is>
          <t>CHC</t>
        </is>
      </c>
      <c r="I81" t="inlineStr">
        <is>
          <t>Charter Hall Group</t>
        </is>
      </c>
      <c r="J81" t="inlineStr">
        <is>
          <t>AUD</t>
        </is>
      </c>
      <c r="K81" s="5" t="inlineStr">
        <is>
          <t>01a152b9-6ee2-7577-bddd-382bc3853fde</t>
        </is>
      </c>
      <c r="M81" t="inlineStr">
        <is>
          <t>STAPLED</t>
        </is>
      </c>
      <c r="N81" t="inlineStr">
        <is>
          <t>SUGGESTED</t>
        </is>
      </c>
      <c r="Q81" t="n">
        <v>0</v>
      </c>
      <c r="R81" t="inlineStr">
        <is>
          <t>AUD</t>
        </is>
      </c>
      <c r="S81" t="n">
        <v>0</v>
      </c>
      <c r="T81" t="inlineStr">
        <is>
          <t>AUD</t>
        </is>
      </c>
      <c r="U81" t="n">
        <v>0</v>
      </c>
    </row>
    <row r="82">
      <c r="A82" s="5" t="inlineStr">
        <is>
          <t>01a152b9-7287-707d-801c-b69a91978552</t>
        </is>
      </c>
      <c r="C82" s="5" t="inlineStr">
        <is>
          <t>01a152b9-6e67-75da-8adb-b03e5d07fd21</t>
        </is>
      </c>
      <c r="D82" s="4" t="n">
        <v>46314.24592156868</v>
      </c>
      <c r="E82" s="4" t="n">
        <v>46314.2459215688</v>
      </c>
      <c r="F82" t="b">
        <v>1</v>
      </c>
      <c r="G82" t="n">
        <v/>
      </c>
      <c r="H82" t="inlineStr">
        <is>
          <t>ALX</t>
        </is>
      </c>
      <c r="I82" t="inlineStr">
        <is>
          <t>Atlas Arteria</t>
        </is>
      </c>
      <c r="J82" t="inlineStr">
        <is>
          <t>AUD</t>
        </is>
      </c>
      <c r="K82" s="5" t="inlineStr">
        <is>
          <t>01a152b9-6ee2-7577-bddd-382bc3853fde</t>
        </is>
      </c>
      <c r="M82" t="inlineStr">
        <is>
          <t>UNKNOWN</t>
        </is>
      </c>
      <c r="N82" t="inlineStr">
        <is>
          <t>DEFAULT</t>
        </is>
      </c>
      <c r="Q82" t="n">
        <v>0</v>
      </c>
      <c r="R82" t="inlineStr">
        <is>
          <t>AUD</t>
        </is>
      </c>
      <c r="S82" t="n">
        <v>0</v>
      </c>
      <c r="T82" t="inlineStr">
        <is>
          <t>AUD</t>
        </is>
      </c>
      <c r="U82" t="n">
        <v>0</v>
      </c>
    </row>
    <row r="83">
      <c r="A83" s="5" t="inlineStr">
        <is>
          <t>01a152b9-728b-7789-8605-8d3bfcf713fd</t>
        </is>
      </c>
      <c r="C83" s="5" t="inlineStr">
        <is>
          <t>01a152b9-6e67-75da-8adb-b03e5d07fd21</t>
        </is>
      </c>
      <c r="D83" s="4" t="n">
        <v>46314.24592161839</v>
      </c>
      <c r="E83" s="4" t="n">
        <v>46314.24592161853</v>
      </c>
      <c r="F83" t="b">
        <v>1</v>
      </c>
      <c r="G83" t="n">
        <v/>
      </c>
      <c r="H83" t="inlineStr">
        <is>
          <t>QUAL</t>
        </is>
      </c>
      <c r="I83" t="inlineStr">
        <is>
          <t>Vaneck MSCI International Quality ETF</t>
        </is>
      </c>
      <c r="J83" t="inlineStr">
        <is>
          <t>AUD</t>
        </is>
      </c>
      <c r="K83" s="5" t="inlineStr">
        <is>
          <t>01a152b9-6ee2-7577-bddd-382bc3853fde</t>
        </is>
      </c>
      <c r="M83" t="inlineStr">
        <is>
          <t>UNIT_TRUST</t>
        </is>
      </c>
      <c r="N83" t="inlineStr">
        <is>
          <t>SUGGESTED</t>
        </is>
      </c>
      <c r="Q83" t="n">
        <v>0</v>
      </c>
      <c r="R83" t="inlineStr">
        <is>
          <t>AUD</t>
        </is>
      </c>
      <c r="S83" t="n">
        <v>0</v>
      </c>
      <c r="T83" t="inlineStr">
        <is>
          <t>AUD</t>
        </is>
      </c>
      <c r="U83" t="n">
        <v>0</v>
      </c>
    </row>
    <row r="84">
      <c r="A84" s="5" t="inlineStr">
        <is>
          <t>01a152b9-7290-749e-88ce-23424d96c118</t>
        </is>
      </c>
      <c r="C84" s="5" t="inlineStr">
        <is>
          <t>01a152b9-6e67-75da-8adb-b03e5d07fd21</t>
        </is>
      </c>
      <c r="D84" s="4" t="n">
        <v>46314.24592167106</v>
      </c>
      <c r="E84" s="4" t="n">
        <v>46314.24592167118</v>
      </c>
      <c r="F84" t="b">
        <v>1</v>
      </c>
      <c r="G84" t="n">
        <v/>
      </c>
      <c r="H84" t="inlineStr">
        <is>
          <t>QUB</t>
        </is>
      </c>
      <c r="I84" t="inlineStr">
        <is>
          <t>QUBE Holdings Ltd</t>
        </is>
      </c>
      <c r="J84" t="inlineStr">
        <is>
          <t>AUD</t>
        </is>
      </c>
      <c r="K84" s="5" t="inlineStr">
        <is>
          <t>01a152b9-6ee2-7577-bddd-382bc3853fde</t>
        </is>
      </c>
      <c r="M84" t="inlineStr">
        <is>
          <t>UNKNOWN</t>
        </is>
      </c>
      <c r="N84" t="inlineStr">
        <is>
          <t>DEFAULT</t>
        </is>
      </c>
      <c r="Q84" t="n">
        <v>0</v>
      </c>
      <c r="R84" t="inlineStr">
        <is>
          <t>AUD</t>
        </is>
      </c>
      <c r="S84" t="n">
        <v>0</v>
      </c>
      <c r="T84" t="inlineStr">
        <is>
          <t>AUD</t>
        </is>
      </c>
      <c r="U84" t="n">
        <v>0</v>
      </c>
    </row>
    <row r="85">
      <c r="A85" s="5" t="inlineStr">
        <is>
          <t>01a152b9-7293-76bb-b3ef-36ecaa51e35b</t>
        </is>
      </c>
      <c r="C85" s="5" t="inlineStr">
        <is>
          <t>01a152b9-6e67-75da-8adb-b03e5d07fd21</t>
        </is>
      </c>
      <c r="D85" s="4" t="n">
        <v>46314.24592171062</v>
      </c>
      <c r="E85" s="4" t="n">
        <v>46314.24592171073</v>
      </c>
      <c r="F85" t="b">
        <v>1</v>
      </c>
      <c r="G85" t="n">
        <v/>
      </c>
      <c r="H85" t="inlineStr">
        <is>
          <t>ALD</t>
        </is>
      </c>
      <c r="I85" t="inlineStr">
        <is>
          <t>Ampol Ltd</t>
        </is>
      </c>
      <c r="J85" t="inlineStr">
        <is>
          <t>AUD</t>
        </is>
      </c>
      <c r="K85" s="5" t="inlineStr">
        <is>
          <t>01a152b9-6ee2-7577-bddd-382bc3853fde</t>
        </is>
      </c>
      <c r="M85" t="inlineStr">
        <is>
          <t>UNKNOWN</t>
        </is>
      </c>
      <c r="N85" t="inlineStr">
        <is>
          <t>DEFAULT</t>
        </is>
      </c>
      <c r="Q85" t="n">
        <v>0</v>
      </c>
      <c r="R85" t="inlineStr">
        <is>
          <t>AUD</t>
        </is>
      </c>
      <c r="S85" t="n">
        <v>0</v>
      </c>
      <c r="T85" t="inlineStr">
        <is>
          <t>AUD</t>
        </is>
      </c>
      <c r="U85" t="n">
        <v>0</v>
      </c>
    </row>
    <row r="86">
      <c r="A86" s="5" t="inlineStr">
        <is>
          <t>01a152b9-7297-73d1-9c1d-c16d196195db</t>
        </is>
      </c>
      <c r="C86" s="5" t="inlineStr">
        <is>
          <t>01a152b9-6e67-75da-8adb-b03e5d07fd21</t>
        </is>
      </c>
      <c r="D86" s="4" t="n">
        <v>46314.24592175301</v>
      </c>
      <c r="E86" s="4" t="n">
        <v>46314.24592175311</v>
      </c>
      <c r="F86" t="b">
        <v>1</v>
      </c>
      <c r="G86" t="n">
        <v/>
      </c>
      <c r="H86" t="inlineStr">
        <is>
          <t>MIN</t>
        </is>
      </c>
      <c r="I86" t="inlineStr">
        <is>
          <t>Mineral Resources Ltd</t>
        </is>
      </c>
      <c r="J86" t="inlineStr">
        <is>
          <t>AUD</t>
        </is>
      </c>
      <c r="K86" s="5" t="inlineStr">
        <is>
          <t>01a152b9-6ee2-7577-bddd-382bc3853fde</t>
        </is>
      </c>
      <c r="M86" t="inlineStr">
        <is>
          <t>UNKNOWN</t>
        </is>
      </c>
      <c r="N86" t="inlineStr">
        <is>
          <t>DEFAULT</t>
        </is>
      </c>
      <c r="Q86" t="n">
        <v>0</v>
      </c>
      <c r="R86" t="inlineStr">
        <is>
          <t>AUD</t>
        </is>
      </c>
      <c r="S86" t="n">
        <v>0</v>
      </c>
      <c r="T86" t="inlineStr">
        <is>
          <t>AUD</t>
        </is>
      </c>
      <c r="U86" t="n">
        <v>0</v>
      </c>
    </row>
    <row r="87">
      <c r="A87" s="5" t="inlineStr">
        <is>
          <t>01a152b9-729a-777f-81a4-f3581fc15969</t>
        </is>
      </c>
      <c r="C87" s="5" t="inlineStr">
        <is>
          <t>01a152b9-6e67-75da-8adb-b03e5d07fd21</t>
        </is>
      </c>
      <c r="D87" s="4" t="n">
        <v>46314.24592179056</v>
      </c>
      <c r="E87" s="4" t="n">
        <v>46314.24592179066</v>
      </c>
      <c r="F87" t="b">
        <v>1</v>
      </c>
      <c r="G87" t="n">
        <v/>
      </c>
      <c r="H87" t="inlineStr">
        <is>
          <t>XYZ</t>
        </is>
      </c>
      <c r="I87" t="inlineStr">
        <is>
          <t>Block, Inc</t>
        </is>
      </c>
      <c r="J87" t="inlineStr">
        <is>
          <t>AUD</t>
        </is>
      </c>
      <c r="K87" s="5" t="inlineStr">
        <is>
          <t>01a152b9-6ee2-7577-bddd-382bc3853fde</t>
        </is>
      </c>
      <c r="M87" t="inlineStr">
        <is>
          <t>UNKNOWN</t>
        </is>
      </c>
      <c r="N87" t="inlineStr">
        <is>
          <t>DEFAULT</t>
        </is>
      </c>
      <c r="Q87" t="n">
        <v>0</v>
      </c>
      <c r="R87" t="inlineStr">
        <is>
          <t>AUD</t>
        </is>
      </c>
      <c r="S87" t="n">
        <v>0</v>
      </c>
      <c r="T87" t="inlineStr">
        <is>
          <t>AUD</t>
        </is>
      </c>
      <c r="U87" t="n">
        <v>0</v>
      </c>
    </row>
    <row r="88">
      <c r="A88" s="5" t="inlineStr">
        <is>
          <t>01a152b9-729d-714f-89c5-bb98cab30be3</t>
        </is>
      </c>
      <c r="C88" s="5" t="inlineStr">
        <is>
          <t>01a152b9-6e67-75da-8adb-b03e5d07fd21</t>
        </is>
      </c>
      <c r="D88" s="4" t="n">
        <v>46314.24592182641</v>
      </c>
      <c r="E88" s="4" t="n">
        <v>46314.24592182651</v>
      </c>
      <c r="F88" t="b">
        <v>1</v>
      </c>
      <c r="G88" t="n">
        <v/>
      </c>
      <c r="H88" t="inlineStr">
        <is>
          <t>PLS</t>
        </is>
      </c>
      <c r="I88" t="inlineStr">
        <is>
          <t>Pilbara Minerals Ltd</t>
        </is>
      </c>
      <c r="J88" t="inlineStr">
        <is>
          <t>AUD</t>
        </is>
      </c>
      <c r="K88" s="5" t="inlineStr">
        <is>
          <t>01a152b9-6ee2-7577-bddd-382bc3853fde</t>
        </is>
      </c>
      <c r="M88" t="inlineStr">
        <is>
          <t>UNKNOWN</t>
        </is>
      </c>
      <c r="N88" t="inlineStr">
        <is>
          <t>DEFAULT</t>
        </is>
      </c>
      <c r="Q88" t="n">
        <v>0</v>
      </c>
      <c r="R88" t="inlineStr">
        <is>
          <t>AUD</t>
        </is>
      </c>
      <c r="S88" t="n">
        <v>0</v>
      </c>
      <c r="T88" t="inlineStr">
        <is>
          <t>AUD</t>
        </is>
      </c>
      <c r="U88" t="n">
        <v>0</v>
      </c>
    </row>
    <row r="89">
      <c r="A89" s="5" t="inlineStr">
        <is>
          <t>01a152b9-72a1-7235-89ec-666b7a4712aa</t>
        </is>
      </c>
      <c r="C89" s="5" t="inlineStr">
        <is>
          <t>01a152b9-6e67-75da-8adb-b03e5d07fd21</t>
        </is>
      </c>
      <c r="D89" s="4" t="n">
        <v>46314.24592186615</v>
      </c>
      <c r="E89" s="4" t="n">
        <v>46314.24592186625</v>
      </c>
      <c r="F89" t="b">
        <v>1</v>
      </c>
      <c r="G89" t="n">
        <v/>
      </c>
      <c r="H89" t="inlineStr">
        <is>
          <t>ARG</t>
        </is>
      </c>
      <c r="I89" t="inlineStr">
        <is>
          <t>Argo Investments Ltd</t>
        </is>
      </c>
      <c r="J89" t="inlineStr">
        <is>
          <t>AUD</t>
        </is>
      </c>
      <c r="K89" s="5" t="inlineStr">
        <is>
          <t>01a152b9-6ee2-7577-bddd-382bc3853fde</t>
        </is>
      </c>
      <c r="M89" t="inlineStr">
        <is>
          <t>COMPANY</t>
        </is>
      </c>
      <c r="N89" t="inlineStr">
        <is>
          <t>SUGGESTED</t>
        </is>
      </c>
      <c r="Q89" t="n">
        <v>0</v>
      </c>
      <c r="R89" t="inlineStr">
        <is>
          <t>AUD</t>
        </is>
      </c>
      <c r="S89" t="n">
        <v>0</v>
      </c>
      <c r="T89" t="inlineStr">
        <is>
          <t>AUD</t>
        </is>
      </c>
      <c r="U89" t="n">
        <v>0</v>
      </c>
    </row>
    <row r="90">
      <c r="A90" s="5" t="inlineStr">
        <is>
          <t>01a152b9-72a5-71cf-a3da-45a2766b6074</t>
        </is>
      </c>
      <c r="C90" s="5" t="inlineStr">
        <is>
          <t>01a152b9-6e67-75da-8adb-b03e5d07fd21</t>
        </is>
      </c>
      <c r="D90" s="4" t="n">
        <v>46314.24592191234</v>
      </c>
      <c r="E90" s="4" t="n">
        <v>46314.24592191244</v>
      </c>
      <c r="F90" t="b">
        <v>1</v>
      </c>
      <c r="G90" t="n">
        <v/>
      </c>
      <c r="H90" t="inlineStr">
        <is>
          <t>MEZ</t>
        </is>
      </c>
      <c r="I90" t="inlineStr">
        <is>
          <t>Meridian Energy Ltd</t>
        </is>
      </c>
      <c r="J90" t="inlineStr">
        <is>
          <t>AUD</t>
        </is>
      </c>
      <c r="K90" s="5" t="inlineStr">
        <is>
          <t>01a152b9-6ee2-7577-bddd-382bc3853fde</t>
        </is>
      </c>
      <c r="M90" t="inlineStr">
        <is>
          <t>UNKNOWN</t>
        </is>
      </c>
      <c r="N90" t="inlineStr">
        <is>
          <t>DEFAULT</t>
        </is>
      </c>
      <c r="Q90" t="n">
        <v>0</v>
      </c>
      <c r="R90" t="inlineStr">
        <is>
          <t>AUD</t>
        </is>
      </c>
      <c r="S90" t="n">
        <v>0</v>
      </c>
      <c r="T90" t="inlineStr">
        <is>
          <t>AUD</t>
        </is>
      </c>
      <c r="U90" t="n">
        <v>0</v>
      </c>
    </row>
    <row r="91">
      <c r="A91" s="5" t="inlineStr">
        <is>
          <t>01a152b9-72a8-743c-86df-cdb559aae7a3</t>
        </is>
      </c>
      <c r="C91" s="5" t="inlineStr">
        <is>
          <t>01a152b9-6e67-75da-8adb-b03e5d07fd21</t>
        </is>
      </c>
      <c r="D91" s="4" t="n">
        <v>46314.24592195192</v>
      </c>
      <c r="E91" s="4" t="n">
        <v>46314.24592195202</v>
      </c>
      <c r="F91" t="b">
        <v>1</v>
      </c>
      <c r="G91" t="n">
        <v/>
      </c>
      <c r="H91" t="inlineStr">
        <is>
          <t>EBO</t>
        </is>
      </c>
      <c r="I91" t="inlineStr">
        <is>
          <t>Ebos Group Ltd</t>
        </is>
      </c>
      <c r="J91" t="inlineStr">
        <is>
          <t>AUD</t>
        </is>
      </c>
      <c r="K91" s="5" t="inlineStr">
        <is>
          <t>01a152b9-6ee2-7577-bddd-382bc3853fde</t>
        </is>
      </c>
      <c r="M91" t="inlineStr">
        <is>
          <t>UNKNOWN</t>
        </is>
      </c>
      <c r="N91" t="inlineStr">
        <is>
          <t>DEFAULT</t>
        </is>
      </c>
      <c r="Q91" t="n">
        <v>0</v>
      </c>
      <c r="R91" t="inlineStr">
        <is>
          <t>AUD</t>
        </is>
      </c>
      <c r="S91" t="n">
        <v>0</v>
      </c>
      <c r="T91" t="inlineStr">
        <is>
          <t>AUD</t>
        </is>
      </c>
      <c r="U91" t="n">
        <v>0</v>
      </c>
    </row>
    <row r="92">
      <c r="A92" s="5" t="inlineStr">
        <is>
          <t>01a152b9-72ab-74e2-8277-eaa286be53e2</t>
        </is>
      </c>
      <c r="C92" s="5" t="inlineStr">
        <is>
          <t>01a152b9-6e67-75da-8adb-b03e5d07fd21</t>
        </is>
      </c>
      <c r="D92" s="4" t="n">
        <v>46314.24592198776</v>
      </c>
      <c r="E92" s="4" t="n">
        <v>46314.24592198786</v>
      </c>
      <c r="F92" t="b">
        <v>1</v>
      </c>
      <c r="G92" t="n">
        <v/>
      </c>
      <c r="H92" t="inlineStr">
        <is>
          <t>IOZ</t>
        </is>
      </c>
      <c r="I92" t="inlineStr">
        <is>
          <t>Ishares Core S&amp;P/ASX 200 ETF</t>
        </is>
      </c>
      <c r="J92" t="inlineStr">
        <is>
          <t>AUD</t>
        </is>
      </c>
      <c r="K92" s="5" t="inlineStr">
        <is>
          <t>01a152b9-6ee2-7577-bddd-382bc3853fde</t>
        </is>
      </c>
      <c r="M92" t="inlineStr">
        <is>
          <t>UNIT_TRUST</t>
        </is>
      </c>
      <c r="N92" t="inlineStr">
        <is>
          <t>SUGGESTED</t>
        </is>
      </c>
      <c r="Q92" t="n">
        <v>0</v>
      </c>
      <c r="R92" t="inlineStr">
        <is>
          <t>AUD</t>
        </is>
      </c>
      <c r="S92" t="n">
        <v>0</v>
      </c>
      <c r="T92" t="inlineStr">
        <is>
          <t>AUD</t>
        </is>
      </c>
      <c r="U92" t="n">
        <v>0</v>
      </c>
    </row>
    <row r="93">
      <c r="A93" s="5" t="inlineStr">
        <is>
          <t>01a152b9-72af-742a-b803-56aaa682c2be</t>
        </is>
      </c>
      <c r="C93" s="5" t="inlineStr">
        <is>
          <t>01a152b9-6e67-75da-8adb-b03e5d07fd21</t>
        </is>
      </c>
      <c r="D93" s="4" t="n">
        <v>46314.24592203043</v>
      </c>
      <c r="E93" s="4" t="n">
        <v>46314.24592203053</v>
      </c>
      <c r="F93" t="b">
        <v>1</v>
      </c>
      <c r="G93" t="n">
        <v/>
      </c>
      <c r="H93" t="inlineStr">
        <is>
          <t>A200</t>
        </is>
      </c>
      <c r="I93" t="inlineStr">
        <is>
          <t>Betashares Australia 200 ETF</t>
        </is>
      </c>
      <c r="J93" t="inlineStr">
        <is>
          <t>AUD</t>
        </is>
      </c>
      <c r="K93" s="5" t="inlineStr">
        <is>
          <t>01a152b9-6ee2-7577-bddd-382bc3853fde</t>
        </is>
      </c>
      <c r="M93" t="inlineStr">
        <is>
          <t>UNIT_TRUST</t>
        </is>
      </c>
      <c r="N93" t="inlineStr">
        <is>
          <t>SUGGESTED</t>
        </is>
      </c>
      <c r="Q93" t="n">
        <v>0</v>
      </c>
      <c r="R93" t="inlineStr">
        <is>
          <t>AUD</t>
        </is>
      </c>
      <c r="S93" t="n">
        <v>0</v>
      </c>
      <c r="T93" t="inlineStr">
        <is>
          <t>AUD</t>
        </is>
      </c>
      <c r="U93" t="n">
        <v>0</v>
      </c>
    </row>
    <row r="94">
      <c r="A94" s="5" t="inlineStr">
        <is>
          <t>01a152b9-72b2-75af-9f17-12379fe47ad8</t>
        </is>
      </c>
      <c r="C94" s="5" t="inlineStr">
        <is>
          <t>01a152b9-6e67-75da-8adb-b03e5d07fd21</t>
        </is>
      </c>
      <c r="D94" s="4" t="n">
        <v>46314.24592207118</v>
      </c>
      <c r="E94" s="4" t="n">
        <v>46314.24592207127</v>
      </c>
      <c r="F94" t="b">
        <v>1</v>
      </c>
      <c r="G94" t="n">
        <v/>
      </c>
      <c r="H94" t="inlineStr">
        <is>
          <t>SDF</t>
        </is>
      </c>
      <c r="I94" t="inlineStr">
        <is>
          <t>Steadfast Group Ltd</t>
        </is>
      </c>
      <c r="J94" t="inlineStr">
        <is>
          <t>AUD</t>
        </is>
      </c>
      <c r="K94" s="5" t="inlineStr">
        <is>
          <t>01a152b9-6ee2-7577-bddd-382bc3853fde</t>
        </is>
      </c>
      <c r="M94" t="inlineStr">
        <is>
          <t>UNKNOWN</t>
        </is>
      </c>
      <c r="N94" t="inlineStr">
        <is>
          <t>DEFAULT</t>
        </is>
      </c>
      <c r="Q94" t="n">
        <v>0</v>
      </c>
      <c r="R94" t="inlineStr">
        <is>
          <t>AUD</t>
        </is>
      </c>
      <c r="S94" t="n">
        <v>0</v>
      </c>
      <c r="T94" t="inlineStr">
        <is>
          <t>AUD</t>
        </is>
      </c>
      <c r="U94" t="n">
        <v>0</v>
      </c>
    </row>
    <row r="95">
      <c r="A95" s="5" t="inlineStr">
        <is>
          <t>01a152b9-72b6-766c-9f93-393d15428934</t>
        </is>
      </c>
      <c r="C95" s="5" t="inlineStr">
        <is>
          <t>01a152b9-6e67-75da-8adb-b03e5d07fd21</t>
        </is>
      </c>
      <c r="D95" s="4" t="n">
        <v>46314.24592211711</v>
      </c>
      <c r="E95" s="4" t="n">
        <v>46314.24592211722</v>
      </c>
      <c r="F95" t="b">
        <v>1</v>
      </c>
      <c r="G95" t="n">
        <v/>
      </c>
      <c r="H95" t="inlineStr">
        <is>
          <t>HUB</t>
        </is>
      </c>
      <c r="I95" t="inlineStr">
        <is>
          <t>HUB24 Ltd</t>
        </is>
      </c>
      <c r="J95" t="inlineStr">
        <is>
          <t>AUD</t>
        </is>
      </c>
      <c r="K95" s="5" t="inlineStr">
        <is>
          <t>01a152b9-6ee2-7577-bddd-382bc3853fde</t>
        </is>
      </c>
      <c r="M95" t="inlineStr">
        <is>
          <t>UNKNOWN</t>
        </is>
      </c>
      <c r="N95" t="inlineStr">
        <is>
          <t>DEFAULT</t>
        </is>
      </c>
      <c r="Q95" t="n">
        <v>0</v>
      </c>
      <c r="R95" t="inlineStr">
        <is>
          <t>AUD</t>
        </is>
      </c>
      <c r="S95" t="n">
        <v>0</v>
      </c>
      <c r="T95" t="inlineStr">
        <is>
          <t>AUD</t>
        </is>
      </c>
      <c r="U95" t="n">
        <v>0</v>
      </c>
    </row>
    <row r="96">
      <c r="A96" s="5" t="inlineStr">
        <is>
          <t>01a152b9-72ba-73ec-a889-7f4b492c423b</t>
        </is>
      </c>
      <c r="C96" s="5" t="inlineStr">
        <is>
          <t>01a152b9-6e67-75da-8adb-b03e5d07fd21</t>
        </is>
      </c>
      <c r="D96" s="4" t="n">
        <v>46314.24592215927</v>
      </c>
      <c r="E96" s="4" t="n">
        <v>46314.24592215937</v>
      </c>
      <c r="F96" t="b">
        <v>1</v>
      </c>
      <c r="G96" t="n">
        <v/>
      </c>
      <c r="H96" t="inlineStr">
        <is>
          <t>CWY</t>
        </is>
      </c>
      <c r="I96" t="inlineStr">
        <is>
          <t>Cleanaway Waste Management Ltd</t>
        </is>
      </c>
      <c r="J96" t="inlineStr">
        <is>
          <t>AUD</t>
        </is>
      </c>
      <c r="K96" s="5" t="inlineStr">
        <is>
          <t>01a152b9-6ee2-7577-bddd-382bc3853fde</t>
        </is>
      </c>
      <c r="M96" t="inlineStr">
        <is>
          <t>UNKNOWN</t>
        </is>
      </c>
      <c r="N96" t="inlineStr">
        <is>
          <t>DEFAULT</t>
        </is>
      </c>
      <c r="Q96" t="n">
        <v>0</v>
      </c>
      <c r="R96" t="inlineStr">
        <is>
          <t>AUD</t>
        </is>
      </c>
      <c r="S96" t="n">
        <v>0</v>
      </c>
      <c r="T96" t="inlineStr">
        <is>
          <t>AUD</t>
        </is>
      </c>
      <c r="U96" t="n">
        <v>0</v>
      </c>
    </row>
    <row r="97">
      <c r="A97" s="5" t="inlineStr">
        <is>
          <t>01a152b9-72be-778f-b564-6cb72f1370b5</t>
        </is>
      </c>
      <c r="C97" s="5" t="inlineStr">
        <is>
          <t>01a152b9-6e67-75da-8adb-b03e5d07fd21</t>
        </is>
      </c>
      <c r="D97" s="4" t="n">
        <v>46314.24592220865</v>
      </c>
      <c r="E97" s="4" t="n">
        <v>46314.24592220875</v>
      </c>
      <c r="F97" t="b">
        <v>1</v>
      </c>
      <c r="G97" t="n">
        <v/>
      </c>
      <c r="H97" t="inlineStr">
        <is>
          <t>HVN</t>
        </is>
      </c>
      <c r="I97" t="inlineStr">
        <is>
          <t>Harvey Norman Holdings Ltd</t>
        </is>
      </c>
      <c r="J97" t="inlineStr">
        <is>
          <t>AUD</t>
        </is>
      </c>
      <c r="K97" s="5" t="inlineStr">
        <is>
          <t>01a152b9-6ee2-7577-bddd-382bc3853fde</t>
        </is>
      </c>
      <c r="M97" t="inlineStr">
        <is>
          <t>UNKNOWN</t>
        </is>
      </c>
      <c r="N97" t="inlineStr">
        <is>
          <t>DEFAULT</t>
        </is>
      </c>
      <c r="Q97" t="n">
        <v>0</v>
      </c>
      <c r="R97" t="inlineStr">
        <is>
          <t>AUD</t>
        </is>
      </c>
      <c r="S97" t="n">
        <v>0</v>
      </c>
      <c r="T97" t="inlineStr">
        <is>
          <t>AUD</t>
        </is>
      </c>
      <c r="U97" t="n">
        <v>0</v>
      </c>
    </row>
    <row r="98">
      <c r="A98" s="5" t="inlineStr">
        <is>
          <t>01a152b9-72c1-71ee-9ea4-771ceb8cf4af</t>
        </is>
      </c>
      <c r="C98" s="5" t="inlineStr">
        <is>
          <t>01a152b9-6e67-75da-8adb-b03e5d07fd21</t>
        </is>
      </c>
      <c r="D98" s="4" t="n">
        <v>46314.24592224355</v>
      </c>
      <c r="E98" s="4" t="n">
        <v>46314.24592224364</v>
      </c>
      <c r="F98" t="b">
        <v>1</v>
      </c>
      <c r="G98" t="n">
        <v/>
      </c>
      <c r="H98" t="inlineStr">
        <is>
          <t>NDQ</t>
        </is>
      </c>
      <c r="I98" t="inlineStr">
        <is>
          <t>Betashares Nasdaq 100 ETF</t>
        </is>
      </c>
      <c r="J98" t="inlineStr">
        <is>
          <t>AUD</t>
        </is>
      </c>
      <c r="K98" s="5" t="inlineStr">
        <is>
          <t>01a152b9-6ee2-7577-bddd-382bc3853fde</t>
        </is>
      </c>
      <c r="M98" t="inlineStr">
        <is>
          <t>UNIT_TRUST</t>
        </is>
      </c>
      <c r="N98" t="inlineStr">
        <is>
          <t>SUGGESTED</t>
        </is>
      </c>
      <c r="Q98" t="n">
        <v>0</v>
      </c>
      <c r="R98" t="inlineStr">
        <is>
          <t>AUD</t>
        </is>
      </c>
      <c r="S98" t="n">
        <v>0</v>
      </c>
      <c r="T98" t="inlineStr">
        <is>
          <t>AUD</t>
        </is>
      </c>
      <c r="U98" t="n">
        <v>0</v>
      </c>
    </row>
    <row r="99">
      <c r="A99" s="5" t="inlineStr">
        <is>
          <t>01a152b9-72c5-73b5-9b23-58716f80bc79</t>
        </is>
      </c>
      <c r="C99" s="5" t="inlineStr">
        <is>
          <t>01a152b9-6e67-75da-8adb-b03e5d07fd21</t>
        </is>
      </c>
      <c r="D99" s="4" t="n">
        <v>46314.24592228242</v>
      </c>
      <c r="E99" s="4" t="n">
        <v>46314.24592228251</v>
      </c>
      <c r="F99" t="b">
        <v>1</v>
      </c>
      <c r="G99" t="n">
        <v/>
      </c>
      <c r="H99" t="inlineStr">
        <is>
          <t>LYC</t>
        </is>
      </c>
      <c r="I99" t="inlineStr">
        <is>
          <t>Lynas Rare EARTHS Ltd</t>
        </is>
      </c>
      <c r="J99" t="inlineStr">
        <is>
          <t>AUD</t>
        </is>
      </c>
      <c r="K99" s="5" t="inlineStr">
        <is>
          <t>01a152b9-6ee2-7577-bddd-382bc3853fde</t>
        </is>
      </c>
      <c r="M99" t="inlineStr">
        <is>
          <t>UNKNOWN</t>
        </is>
      </c>
      <c r="N99" t="inlineStr">
        <is>
          <t>DEFAULT</t>
        </is>
      </c>
      <c r="Q99" t="n">
        <v>0</v>
      </c>
      <c r="R99" t="inlineStr">
        <is>
          <t>AUD</t>
        </is>
      </c>
      <c r="S99" t="n">
        <v>0</v>
      </c>
      <c r="T99" t="inlineStr">
        <is>
          <t>AUD</t>
        </is>
      </c>
      <c r="U99" t="n">
        <v>0</v>
      </c>
    </row>
    <row r="100">
      <c r="A100" s="5" t="inlineStr">
        <is>
          <t>01a152b9-72c9-7495-88b6-b7f5870a169d</t>
        </is>
      </c>
      <c r="C100" s="5" t="inlineStr">
        <is>
          <t>01a152b9-6e67-75da-8adb-b03e5d07fd21</t>
        </is>
      </c>
      <c r="D100" s="4" t="n">
        <v>46314.2459223304</v>
      </c>
      <c r="E100" s="4" t="n">
        <v>46314.2459223305</v>
      </c>
      <c r="F100" t="b">
        <v>1</v>
      </c>
      <c r="G100" t="n">
        <v/>
      </c>
      <c r="H100" t="inlineStr">
        <is>
          <t>GQG</t>
        </is>
      </c>
      <c r="I100" t="inlineStr">
        <is>
          <t>GQG Partners Inc</t>
        </is>
      </c>
      <c r="J100" t="inlineStr">
        <is>
          <t>AUD</t>
        </is>
      </c>
      <c r="K100" s="5" t="inlineStr">
        <is>
          <t>01a152b9-6ee2-7577-bddd-382bc3853fde</t>
        </is>
      </c>
      <c r="M100" t="inlineStr">
        <is>
          <t>UNKNOWN</t>
        </is>
      </c>
      <c r="N100" t="inlineStr">
        <is>
          <t>DEFAULT</t>
        </is>
      </c>
      <c r="Q100" t="n">
        <v>0</v>
      </c>
      <c r="R100" t="inlineStr">
        <is>
          <t>AUD</t>
        </is>
      </c>
      <c r="S100" t="n">
        <v>0</v>
      </c>
      <c r="T100" t="inlineStr">
        <is>
          <t>AUD</t>
        </is>
      </c>
      <c r="U100" t="n">
        <v>0</v>
      </c>
    </row>
    <row r="101">
      <c r="A101" s="5" t="inlineStr">
        <is>
          <t>01a152b9-72cd-7479-a19e-8fb584318bf1</t>
        </is>
      </c>
      <c r="C101" s="5" t="inlineStr">
        <is>
          <t>01a152b9-6e67-75da-8adb-b03e5d07fd21</t>
        </is>
      </c>
      <c r="D101" s="4" t="n">
        <v>46314.24592237661</v>
      </c>
      <c r="E101" s="4" t="n">
        <v>46314.2459223767</v>
      </c>
      <c r="F101" t="b">
        <v>1</v>
      </c>
      <c r="G101" t="n">
        <v/>
      </c>
      <c r="H101" t="inlineStr">
        <is>
          <t>PNI</t>
        </is>
      </c>
      <c r="I101" t="inlineStr">
        <is>
          <t>Pinnacle Investment Management Group Ltd</t>
        </is>
      </c>
      <c r="J101" t="inlineStr">
        <is>
          <t>AUD</t>
        </is>
      </c>
      <c r="K101" s="5" t="inlineStr">
        <is>
          <t>01a152b9-6ee2-7577-bddd-382bc3853fde</t>
        </is>
      </c>
      <c r="M101" t="inlineStr">
        <is>
          <t>UNKNOWN</t>
        </is>
      </c>
      <c r="N101" t="inlineStr">
        <is>
          <t>DEFAULT</t>
        </is>
      </c>
      <c r="Q101" t="n">
        <v>0</v>
      </c>
      <c r="R101" t="inlineStr">
        <is>
          <t>AUD</t>
        </is>
      </c>
      <c r="S101" t="n">
        <v>0</v>
      </c>
      <c r="T101" t="inlineStr">
        <is>
          <t>AUD</t>
        </is>
      </c>
      <c r="U101" t="n">
        <v>0</v>
      </c>
    </row>
    <row r="102">
      <c r="A102" s="5" t="inlineStr">
        <is>
          <t>01a152b9-72d1-7420-aa1e-b30c5b307066</t>
        </is>
      </c>
      <c r="C102" s="5" t="inlineStr">
        <is>
          <t>01a152b9-6e67-75da-8adb-b03e5d07fd21</t>
        </is>
      </c>
      <c r="D102" s="4" t="n">
        <v>46314.24592242244</v>
      </c>
      <c r="E102" s="4" t="n">
        <v>46314.24592242257</v>
      </c>
      <c r="F102" t="b">
        <v>1</v>
      </c>
      <c r="G102" t="n">
        <v/>
      </c>
      <c r="H102" t="inlineStr">
        <is>
          <t>AZJ</t>
        </is>
      </c>
      <c r="I102" t="inlineStr">
        <is>
          <t>Aurizon Holdings Ltd</t>
        </is>
      </c>
      <c r="J102" t="inlineStr">
        <is>
          <t>AUD</t>
        </is>
      </c>
      <c r="K102" s="5" t="inlineStr">
        <is>
          <t>01a152b9-6ee2-7577-bddd-382bc3853fde</t>
        </is>
      </c>
      <c r="M102" t="inlineStr">
        <is>
          <t>UNKNOWN</t>
        </is>
      </c>
      <c r="N102" t="inlineStr">
        <is>
          <t>DEFAULT</t>
        </is>
      </c>
      <c r="Q102" t="n">
        <v>0</v>
      </c>
      <c r="R102" t="inlineStr">
        <is>
          <t>AUD</t>
        </is>
      </c>
      <c r="S102" t="n">
        <v>0</v>
      </c>
      <c r="T102" t="inlineStr">
        <is>
          <t>AUD</t>
        </is>
      </c>
      <c r="U102" t="n">
        <v>0</v>
      </c>
    </row>
    <row r="103">
      <c r="A103" s="5" t="inlineStr">
        <is>
          <t>01a152b9-72d4-707a-98cd-2a8853e6868f</t>
        </is>
      </c>
      <c r="C103" s="5" t="inlineStr">
        <is>
          <t>01a152b9-6e67-75da-8adb-b03e5d07fd21</t>
        </is>
      </c>
      <c r="D103" s="4" t="n">
        <v>46314.24592246651</v>
      </c>
      <c r="E103" s="4" t="n">
        <v>46314.24592246665</v>
      </c>
      <c r="F103" t="b">
        <v>1</v>
      </c>
      <c r="G103" t="n">
        <v/>
      </c>
      <c r="H103" t="inlineStr">
        <is>
          <t>VTS</t>
        </is>
      </c>
      <c r="I103" t="inlineStr">
        <is>
          <t>Vanguard US Total Market Shares INDEX ETF</t>
        </is>
      </c>
      <c r="J103" t="inlineStr">
        <is>
          <t>AUD</t>
        </is>
      </c>
      <c r="K103" s="5" t="inlineStr">
        <is>
          <t>01a152b9-6ee2-7577-bddd-382bc3853fde</t>
        </is>
      </c>
      <c r="M103" t="inlineStr">
        <is>
          <t>UNIT_TRUST</t>
        </is>
      </c>
      <c r="N103" t="inlineStr">
        <is>
          <t>SUGGESTED</t>
        </is>
      </c>
      <c r="Q103" t="n">
        <v>0</v>
      </c>
      <c r="R103" t="inlineStr">
        <is>
          <t>AUD</t>
        </is>
      </c>
      <c r="S103" t="n">
        <v>0</v>
      </c>
      <c r="T103" t="inlineStr">
        <is>
          <t>AUD</t>
        </is>
      </c>
      <c r="U103" t="n">
        <v>0</v>
      </c>
    </row>
    <row r="104">
      <c r="A104" s="5" t="inlineStr">
        <is>
          <t>01a152b9-72d8-774b-b752-6a5afbf7c0d6</t>
        </is>
      </c>
      <c r="C104" s="5" t="inlineStr">
        <is>
          <t>01a152b9-6e67-75da-8adb-b03e5d07fd21</t>
        </is>
      </c>
      <c r="D104" s="4" t="n">
        <v>46314.24592250869</v>
      </c>
      <c r="E104" s="4" t="n">
        <v>46314.2459225088</v>
      </c>
      <c r="F104" t="b">
        <v>1</v>
      </c>
      <c r="G104" t="n">
        <v/>
      </c>
      <c r="H104" t="inlineStr">
        <is>
          <t>STW</t>
        </is>
      </c>
      <c r="I104" t="inlineStr">
        <is>
          <t>SPDR S&amp;P/ASX 200 Fund</t>
        </is>
      </c>
      <c r="J104" t="inlineStr">
        <is>
          <t>AUD</t>
        </is>
      </c>
      <c r="K104" s="5" t="inlineStr">
        <is>
          <t>01a152b9-6ee2-7577-bddd-382bc3853fde</t>
        </is>
      </c>
      <c r="M104" t="inlineStr">
        <is>
          <t>UNIT_TRUST</t>
        </is>
      </c>
      <c r="N104" t="inlineStr">
        <is>
          <t>SUGGESTED</t>
        </is>
      </c>
      <c r="Q104" t="n">
        <v>0</v>
      </c>
      <c r="R104" t="inlineStr">
        <is>
          <t>AUD</t>
        </is>
      </c>
      <c r="S104" t="n">
        <v>0</v>
      </c>
      <c r="T104" t="inlineStr">
        <is>
          <t>AUD</t>
        </is>
      </c>
      <c r="U104" t="n">
        <v>0</v>
      </c>
    </row>
    <row r="105">
      <c r="A105" s="5" t="inlineStr">
        <is>
          <t>01a152b9-72dc-77f0-9534-b7d04071e177</t>
        </is>
      </c>
      <c r="C105" s="5" t="inlineStr">
        <is>
          <t>01a152b9-6e67-75da-8adb-b03e5d07fd21</t>
        </is>
      </c>
      <c r="D105" s="4" t="n">
        <v>46314.24592255778</v>
      </c>
      <c r="E105" s="4" t="n">
        <v>46314.24592255787</v>
      </c>
      <c r="F105" t="b">
        <v>1</v>
      </c>
      <c r="G105" t="n">
        <v/>
      </c>
      <c r="H105" t="inlineStr">
        <is>
          <t>IPL</t>
        </is>
      </c>
      <c r="I105" t="inlineStr">
        <is>
          <t>Incitec Pivot Ltd</t>
        </is>
      </c>
      <c r="J105" t="inlineStr">
        <is>
          <t>AUD</t>
        </is>
      </c>
      <c r="K105" s="5" t="inlineStr">
        <is>
          <t>01a152b9-6ee2-7577-bddd-382bc3853fde</t>
        </is>
      </c>
      <c r="M105" t="inlineStr">
        <is>
          <t>UNKNOWN</t>
        </is>
      </c>
      <c r="N105" t="inlineStr">
        <is>
          <t>DEFAULT</t>
        </is>
      </c>
      <c r="Q105" t="n">
        <v>0</v>
      </c>
      <c r="R105" t="inlineStr">
        <is>
          <t>AUD</t>
        </is>
      </c>
      <c r="S105" t="n">
        <v>0</v>
      </c>
      <c r="T105" t="inlineStr">
        <is>
          <t>AUD</t>
        </is>
      </c>
      <c r="U105" t="n">
        <v>0</v>
      </c>
    </row>
    <row r="106">
      <c r="A106" s="5" t="inlineStr">
        <is>
          <t>01a152b9-72df-7695-8198-353edccbc499</t>
        </is>
      </c>
      <c r="C106" s="5" t="inlineStr">
        <is>
          <t>01a152b9-6e67-75da-8adb-b03e5d07fd21</t>
        </is>
      </c>
      <c r="D106" s="4" t="n">
        <v>46314.245922592</v>
      </c>
      <c r="E106" s="4" t="n">
        <v>46314.24592259208</v>
      </c>
      <c r="F106" t="b">
        <v>1</v>
      </c>
      <c r="G106" t="n">
        <v/>
      </c>
      <c r="H106" t="inlineStr">
        <is>
          <t>DACE</t>
        </is>
      </c>
      <c r="I106" t="inlineStr">
        <is>
          <t>Dimensional Australian Core Equity Trust - Active ETF</t>
        </is>
      </c>
      <c r="J106" t="inlineStr">
        <is>
          <t>AUD</t>
        </is>
      </c>
      <c r="K106" s="5" t="inlineStr">
        <is>
          <t>01a152b9-6ee2-7577-bddd-382bc3853fde</t>
        </is>
      </c>
      <c r="M106" t="inlineStr">
        <is>
          <t>UNKNOWN</t>
        </is>
      </c>
      <c r="N106" t="inlineStr">
        <is>
          <t>DEFAULT</t>
        </is>
      </c>
      <c r="Q106" t="n">
        <v>0</v>
      </c>
      <c r="R106" t="inlineStr">
        <is>
          <t>AUD</t>
        </is>
      </c>
      <c r="S106" t="n">
        <v>0</v>
      </c>
      <c r="T106" t="inlineStr">
        <is>
          <t>AUD</t>
        </is>
      </c>
      <c r="U106" t="n">
        <v>0</v>
      </c>
    </row>
    <row r="107">
      <c r="A107" s="5" t="inlineStr">
        <is>
          <t>01a152b9-72e2-77e7-b0d1-89139ae0a1d1</t>
        </is>
      </c>
      <c r="C107" s="5" t="inlineStr">
        <is>
          <t>01a152b9-6e67-75da-8adb-b03e5d07fd21</t>
        </is>
      </c>
      <c r="D107" s="4" t="n">
        <v>46314.24592262611</v>
      </c>
      <c r="E107" s="4" t="n">
        <v>46314.24592262621</v>
      </c>
      <c r="F107" t="b">
        <v>1</v>
      </c>
      <c r="G107" t="n">
        <v/>
      </c>
      <c r="H107" t="inlineStr">
        <is>
          <t>BRG</t>
        </is>
      </c>
      <c r="I107" t="inlineStr">
        <is>
          <t>Breville Group Ltd</t>
        </is>
      </c>
      <c r="J107" t="inlineStr">
        <is>
          <t>AUD</t>
        </is>
      </c>
      <c r="K107" s="5" t="inlineStr">
        <is>
          <t>01a152b9-6ee2-7577-bddd-382bc3853fde</t>
        </is>
      </c>
      <c r="M107" t="inlineStr">
        <is>
          <t>UNKNOWN</t>
        </is>
      </c>
      <c r="N107" t="inlineStr">
        <is>
          <t>DEFAULT</t>
        </is>
      </c>
      <c r="Q107" t="n">
        <v>0</v>
      </c>
      <c r="R107" t="inlineStr">
        <is>
          <t>AUD</t>
        </is>
      </c>
      <c r="S107" t="n">
        <v>0</v>
      </c>
      <c r="T107" t="inlineStr">
        <is>
          <t>AUD</t>
        </is>
      </c>
      <c r="U107" t="n">
        <v>0</v>
      </c>
    </row>
    <row r="108">
      <c r="A108" s="5" t="inlineStr">
        <is>
          <t>01a152b9-72e5-7437-82bd-ddbcb55d7ade</t>
        </is>
      </c>
      <c r="C108" s="5" t="inlineStr">
        <is>
          <t>01a152b9-6e67-75da-8adb-b03e5d07fd21</t>
        </is>
      </c>
      <c r="D108" s="4" t="n">
        <v>46314.24592266223</v>
      </c>
      <c r="E108" s="4" t="n">
        <v>46314.24592266234</v>
      </c>
      <c r="F108" t="b">
        <v>1</v>
      </c>
      <c r="G108" t="n">
        <v/>
      </c>
      <c r="H108" t="inlineStr">
        <is>
          <t>WHC</t>
        </is>
      </c>
      <c r="I108" t="inlineStr">
        <is>
          <t>Whitehaven Coal Ltd</t>
        </is>
      </c>
      <c r="J108" t="inlineStr">
        <is>
          <t>AUD</t>
        </is>
      </c>
      <c r="K108" s="5" t="inlineStr">
        <is>
          <t>01a152b9-6ee2-7577-bddd-382bc3853fde</t>
        </is>
      </c>
      <c r="M108" t="inlineStr">
        <is>
          <t>UNKNOWN</t>
        </is>
      </c>
      <c r="N108" t="inlineStr">
        <is>
          <t>DEFAULT</t>
        </is>
      </c>
      <c r="Q108" t="n">
        <v>0</v>
      </c>
      <c r="R108" t="inlineStr">
        <is>
          <t>AUD</t>
        </is>
      </c>
      <c r="S108" t="n">
        <v>0</v>
      </c>
      <c r="T108" t="inlineStr">
        <is>
          <t>AUD</t>
        </is>
      </c>
      <c r="U108" t="n">
        <v>0</v>
      </c>
    </row>
    <row r="109">
      <c r="A109" s="5" t="inlineStr">
        <is>
          <t>01a152b9-72e9-7013-abcc-0ac4c878d24f</t>
        </is>
      </c>
      <c r="C109" s="5" t="inlineStr">
        <is>
          <t>01a152b9-6e67-75da-8adb-b03e5d07fd21</t>
        </is>
      </c>
      <c r="D109" s="4" t="n">
        <v>46314.24592270373</v>
      </c>
      <c r="E109" s="4" t="n">
        <v>46314.24592270382</v>
      </c>
      <c r="F109" t="b">
        <v>1</v>
      </c>
      <c r="G109" t="n">
        <v/>
      </c>
      <c r="H109" t="inlineStr">
        <is>
          <t>ANN</t>
        </is>
      </c>
      <c r="I109" t="inlineStr">
        <is>
          <t>Ansell Ltd</t>
        </is>
      </c>
      <c r="J109" t="inlineStr">
        <is>
          <t>AUD</t>
        </is>
      </c>
      <c r="K109" s="5" t="inlineStr">
        <is>
          <t>01a152b9-6ee2-7577-bddd-382bc3853fde</t>
        </is>
      </c>
      <c r="M109" t="inlineStr">
        <is>
          <t>UNKNOWN</t>
        </is>
      </c>
      <c r="N109" t="inlineStr">
        <is>
          <t>DEFAULT</t>
        </is>
      </c>
      <c r="Q109" t="n">
        <v>0</v>
      </c>
      <c r="R109" t="inlineStr">
        <is>
          <t>AUD</t>
        </is>
      </c>
      <c r="S109" t="n">
        <v>0</v>
      </c>
      <c r="T109" t="inlineStr">
        <is>
          <t>AUD</t>
        </is>
      </c>
      <c r="U109" t="n">
        <v>0</v>
      </c>
    </row>
    <row r="110">
      <c r="A110" s="5" t="inlineStr">
        <is>
          <t>01a152b9-72ec-724b-9d0a-fb88b916190d</t>
        </is>
      </c>
      <c r="C110" s="5" t="inlineStr">
        <is>
          <t>01a152b9-6e67-75da-8adb-b03e5d07fd21</t>
        </is>
      </c>
      <c r="D110" s="4" t="n">
        <v>46314.24592273697</v>
      </c>
      <c r="E110" s="4" t="n">
        <v>46314.24592273705</v>
      </c>
      <c r="F110" t="b">
        <v>1</v>
      </c>
      <c r="G110" t="n">
        <v/>
      </c>
      <c r="H110" t="inlineStr">
        <is>
          <t>SPK</t>
        </is>
      </c>
      <c r="I110" t="inlineStr">
        <is>
          <t>Spark New Zealand Ltd</t>
        </is>
      </c>
      <c r="J110" t="inlineStr">
        <is>
          <t>AUD</t>
        </is>
      </c>
      <c r="K110" s="5" t="inlineStr">
        <is>
          <t>01a152b9-6ee2-7577-bddd-382bc3853fde</t>
        </is>
      </c>
      <c r="M110" t="inlineStr">
        <is>
          <t>UNKNOWN</t>
        </is>
      </c>
      <c r="N110" t="inlineStr">
        <is>
          <t>DEFAULT</t>
        </is>
      </c>
      <c r="Q110" t="n">
        <v>0</v>
      </c>
      <c r="R110" t="inlineStr">
        <is>
          <t>AUD</t>
        </is>
      </c>
      <c r="S110" t="n">
        <v>0</v>
      </c>
      <c r="T110" t="inlineStr">
        <is>
          <t>AUD</t>
        </is>
      </c>
      <c r="U110" t="n">
        <v>0</v>
      </c>
    </row>
    <row r="111">
      <c r="A111" s="5" t="inlineStr">
        <is>
          <t>01a152b9-72ef-730b-8e2e-5cd18e4fd5ae</t>
        </is>
      </c>
      <c r="C111" s="5" t="inlineStr">
        <is>
          <t>01a152b9-6e67-75da-8adb-b03e5d07fd21</t>
        </is>
      </c>
      <c r="D111" s="4" t="n">
        <v>46314.24592277381</v>
      </c>
      <c r="E111" s="4" t="n">
        <v>46314.24592277392</v>
      </c>
      <c r="F111" t="b">
        <v>1</v>
      </c>
      <c r="G111" t="n">
        <v/>
      </c>
      <c r="H111" t="inlineStr">
        <is>
          <t>DEG</t>
        </is>
      </c>
      <c r="I111" t="inlineStr">
        <is>
          <t>De Grey Mining Ltd</t>
        </is>
      </c>
      <c r="J111" t="inlineStr">
        <is>
          <t>AUD</t>
        </is>
      </c>
      <c r="K111" s="5" t="inlineStr">
        <is>
          <t>01a152b9-6ee2-7577-bddd-382bc3853fde</t>
        </is>
      </c>
      <c r="M111" t="inlineStr">
        <is>
          <t>UNKNOWN</t>
        </is>
      </c>
      <c r="N111" t="inlineStr">
        <is>
          <t>DEFAULT</t>
        </is>
      </c>
      <c r="Q111" t="n">
        <v>0</v>
      </c>
      <c r="R111" t="inlineStr">
        <is>
          <t>AUD</t>
        </is>
      </c>
      <c r="S111" t="n">
        <v>0</v>
      </c>
      <c r="T111" t="inlineStr">
        <is>
          <t>AUD</t>
        </is>
      </c>
      <c r="U111" t="n">
        <v>0</v>
      </c>
    </row>
    <row r="112">
      <c r="A112" s="5" t="inlineStr">
        <is>
          <t>01a152b9-72f2-7255-b6bb-d13815c6c3e0</t>
        </is>
      </c>
      <c r="C112" s="5" t="inlineStr">
        <is>
          <t>01a152b9-6e67-75da-8adb-b03e5d07fd21</t>
        </is>
      </c>
      <c r="D112" s="4" t="n">
        <v>46314.24592281081</v>
      </c>
      <c r="E112" s="4" t="n">
        <v>46314.2459228109</v>
      </c>
      <c r="F112" t="b">
        <v>1</v>
      </c>
      <c r="G112" t="n">
        <v/>
      </c>
      <c r="H112" t="inlineStr">
        <is>
          <t>PMV</t>
        </is>
      </c>
      <c r="I112" t="inlineStr">
        <is>
          <t>Premier Investments Ltd</t>
        </is>
      </c>
      <c r="J112" t="inlineStr">
        <is>
          <t>AUD</t>
        </is>
      </c>
      <c r="K112" s="5" t="inlineStr">
        <is>
          <t>01a152b9-6ee2-7577-bddd-382bc3853fde</t>
        </is>
      </c>
      <c r="M112" t="inlineStr">
        <is>
          <t>UNKNOWN</t>
        </is>
      </c>
      <c r="N112" t="inlineStr">
        <is>
          <t>DEFAULT</t>
        </is>
      </c>
      <c r="Q112" t="n">
        <v>0</v>
      </c>
      <c r="R112" t="inlineStr">
        <is>
          <t>AUD</t>
        </is>
      </c>
      <c r="S112" t="n">
        <v>0</v>
      </c>
      <c r="T112" t="inlineStr">
        <is>
          <t>AUD</t>
        </is>
      </c>
      <c r="U112" t="n">
        <v>0</v>
      </c>
    </row>
    <row r="113">
      <c r="A113" s="5" t="inlineStr">
        <is>
          <t>01a152b9-72f5-752b-84fd-a01c8cf1735a</t>
        </is>
      </c>
      <c r="C113" s="5" t="inlineStr">
        <is>
          <t>01a152b9-6e67-75da-8adb-b03e5d07fd21</t>
        </is>
      </c>
      <c r="D113" s="4" t="n">
        <v>46314.24592284667</v>
      </c>
      <c r="E113" s="4" t="n">
        <v>46314.24592284676</v>
      </c>
      <c r="F113" t="b">
        <v>1</v>
      </c>
      <c r="G113" t="n">
        <v/>
      </c>
      <c r="H113" t="inlineStr">
        <is>
          <t>SFR</t>
        </is>
      </c>
      <c r="I113" t="inlineStr">
        <is>
          <t>Sandfire Resources Ltd</t>
        </is>
      </c>
      <c r="J113" t="inlineStr">
        <is>
          <t>AUD</t>
        </is>
      </c>
      <c r="K113" s="5" t="inlineStr">
        <is>
          <t>01a152b9-6ee2-7577-bddd-382bc3853fde</t>
        </is>
      </c>
      <c r="M113" t="inlineStr">
        <is>
          <t>UNKNOWN</t>
        </is>
      </c>
      <c r="N113" t="inlineStr">
        <is>
          <t>DEFAULT</t>
        </is>
      </c>
      <c r="Q113" t="n">
        <v>0</v>
      </c>
      <c r="R113" t="inlineStr">
        <is>
          <t>AUD</t>
        </is>
      </c>
      <c r="S113" t="n">
        <v>0</v>
      </c>
      <c r="T113" t="inlineStr">
        <is>
          <t>AUD</t>
        </is>
      </c>
      <c r="U113" t="n">
        <v>0</v>
      </c>
    </row>
    <row r="114">
      <c r="A114" s="5" t="inlineStr">
        <is>
          <t>01a152b9-72f9-73a1-9068-49d0952e633c</t>
        </is>
      </c>
      <c r="C114" s="5" t="inlineStr">
        <is>
          <t>01a152b9-6e67-75da-8adb-b03e5d07fd21</t>
        </is>
      </c>
      <c r="D114" s="4" t="n">
        <v>46314.24592288449</v>
      </c>
      <c r="E114" s="4" t="n">
        <v>46314.24592288458</v>
      </c>
      <c r="F114" t="b">
        <v>1</v>
      </c>
      <c r="G114" t="n">
        <v/>
      </c>
      <c r="H114" t="inlineStr">
        <is>
          <t>AMP</t>
        </is>
      </c>
      <c r="I114" t="inlineStr">
        <is>
          <t>AMP Ltd</t>
        </is>
      </c>
      <c r="J114" t="inlineStr">
        <is>
          <t>AUD</t>
        </is>
      </c>
      <c r="K114" s="5" t="inlineStr">
        <is>
          <t>01a152b9-6ee2-7577-bddd-382bc3853fde</t>
        </is>
      </c>
      <c r="M114" t="inlineStr">
        <is>
          <t>UNKNOWN</t>
        </is>
      </c>
      <c r="N114" t="inlineStr">
        <is>
          <t>DEFAULT</t>
        </is>
      </c>
      <c r="Q114" t="n">
        <v>0</v>
      </c>
      <c r="R114" t="inlineStr">
        <is>
          <t>AUD</t>
        </is>
      </c>
      <c r="S114" t="n">
        <v>0</v>
      </c>
      <c r="T114" t="inlineStr">
        <is>
          <t>AUD</t>
        </is>
      </c>
      <c r="U114" t="n">
        <v>0</v>
      </c>
    </row>
    <row r="115">
      <c r="A115" s="5" t="inlineStr">
        <is>
          <t>01a152b9-72fc-774e-8bef-36a6d2da23a1</t>
        </is>
      </c>
      <c r="C115" s="5" t="inlineStr">
        <is>
          <t>01a152b9-6e67-75da-8adb-b03e5d07fd21</t>
        </is>
      </c>
      <c r="D115" s="4" t="n">
        <v>46314.24592292008</v>
      </c>
      <c r="E115" s="4" t="n">
        <v>46314.24592292017</v>
      </c>
      <c r="F115" t="b">
        <v>1</v>
      </c>
      <c r="G115" t="n">
        <v/>
      </c>
      <c r="H115" t="inlineStr">
        <is>
          <t>DGCE</t>
        </is>
      </c>
      <c r="I115" t="inlineStr">
        <is>
          <t>Dimensional Global Core Equity Trust Unhedged - Active ETF</t>
        </is>
      </c>
      <c r="J115" t="inlineStr">
        <is>
          <t>AUD</t>
        </is>
      </c>
      <c r="K115" s="5" t="inlineStr">
        <is>
          <t>01a152b9-6ee2-7577-bddd-382bc3853fde</t>
        </is>
      </c>
      <c r="M115" t="inlineStr">
        <is>
          <t>UNKNOWN</t>
        </is>
      </c>
      <c r="N115" t="inlineStr">
        <is>
          <t>DEFAULT</t>
        </is>
      </c>
      <c r="Q115" t="n">
        <v>0</v>
      </c>
      <c r="R115" t="inlineStr">
        <is>
          <t>AUD</t>
        </is>
      </c>
      <c r="S115" t="n">
        <v>0</v>
      </c>
      <c r="T115" t="inlineStr">
        <is>
          <t>AUD</t>
        </is>
      </c>
      <c r="U115" t="n">
        <v>0</v>
      </c>
    </row>
    <row r="116">
      <c r="A116" s="5" t="inlineStr">
        <is>
          <t>01a152b9-7300-7753-b6b5-56a88f5388b7</t>
        </is>
      </c>
      <c r="C116" s="5" t="inlineStr">
        <is>
          <t>01a152b9-6e67-75da-8adb-b03e5d07fd21</t>
        </is>
      </c>
      <c r="D116" s="4" t="n">
        <v>46314.24592296531</v>
      </c>
      <c r="E116" s="4" t="n">
        <v>46314.24592296545</v>
      </c>
      <c r="F116" t="b">
        <v>1</v>
      </c>
      <c r="G116" t="n">
        <v/>
      </c>
      <c r="H116" t="inlineStr">
        <is>
          <t>360</t>
        </is>
      </c>
      <c r="I116" t="inlineStr">
        <is>
          <t>LIFE360 Inc</t>
        </is>
      </c>
      <c r="J116" t="inlineStr">
        <is>
          <t>AUD</t>
        </is>
      </c>
      <c r="K116" s="5" t="inlineStr">
        <is>
          <t>01a152b9-6ee2-7577-bddd-382bc3853fde</t>
        </is>
      </c>
      <c r="M116" t="inlineStr">
        <is>
          <t>UNKNOWN</t>
        </is>
      </c>
      <c r="N116" t="inlineStr">
        <is>
          <t>DEFAULT</t>
        </is>
      </c>
      <c r="Q116" t="n">
        <v>0</v>
      </c>
      <c r="R116" t="inlineStr">
        <is>
          <t>AUD</t>
        </is>
      </c>
      <c r="S116" t="n">
        <v>0</v>
      </c>
      <c r="T116" t="inlineStr">
        <is>
          <t>AUD</t>
        </is>
      </c>
      <c r="U116" t="n">
        <v>0</v>
      </c>
    </row>
    <row r="117">
      <c r="A117" s="5" t="inlineStr">
        <is>
          <t>01a152b9-7303-7657-b035-858c717a4bcd</t>
        </is>
      </c>
      <c r="C117" s="5" t="inlineStr">
        <is>
          <t>01a152b9-6e67-75da-8adb-b03e5d07fd21</t>
        </is>
      </c>
      <c r="D117" s="4" t="n">
        <v>46314.24592300617</v>
      </c>
      <c r="E117" s="4" t="n">
        <v>46314.24592300626</v>
      </c>
      <c r="F117" t="b">
        <v>1</v>
      </c>
      <c r="G117" t="n">
        <v/>
      </c>
      <c r="H117" t="inlineStr">
        <is>
          <t>BOQ</t>
        </is>
      </c>
      <c r="I117" t="inlineStr">
        <is>
          <t>Bank of Queensland Ltd</t>
        </is>
      </c>
      <c r="J117" t="inlineStr">
        <is>
          <t>AUD</t>
        </is>
      </c>
      <c r="K117" s="5" t="inlineStr">
        <is>
          <t>01a152b9-6ee2-7577-bddd-382bc3853fde</t>
        </is>
      </c>
      <c r="M117" t="inlineStr">
        <is>
          <t>UNKNOWN</t>
        </is>
      </c>
      <c r="N117" t="inlineStr">
        <is>
          <t>DEFAULT</t>
        </is>
      </c>
      <c r="Q117" t="n">
        <v>0</v>
      </c>
      <c r="R117" t="inlineStr">
        <is>
          <t>AUD</t>
        </is>
      </c>
      <c r="S117" t="n">
        <v>0</v>
      </c>
      <c r="T117" t="inlineStr">
        <is>
          <t>AUD</t>
        </is>
      </c>
      <c r="U117" t="n">
        <v>0</v>
      </c>
    </row>
    <row r="118">
      <c r="A118" s="5" t="inlineStr">
        <is>
          <t>01a152b9-7307-71b9-af92-a73af944d529</t>
        </is>
      </c>
      <c r="C118" s="5" t="inlineStr">
        <is>
          <t>01a152b9-6e67-75da-8adb-b03e5d07fd21</t>
        </is>
      </c>
      <c r="D118" s="4" t="n">
        <v>46314.24592305077</v>
      </c>
      <c r="E118" s="4" t="n">
        <v>46314.2459230509</v>
      </c>
      <c r="F118" t="b">
        <v>1</v>
      </c>
      <c r="G118" t="n">
        <v/>
      </c>
      <c r="H118" t="inlineStr">
        <is>
          <t>IOO</t>
        </is>
      </c>
      <c r="I118" t="inlineStr">
        <is>
          <t>Ishares Global 100 ETF</t>
        </is>
      </c>
      <c r="J118" t="inlineStr">
        <is>
          <t>AUD</t>
        </is>
      </c>
      <c r="K118" s="5" t="inlineStr">
        <is>
          <t>01a152b9-6ee2-7577-bddd-382bc3853fde</t>
        </is>
      </c>
      <c r="M118" t="inlineStr">
        <is>
          <t>UNIT_TRUST</t>
        </is>
      </c>
      <c r="N118" t="inlineStr">
        <is>
          <t>SUGGESTED</t>
        </is>
      </c>
      <c r="Q118" t="n">
        <v>0</v>
      </c>
      <c r="R118" t="inlineStr">
        <is>
          <t>AUD</t>
        </is>
      </c>
      <c r="S118" t="n">
        <v>0</v>
      </c>
      <c r="T118" t="inlineStr">
        <is>
          <t>AUD</t>
        </is>
      </c>
      <c r="U118" t="n">
        <v>0</v>
      </c>
    </row>
    <row r="119">
      <c r="A119" s="5" t="inlineStr">
        <is>
          <t>01a152b9-730b-7787-a57e-a12037f3ee4f</t>
        </is>
      </c>
      <c r="C119" s="5" t="inlineStr">
        <is>
          <t>01a152b9-6e67-75da-8adb-b03e5d07fd21</t>
        </is>
      </c>
      <c r="D119" s="4" t="n">
        <v>46314.24592309377</v>
      </c>
      <c r="E119" s="4" t="n">
        <v>46314.24592309389</v>
      </c>
      <c r="F119" t="b">
        <v>1</v>
      </c>
      <c r="G119" t="n">
        <v/>
      </c>
      <c r="H119" t="inlineStr">
        <is>
          <t>GOLD</t>
        </is>
      </c>
      <c r="I119" t="inlineStr">
        <is>
          <t>Global X Physical Gold</t>
        </is>
      </c>
      <c r="J119" t="inlineStr">
        <is>
          <t>AUD</t>
        </is>
      </c>
      <c r="K119" s="5" t="inlineStr">
        <is>
          <t>01a152b9-6ee2-7577-bddd-382bc3853fde</t>
        </is>
      </c>
      <c r="M119" t="inlineStr">
        <is>
          <t>UNIT_TRUST</t>
        </is>
      </c>
      <c r="N119" t="inlineStr">
        <is>
          <t>SUGGESTED</t>
        </is>
      </c>
      <c r="Q119" t="n">
        <v>0</v>
      </c>
      <c r="R119" t="inlineStr">
        <is>
          <t>AUD</t>
        </is>
      </c>
      <c r="S119" t="n">
        <v>0</v>
      </c>
      <c r="T119" t="inlineStr">
        <is>
          <t>AUD</t>
        </is>
      </c>
      <c r="U119" t="n">
        <v>0</v>
      </c>
    </row>
    <row r="120">
      <c r="A120" s="5" t="inlineStr">
        <is>
          <t>01a152b9-730e-7706-a82a-63597683d793</t>
        </is>
      </c>
      <c r="C120" s="5" t="inlineStr">
        <is>
          <t>01a152b9-6e67-75da-8adb-b03e5d07fd21</t>
        </is>
      </c>
      <c r="D120" s="4" t="n">
        <v>46314.24592313371</v>
      </c>
      <c r="E120" s="4" t="n">
        <v>46314.2459231338</v>
      </c>
      <c r="F120" t="b">
        <v>1</v>
      </c>
      <c r="G120" t="n">
        <v/>
      </c>
      <c r="H120" t="inlineStr">
        <is>
          <t>SIG</t>
        </is>
      </c>
      <c r="I120" t="inlineStr">
        <is>
          <t>Sigma Healthcare Ltd</t>
        </is>
      </c>
      <c r="J120" t="inlineStr">
        <is>
          <t>AUD</t>
        </is>
      </c>
      <c r="K120" s="5" t="inlineStr">
        <is>
          <t>01a152b9-6ee2-7577-bddd-382bc3853fde</t>
        </is>
      </c>
      <c r="M120" t="inlineStr">
        <is>
          <t>UNKNOWN</t>
        </is>
      </c>
      <c r="N120" t="inlineStr">
        <is>
          <t>DEFAULT</t>
        </is>
      </c>
      <c r="Q120" t="n">
        <v>0</v>
      </c>
      <c r="R120" t="inlineStr">
        <is>
          <t>AUD</t>
        </is>
      </c>
      <c r="S120" t="n">
        <v>0</v>
      </c>
      <c r="T120" t="inlineStr">
        <is>
          <t>AUD</t>
        </is>
      </c>
      <c r="U120" t="n">
        <v>0</v>
      </c>
    </row>
    <row r="121">
      <c r="A121" s="5" t="inlineStr">
        <is>
          <t>01a152b9-7311-72ed-ae91-554ae491f066</t>
        </is>
      </c>
      <c r="C121" s="5" t="inlineStr">
        <is>
          <t>01a152b9-6e67-75da-8adb-b03e5d07fd21</t>
        </is>
      </c>
      <c r="D121" s="4" t="n">
        <v>46314.24592316789</v>
      </c>
      <c r="E121" s="4" t="n">
        <v>46314.24592316799</v>
      </c>
      <c r="F121" t="b">
        <v>1</v>
      </c>
      <c r="G121" t="n">
        <v/>
      </c>
      <c r="H121" t="inlineStr">
        <is>
          <t>VHY</t>
        </is>
      </c>
      <c r="I121" t="inlineStr">
        <is>
          <t>Vanguard Australian Shares High Yield ETF</t>
        </is>
      </c>
      <c r="J121" t="inlineStr">
        <is>
          <t>AUD</t>
        </is>
      </c>
      <c r="K121" s="5" t="inlineStr">
        <is>
          <t>01a152b9-6ee2-7577-bddd-382bc3853fde</t>
        </is>
      </c>
      <c r="M121" t="inlineStr">
        <is>
          <t>UNIT_TRUST</t>
        </is>
      </c>
      <c r="N121" t="inlineStr">
        <is>
          <t>SUGGESTED</t>
        </is>
      </c>
      <c r="Q121" t="n">
        <v>0</v>
      </c>
      <c r="R121" t="inlineStr">
        <is>
          <t>AUD</t>
        </is>
      </c>
      <c r="S121" t="n">
        <v>0</v>
      </c>
      <c r="T121" t="inlineStr">
        <is>
          <t>AUD</t>
        </is>
      </c>
      <c r="U121" t="n">
        <v>0</v>
      </c>
    </row>
    <row r="122">
      <c r="A122" s="5" t="inlineStr">
        <is>
          <t>01a152b9-7315-7320-9382-bee47c0ac3af</t>
        </is>
      </c>
      <c r="C122" s="5" t="inlineStr">
        <is>
          <t>01a152b9-6e67-75da-8adb-b03e5d07fd21</t>
        </is>
      </c>
      <c r="D122" s="4" t="n">
        <v>46314.24592321008</v>
      </c>
      <c r="E122" s="4" t="n">
        <v>46314.24592321021</v>
      </c>
      <c r="F122" t="b">
        <v>1</v>
      </c>
      <c r="G122" t="n">
        <v/>
      </c>
      <c r="H122" t="inlineStr">
        <is>
          <t>LLC</t>
        </is>
      </c>
      <c r="I122" t="inlineStr">
        <is>
          <t>Lendlease Group</t>
        </is>
      </c>
      <c r="J122" t="inlineStr">
        <is>
          <t>AUD</t>
        </is>
      </c>
      <c r="K122" s="5" t="inlineStr">
        <is>
          <t>01a152b9-6ee2-7577-bddd-382bc3853fde</t>
        </is>
      </c>
      <c r="M122" t="inlineStr">
        <is>
          <t>UNKNOWN</t>
        </is>
      </c>
      <c r="N122" t="inlineStr">
        <is>
          <t>DEFAULT</t>
        </is>
      </c>
      <c r="Q122" t="n">
        <v>0</v>
      </c>
      <c r="R122" t="inlineStr">
        <is>
          <t>AUD</t>
        </is>
      </c>
      <c r="S122" t="n">
        <v>0</v>
      </c>
      <c r="T122" t="inlineStr">
        <is>
          <t>AUD</t>
        </is>
      </c>
      <c r="U122" t="n">
        <v>0</v>
      </c>
    </row>
    <row r="123">
      <c r="A123" s="5" t="inlineStr">
        <is>
          <t>01a152b9-7318-7645-97c3-bea906ebd1c1</t>
        </is>
      </c>
      <c r="C123" s="5" t="inlineStr">
        <is>
          <t>01a152b9-6e67-75da-8adb-b03e5d07fd21</t>
        </is>
      </c>
      <c r="D123" s="4" t="n">
        <v>46314.24592325007</v>
      </c>
      <c r="E123" s="4" t="n">
        <v>46314.24592325016</v>
      </c>
      <c r="F123" t="b">
        <v>1</v>
      </c>
      <c r="G123" t="n">
        <v/>
      </c>
      <c r="H123" t="inlineStr">
        <is>
          <t>VEA</t>
        </is>
      </c>
      <c r="I123" t="inlineStr">
        <is>
          <t>Viva Energy Group Ltd</t>
        </is>
      </c>
      <c r="J123" t="inlineStr">
        <is>
          <t>AUD</t>
        </is>
      </c>
      <c r="K123" s="5" t="inlineStr">
        <is>
          <t>01a152b9-6ee2-7577-bddd-382bc3853fde</t>
        </is>
      </c>
      <c r="M123" t="inlineStr">
        <is>
          <t>UNKNOWN</t>
        </is>
      </c>
      <c r="N123" t="inlineStr">
        <is>
          <t>DEFAULT</t>
        </is>
      </c>
      <c r="Q123" t="n">
        <v>0</v>
      </c>
      <c r="R123" t="inlineStr">
        <is>
          <t>AUD</t>
        </is>
      </c>
      <c r="S123" t="n">
        <v>0</v>
      </c>
      <c r="T123" t="inlineStr">
        <is>
          <t>AUD</t>
        </is>
      </c>
      <c r="U123" t="n">
        <v>0</v>
      </c>
    </row>
    <row r="124">
      <c r="A124" s="5" t="inlineStr">
        <is>
          <t>01a152b9-731b-7352-80b1-561786e61fd0</t>
        </is>
      </c>
      <c r="C124" s="5" t="inlineStr">
        <is>
          <t>01a152b9-6e67-75da-8adb-b03e5d07fd21</t>
        </is>
      </c>
      <c r="D124" s="4" t="n">
        <v>46314.24592328878</v>
      </c>
      <c r="E124" s="4" t="n">
        <v>46314.24592328891</v>
      </c>
      <c r="F124" t="b">
        <v>1</v>
      </c>
      <c r="G124" t="n">
        <v/>
      </c>
      <c r="H124" t="inlineStr">
        <is>
          <t>CGF</t>
        </is>
      </c>
      <c r="I124" t="inlineStr">
        <is>
          <t>Challenger Ltd</t>
        </is>
      </c>
      <c r="J124" t="inlineStr">
        <is>
          <t>AUD</t>
        </is>
      </c>
      <c r="K124" s="5" t="inlineStr">
        <is>
          <t>01a152b9-6ee2-7577-bddd-382bc3853fde</t>
        </is>
      </c>
      <c r="M124" t="inlineStr">
        <is>
          <t>UNKNOWN</t>
        </is>
      </c>
      <c r="N124" t="inlineStr">
        <is>
          <t>DEFAULT</t>
        </is>
      </c>
      <c r="Q124" t="n">
        <v>0</v>
      </c>
      <c r="R124" t="inlineStr">
        <is>
          <t>AUD</t>
        </is>
      </c>
      <c r="S124" t="n">
        <v>0</v>
      </c>
      <c r="T124" t="inlineStr">
        <is>
          <t>AUD</t>
        </is>
      </c>
      <c r="U124" t="n">
        <v>0</v>
      </c>
    </row>
    <row r="125">
      <c r="A125" s="5" t="inlineStr">
        <is>
          <t>01a152b9-7320-7549-b55a-50202ef34c10</t>
        </is>
      </c>
      <c r="C125" s="5" t="inlineStr">
        <is>
          <t>01a152b9-6e67-75da-8adb-b03e5d07fd21</t>
        </is>
      </c>
      <c r="D125" s="4" t="n">
        <v>46314.24592333933</v>
      </c>
      <c r="E125" s="4" t="n">
        <v>46314.24592333947</v>
      </c>
      <c r="F125" t="b">
        <v>1</v>
      </c>
      <c r="G125" t="n">
        <v/>
      </c>
      <c r="H125" t="inlineStr">
        <is>
          <t>A2M</t>
        </is>
      </c>
      <c r="I125" t="inlineStr">
        <is>
          <t>The a2 Milk Company Ltd</t>
        </is>
      </c>
      <c r="J125" t="inlineStr">
        <is>
          <t>AUD</t>
        </is>
      </c>
      <c r="K125" s="5" t="inlineStr">
        <is>
          <t>01a152b9-6ee2-7577-bddd-382bc3853fde</t>
        </is>
      </c>
      <c r="M125" t="inlineStr">
        <is>
          <t>UNKNOWN</t>
        </is>
      </c>
      <c r="N125" t="inlineStr">
        <is>
          <t>DEFAULT</t>
        </is>
      </c>
      <c r="Q125" t="n">
        <v>0</v>
      </c>
      <c r="R125" t="inlineStr">
        <is>
          <t>AUD</t>
        </is>
      </c>
      <c r="S125" t="n">
        <v>0</v>
      </c>
      <c r="T125" t="inlineStr">
        <is>
          <t>AUD</t>
        </is>
      </c>
      <c r="U125" t="n">
        <v>0</v>
      </c>
    </row>
    <row r="126">
      <c r="A126" s="5" t="inlineStr">
        <is>
          <t>01a152b9-7324-70cf-8e78-aaeabbd8b348</t>
        </is>
      </c>
      <c r="C126" s="5" t="inlineStr">
        <is>
          <t>01a152b9-6e67-75da-8adb-b03e5d07fd21</t>
        </is>
      </c>
      <c r="D126" s="4" t="n">
        <v>46314.24592338732</v>
      </c>
      <c r="E126" s="4" t="n">
        <v>46314.24592338744</v>
      </c>
      <c r="F126" t="b">
        <v>1</v>
      </c>
      <c r="G126" t="n">
        <v/>
      </c>
      <c r="H126" t="inlineStr">
        <is>
          <t>ZIP</t>
        </is>
      </c>
      <c r="I126" t="inlineStr">
        <is>
          <t>ZIP Co Ltd</t>
        </is>
      </c>
      <c r="J126" t="inlineStr">
        <is>
          <t>AUD</t>
        </is>
      </c>
      <c r="K126" s="5" t="inlineStr">
        <is>
          <t>01a152b9-6ee2-7577-bddd-382bc3853fde</t>
        </is>
      </c>
      <c r="M126" t="inlineStr">
        <is>
          <t>UNKNOWN</t>
        </is>
      </c>
      <c r="N126" t="inlineStr">
        <is>
          <t>DEFAULT</t>
        </is>
      </c>
      <c r="Q126" t="n">
        <v>0</v>
      </c>
      <c r="R126" t="inlineStr">
        <is>
          <t>AUD</t>
        </is>
      </c>
      <c r="S126" t="n">
        <v>0</v>
      </c>
      <c r="T126" t="inlineStr">
        <is>
          <t>AUD</t>
        </is>
      </c>
      <c r="U126" t="n">
        <v>0</v>
      </c>
    </row>
    <row r="127">
      <c r="A127" s="5" t="inlineStr">
        <is>
          <t>01a152b9-7328-772c-9583-65c1221b87bb</t>
        </is>
      </c>
      <c r="C127" s="5" t="inlineStr">
        <is>
          <t>01a152b9-6e67-75da-8adb-b03e5d07fd21</t>
        </is>
      </c>
      <c r="D127" s="4" t="n">
        <v>46314.24592343961</v>
      </c>
      <c r="E127" s="4" t="n">
        <v>46314.24592343977</v>
      </c>
      <c r="F127" t="b">
        <v>1</v>
      </c>
      <c r="G127" t="n">
        <v/>
      </c>
      <c r="H127" t="inlineStr">
        <is>
          <t>RWC</t>
        </is>
      </c>
      <c r="I127" t="inlineStr">
        <is>
          <t>Reliance Worldwide Corporation Ltd</t>
        </is>
      </c>
      <c r="J127" t="inlineStr">
        <is>
          <t>AUD</t>
        </is>
      </c>
      <c r="K127" s="5" t="inlineStr">
        <is>
          <t>01a152b9-6ee2-7577-bddd-382bc3853fde</t>
        </is>
      </c>
      <c r="M127" t="inlineStr">
        <is>
          <t>UNKNOWN</t>
        </is>
      </c>
      <c r="N127" t="inlineStr">
        <is>
          <t>DEFAULT</t>
        </is>
      </c>
      <c r="Q127" t="n">
        <v>0</v>
      </c>
      <c r="R127" t="inlineStr">
        <is>
          <t>AUD</t>
        </is>
      </c>
      <c r="S127" t="n">
        <v>0</v>
      </c>
      <c r="T127" t="inlineStr">
        <is>
          <t>AUD</t>
        </is>
      </c>
      <c r="U127" t="n">
        <v>0</v>
      </c>
    </row>
    <row r="128">
      <c r="A128" s="5" t="inlineStr">
        <is>
          <t>01a152b9-732d-7058-82ce-461d40389af7</t>
        </is>
      </c>
      <c r="C128" s="5" t="inlineStr">
        <is>
          <t>01a152b9-6e67-75da-8adb-b03e5d07fd21</t>
        </is>
      </c>
      <c r="D128" s="4" t="n">
        <v>46314.24592348756</v>
      </c>
      <c r="E128" s="4" t="n">
        <v>46314.24592348771</v>
      </c>
      <c r="F128" t="b">
        <v>1</v>
      </c>
      <c r="G128" t="n">
        <v/>
      </c>
      <c r="H128" t="inlineStr">
        <is>
          <t>NHC</t>
        </is>
      </c>
      <c r="I128" t="inlineStr">
        <is>
          <t>New Hope Corporation Ltd</t>
        </is>
      </c>
      <c r="J128" t="inlineStr">
        <is>
          <t>AUD</t>
        </is>
      </c>
      <c r="K128" s="5" t="inlineStr">
        <is>
          <t>01a152b9-6ee2-7577-bddd-382bc3853fde</t>
        </is>
      </c>
      <c r="M128" t="inlineStr">
        <is>
          <t>UNKNOWN</t>
        </is>
      </c>
      <c r="N128" t="inlineStr">
        <is>
          <t>DEFAULT</t>
        </is>
      </c>
      <c r="Q128" t="n">
        <v>0</v>
      </c>
      <c r="R128" t="inlineStr">
        <is>
          <t>AUD</t>
        </is>
      </c>
      <c r="S128" t="n">
        <v>0</v>
      </c>
      <c r="T128" t="inlineStr">
        <is>
          <t>AUD</t>
        </is>
      </c>
      <c r="U128" t="n">
        <v>0</v>
      </c>
    </row>
    <row r="129">
      <c r="A129" s="5" t="inlineStr">
        <is>
          <t>01a152b9-7331-7093-a44f-92bb6d261927</t>
        </is>
      </c>
      <c r="C129" s="5" t="inlineStr">
        <is>
          <t>01a152b9-6e67-75da-8adb-b03e5d07fd21</t>
        </is>
      </c>
      <c r="D129" s="4" t="n">
        <v>46314.24592353907</v>
      </c>
      <c r="E129" s="4" t="n">
        <v>46314.24592353925</v>
      </c>
      <c r="F129" t="b">
        <v>1</v>
      </c>
      <c r="G129" t="n">
        <v/>
      </c>
      <c r="H129" t="inlineStr">
        <is>
          <t>VGAD</t>
        </is>
      </c>
      <c r="I129" t="inlineStr">
        <is>
          <t>Vanguard MSCI INDEX International Shares (Hedged) ETF</t>
        </is>
      </c>
      <c r="J129" t="inlineStr">
        <is>
          <t>AUD</t>
        </is>
      </c>
      <c r="K129" s="5" t="inlineStr">
        <is>
          <t>01a152b9-6ee2-7577-bddd-382bc3853fde</t>
        </is>
      </c>
      <c r="M129" t="inlineStr">
        <is>
          <t>UNKNOWN</t>
        </is>
      </c>
      <c r="N129" t="inlineStr">
        <is>
          <t>DEFAULT</t>
        </is>
      </c>
      <c r="Q129" t="n">
        <v>0</v>
      </c>
      <c r="R129" t="inlineStr">
        <is>
          <t>AUD</t>
        </is>
      </c>
      <c r="S129" t="n">
        <v>0</v>
      </c>
      <c r="T129" t="inlineStr">
        <is>
          <t>AUD</t>
        </is>
      </c>
      <c r="U129" t="n">
        <v>0</v>
      </c>
    </row>
    <row r="130">
      <c r="A130" s="5" t="inlineStr">
        <is>
          <t>01a152b9-7335-71d6-bbba-0d6c9c09a2e5</t>
        </is>
      </c>
      <c r="C130" s="5" t="inlineStr">
        <is>
          <t>01a152b9-6e67-75da-8adb-b03e5d07fd21</t>
        </is>
      </c>
      <c r="D130" s="4" t="n">
        <v>46314.24592358423</v>
      </c>
      <c r="E130" s="4" t="n">
        <v>46314.24592358436</v>
      </c>
      <c r="F130" t="b">
        <v>1</v>
      </c>
      <c r="G130" t="n">
        <v/>
      </c>
      <c r="H130" t="inlineStr">
        <is>
          <t>GYG</t>
        </is>
      </c>
      <c r="I130" t="inlineStr">
        <is>
          <t>Guzman Y GOMEZ Ltd</t>
        </is>
      </c>
      <c r="J130" t="inlineStr">
        <is>
          <t>AUD</t>
        </is>
      </c>
      <c r="K130" s="5" t="inlineStr">
        <is>
          <t>01a152b9-6ee2-7577-bddd-382bc3853fde</t>
        </is>
      </c>
      <c r="M130" t="inlineStr">
        <is>
          <t>UNKNOWN</t>
        </is>
      </c>
      <c r="N130" t="inlineStr">
        <is>
          <t>DEFAULT</t>
        </is>
      </c>
      <c r="Q130" t="n">
        <v>0</v>
      </c>
      <c r="R130" t="inlineStr">
        <is>
          <t>AUD</t>
        </is>
      </c>
      <c r="S130" t="n">
        <v>0</v>
      </c>
      <c r="T130" t="inlineStr">
        <is>
          <t>AUD</t>
        </is>
      </c>
      <c r="U130" t="n">
        <v>0</v>
      </c>
    </row>
    <row r="131">
      <c r="A131" s="5" t="inlineStr">
        <is>
          <t>01a152b9-7339-727f-b1e8-47818f776669</t>
        </is>
      </c>
      <c r="C131" s="5" t="inlineStr">
        <is>
          <t>01a152b9-6e67-75da-8adb-b03e5d07fd21</t>
        </is>
      </c>
      <c r="D131" s="4" t="n">
        <v>46314.24592363339</v>
      </c>
      <c r="E131" s="4" t="n">
        <v>46314.24592363356</v>
      </c>
      <c r="F131" t="b">
        <v>1</v>
      </c>
      <c r="G131" t="n">
        <v/>
      </c>
      <c r="H131" t="inlineStr">
        <is>
          <t>IGO</t>
        </is>
      </c>
      <c r="I131" t="inlineStr">
        <is>
          <t>IGO Ltd</t>
        </is>
      </c>
      <c r="J131" t="inlineStr">
        <is>
          <t>AUD</t>
        </is>
      </c>
      <c r="K131" s="5" t="inlineStr">
        <is>
          <t>01a152b9-6ee2-7577-bddd-382bc3853fde</t>
        </is>
      </c>
      <c r="M131" t="inlineStr">
        <is>
          <t>UNKNOWN</t>
        </is>
      </c>
      <c r="N131" t="inlineStr">
        <is>
          <t>DEFAULT</t>
        </is>
      </c>
      <c r="Q131" t="n">
        <v>0</v>
      </c>
      <c r="R131" t="inlineStr">
        <is>
          <t>AUD</t>
        </is>
      </c>
      <c r="S131" t="n">
        <v>0</v>
      </c>
      <c r="T131" t="inlineStr">
        <is>
          <t>AUD</t>
        </is>
      </c>
      <c r="U131" t="n">
        <v>0</v>
      </c>
    </row>
    <row r="132">
      <c r="A132" s="5" t="inlineStr">
        <is>
          <t>01a152b9-733d-77f7-9b3f-58ac61d4bec3</t>
        </is>
      </c>
      <c r="C132" s="5" t="inlineStr">
        <is>
          <t>01a152b9-6e67-75da-8adb-b03e5d07fd21</t>
        </is>
      </c>
      <c r="D132" s="4" t="n">
        <v>46314.24592367543</v>
      </c>
      <c r="E132" s="4" t="n">
        <v>46314.24592367555</v>
      </c>
      <c r="F132" t="b">
        <v>1</v>
      </c>
      <c r="G132" t="n">
        <v/>
      </c>
      <c r="H132" t="inlineStr">
        <is>
          <t>BKW</t>
        </is>
      </c>
      <c r="I132" t="inlineStr">
        <is>
          <t>Brickworks Ltd</t>
        </is>
      </c>
      <c r="J132" t="inlineStr">
        <is>
          <t>AUD</t>
        </is>
      </c>
      <c r="K132" s="5" t="inlineStr">
        <is>
          <t>01a152b9-6ee2-7577-bddd-382bc3853fde</t>
        </is>
      </c>
      <c r="M132" t="inlineStr">
        <is>
          <t>UNKNOWN</t>
        </is>
      </c>
      <c r="N132" t="inlineStr">
        <is>
          <t>DEFAULT</t>
        </is>
      </c>
      <c r="Q132" t="n">
        <v>0</v>
      </c>
      <c r="R132" t="inlineStr">
        <is>
          <t>AUD</t>
        </is>
      </c>
      <c r="S132" t="n">
        <v>0</v>
      </c>
      <c r="T132" t="inlineStr">
        <is>
          <t>AUD</t>
        </is>
      </c>
      <c r="U132" t="n">
        <v>0</v>
      </c>
    </row>
    <row r="133">
      <c r="A133" s="5" t="inlineStr">
        <is>
          <t>01a152b9-7341-73b3-98f8-da0b26caa792</t>
        </is>
      </c>
      <c r="C133" s="5" t="inlineStr">
        <is>
          <t>01a152b9-6e67-75da-8adb-b03e5d07fd21</t>
        </is>
      </c>
      <c r="D133" s="4" t="n">
        <v>46314.24592371938</v>
      </c>
      <c r="E133" s="4" t="n">
        <v>46314.24592371954</v>
      </c>
      <c r="F133" t="b">
        <v>1</v>
      </c>
      <c r="G133" t="n">
        <v/>
      </c>
      <c r="H133" t="inlineStr">
        <is>
          <t>HMC</t>
        </is>
      </c>
      <c r="I133" t="inlineStr">
        <is>
          <t>HMC Capital Ltd</t>
        </is>
      </c>
      <c r="J133" t="inlineStr">
        <is>
          <t>AUD</t>
        </is>
      </c>
      <c r="K133" s="5" t="inlineStr">
        <is>
          <t>01a152b9-6ee2-7577-bddd-382bc3853fde</t>
        </is>
      </c>
      <c r="M133" t="inlineStr">
        <is>
          <t>UNKNOWN</t>
        </is>
      </c>
      <c r="N133" t="inlineStr">
        <is>
          <t>DEFAULT</t>
        </is>
      </c>
      <c r="Q133" t="n">
        <v>0</v>
      </c>
      <c r="R133" t="inlineStr">
        <is>
          <t>AUD</t>
        </is>
      </c>
      <c r="S133" t="n">
        <v>0</v>
      </c>
      <c r="T133" t="inlineStr">
        <is>
          <t>AUD</t>
        </is>
      </c>
      <c r="U133" t="n">
        <v>0</v>
      </c>
    </row>
    <row r="134">
      <c r="A134" s="5" t="inlineStr">
        <is>
          <t>01a152b9-7344-7270-8d30-38eacecab727</t>
        </is>
      </c>
      <c r="C134" s="5" t="inlineStr">
        <is>
          <t>01a152b9-6e67-75da-8adb-b03e5d07fd21</t>
        </is>
      </c>
      <c r="D134" s="4" t="n">
        <v>46314.24592376025</v>
      </c>
      <c r="E134" s="4" t="n">
        <v>46314.24592376037</v>
      </c>
      <c r="F134" t="b">
        <v>1</v>
      </c>
      <c r="G134" t="n">
        <v/>
      </c>
      <c r="H134" t="inlineStr">
        <is>
          <t>PRU</t>
        </is>
      </c>
      <c r="I134" t="inlineStr">
        <is>
          <t>Perseus Mining Ltd</t>
        </is>
      </c>
      <c r="J134" t="inlineStr">
        <is>
          <t>AUD</t>
        </is>
      </c>
      <c r="K134" s="5" t="inlineStr">
        <is>
          <t>01a152b9-6ee2-7577-bddd-382bc3853fde</t>
        </is>
      </c>
      <c r="M134" t="inlineStr">
        <is>
          <t>UNKNOWN</t>
        </is>
      </c>
      <c r="N134" t="inlineStr">
        <is>
          <t>DEFAULT</t>
        </is>
      </c>
      <c r="Q134" t="n">
        <v>0</v>
      </c>
      <c r="R134" t="inlineStr">
        <is>
          <t>AUD</t>
        </is>
      </c>
      <c r="S134" t="n">
        <v>0</v>
      </c>
      <c r="T134" t="inlineStr">
        <is>
          <t>AUD</t>
        </is>
      </c>
      <c r="U134" t="n">
        <v>0</v>
      </c>
    </row>
    <row r="135">
      <c r="A135" s="5" t="inlineStr">
        <is>
          <t>01a152b9-7348-74f8-a14d-fc3d1bb8bfa0</t>
        </is>
      </c>
      <c r="C135" s="5" t="inlineStr">
        <is>
          <t>01a152b9-6e67-75da-8adb-b03e5d07fd21</t>
        </is>
      </c>
      <c r="D135" s="4" t="n">
        <v>46314.24592380776</v>
      </c>
      <c r="E135" s="4" t="n">
        <v>46314.2459238079</v>
      </c>
      <c r="F135" t="b">
        <v>1</v>
      </c>
      <c r="G135" t="n">
        <v/>
      </c>
      <c r="H135" t="inlineStr">
        <is>
          <t>ETHI</t>
        </is>
      </c>
      <c r="I135" t="inlineStr">
        <is>
          <t>Betashares Global Sustainability Leaders ETF</t>
        </is>
      </c>
      <c r="J135" t="inlineStr">
        <is>
          <t>AUD</t>
        </is>
      </c>
      <c r="K135" s="5" t="inlineStr">
        <is>
          <t>01a152b9-6ee2-7577-bddd-382bc3853fde</t>
        </is>
      </c>
      <c r="M135" t="inlineStr">
        <is>
          <t>UNIT_TRUST</t>
        </is>
      </c>
      <c r="N135" t="inlineStr">
        <is>
          <t>SUGGESTED</t>
        </is>
      </c>
      <c r="Q135" t="n">
        <v>0</v>
      </c>
      <c r="R135" t="inlineStr">
        <is>
          <t>AUD</t>
        </is>
      </c>
      <c r="S135" t="n">
        <v>0</v>
      </c>
      <c r="T135" t="inlineStr">
        <is>
          <t>AUD</t>
        </is>
      </c>
      <c r="U135" t="n">
        <v>0</v>
      </c>
    </row>
    <row r="136">
      <c r="A136" s="5" t="inlineStr">
        <is>
          <t>01a152b9-734d-70d0-8214-0aab52e49391</t>
        </is>
      </c>
      <c r="C136" s="5" t="inlineStr">
        <is>
          <t>01a152b9-6e67-75da-8adb-b03e5d07fd21</t>
        </is>
      </c>
      <c r="D136" s="4" t="n">
        <v>46314.24592385792</v>
      </c>
      <c r="E136" s="4" t="n">
        <v>46314.24592385808</v>
      </c>
      <c r="F136" t="b">
        <v>1</v>
      </c>
      <c r="G136" t="n">
        <v/>
      </c>
      <c r="H136" t="inlineStr">
        <is>
          <t>FLT</t>
        </is>
      </c>
      <c r="I136" t="inlineStr">
        <is>
          <t>Flight Centre Travel Group Ltd</t>
        </is>
      </c>
      <c r="J136" t="inlineStr">
        <is>
          <t>AUD</t>
        </is>
      </c>
      <c r="K136" s="5" t="inlineStr">
        <is>
          <t>01a152b9-6ee2-7577-bddd-382bc3853fde</t>
        </is>
      </c>
      <c r="M136" t="inlineStr">
        <is>
          <t>UNKNOWN</t>
        </is>
      </c>
      <c r="N136" t="inlineStr">
        <is>
          <t>DEFAULT</t>
        </is>
      </c>
      <c r="Q136" t="n">
        <v>0</v>
      </c>
      <c r="R136" t="inlineStr">
        <is>
          <t>AUD</t>
        </is>
      </c>
      <c r="S136" t="n">
        <v>0</v>
      </c>
      <c r="T136" t="inlineStr">
        <is>
          <t>AUD</t>
        </is>
      </c>
      <c r="U136" t="n">
        <v>0</v>
      </c>
    </row>
    <row r="137">
      <c r="A137" s="5" t="inlineStr">
        <is>
          <t>01a152b9-7351-74ac-a1c0-14efaf694aeb</t>
        </is>
      </c>
      <c r="C137" s="5" t="inlineStr">
        <is>
          <t>01a152b9-6e67-75da-8adb-b03e5d07fd21</t>
        </is>
      </c>
      <c r="D137" s="4" t="n">
        <v>46314.24592390357</v>
      </c>
      <c r="E137" s="4" t="n">
        <v>46314.24592390381</v>
      </c>
      <c r="F137" t="b">
        <v>1</v>
      </c>
      <c r="G137" t="n">
        <v/>
      </c>
      <c r="H137" t="inlineStr">
        <is>
          <t>AAA</t>
        </is>
      </c>
      <c r="I137" t="inlineStr">
        <is>
          <t>Betashares Australian High Interest Cash ETF</t>
        </is>
      </c>
      <c r="J137" t="inlineStr">
        <is>
          <t>AUD</t>
        </is>
      </c>
      <c r="K137" s="5" t="inlineStr">
        <is>
          <t>01a152b9-6ee2-7577-bddd-382bc3853fde</t>
        </is>
      </c>
      <c r="M137" t="inlineStr">
        <is>
          <t>UNIT_TRUST</t>
        </is>
      </c>
      <c r="N137" t="inlineStr">
        <is>
          <t>SUGGESTED</t>
        </is>
      </c>
      <c r="Q137" t="n">
        <v>0</v>
      </c>
      <c r="R137" t="inlineStr">
        <is>
          <t>AUD</t>
        </is>
      </c>
      <c r="S137" t="n">
        <v>0</v>
      </c>
      <c r="T137" t="inlineStr">
        <is>
          <t>AUD</t>
        </is>
      </c>
      <c r="U137" t="n">
        <v>0</v>
      </c>
    </row>
    <row r="138">
      <c r="A138" s="5" t="inlineStr">
        <is>
          <t>01a152b9-7355-74de-820f-5ba739a32b88</t>
        </is>
      </c>
      <c r="C138" s="5" t="inlineStr">
        <is>
          <t>01a152b9-6e67-75da-8adb-b03e5d07fd21</t>
        </is>
      </c>
      <c r="D138" s="4" t="n">
        <v>46314.24592395603</v>
      </c>
      <c r="E138" s="4" t="n">
        <v>46314.24592395616</v>
      </c>
      <c r="F138" t="b">
        <v>1</v>
      </c>
      <c r="G138" t="n">
        <v/>
      </c>
      <c r="H138" t="inlineStr">
        <is>
          <t>DOW</t>
        </is>
      </c>
      <c r="I138" t="inlineStr">
        <is>
          <t>Downer Edi Ltd</t>
        </is>
      </c>
      <c r="J138" t="inlineStr">
        <is>
          <t>AUD</t>
        </is>
      </c>
      <c r="K138" s="5" t="inlineStr">
        <is>
          <t>01a152b9-6ee2-7577-bddd-382bc3853fde</t>
        </is>
      </c>
      <c r="M138" t="inlineStr">
        <is>
          <t>UNKNOWN</t>
        </is>
      </c>
      <c r="N138" t="inlineStr">
        <is>
          <t>DEFAULT</t>
        </is>
      </c>
      <c r="Q138" t="n">
        <v>0</v>
      </c>
      <c r="R138" t="inlineStr">
        <is>
          <t>AUD</t>
        </is>
      </c>
      <c r="S138" t="n">
        <v>0</v>
      </c>
      <c r="T138" t="inlineStr">
        <is>
          <t>AUD</t>
        </is>
      </c>
      <c r="U138" t="n">
        <v>0</v>
      </c>
    </row>
    <row r="139">
      <c r="A139" s="5" t="inlineStr">
        <is>
          <t>01a152b9-7359-7448-90f5-1d9eb211ea41</t>
        </is>
      </c>
      <c r="C139" s="5" t="inlineStr">
        <is>
          <t>01a152b9-6e67-75da-8adb-b03e5d07fd21</t>
        </is>
      </c>
      <c r="D139" s="4" t="n">
        <v>46314.24592400448</v>
      </c>
      <c r="E139" s="4" t="n">
        <v>46314.24592400459</v>
      </c>
      <c r="F139" t="b">
        <v>1</v>
      </c>
      <c r="G139" t="n">
        <v/>
      </c>
      <c r="H139" t="inlineStr">
        <is>
          <t>LNW</t>
        </is>
      </c>
      <c r="I139" t="inlineStr">
        <is>
          <t>Light &amp; Wonder Inc</t>
        </is>
      </c>
      <c r="J139" t="inlineStr">
        <is>
          <t>AUD</t>
        </is>
      </c>
      <c r="K139" s="5" t="inlineStr">
        <is>
          <t>01a152b9-6ee2-7577-bddd-382bc3853fde</t>
        </is>
      </c>
      <c r="M139" t="inlineStr">
        <is>
          <t>UNKNOWN</t>
        </is>
      </c>
      <c r="N139" t="inlineStr">
        <is>
          <t>DEFAULT</t>
        </is>
      </c>
      <c r="Q139" t="n">
        <v>0</v>
      </c>
      <c r="R139" t="inlineStr">
        <is>
          <t>AUD</t>
        </is>
      </c>
      <c r="S139" t="n">
        <v>0</v>
      </c>
      <c r="T139" t="inlineStr">
        <is>
          <t>AUD</t>
        </is>
      </c>
      <c r="U139" t="n">
        <v>0</v>
      </c>
    </row>
    <row r="140">
      <c r="A140" s="5" t="inlineStr">
        <is>
          <t>01a152b9-735d-73f0-bc99-f3a06a7a624f</t>
        </is>
      </c>
      <c r="C140" s="5" t="inlineStr">
        <is>
          <t>01a152b9-6e67-75da-8adb-b03e5d07fd21</t>
        </is>
      </c>
      <c r="D140" s="4" t="n">
        <v>46314.24592404703</v>
      </c>
      <c r="E140" s="4" t="n">
        <v>46314.24592404714</v>
      </c>
      <c r="F140" t="b">
        <v>1</v>
      </c>
      <c r="G140" t="n">
        <v/>
      </c>
      <c r="H140" t="inlineStr">
        <is>
          <t>MSB</t>
        </is>
      </c>
      <c r="I140" t="inlineStr">
        <is>
          <t>Mesoblast Ltd</t>
        </is>
      </c>
      <c r="J140" t="inlineStr">
        <is>
          <t>AUD</t>
        </is>
      </c>
      <c r="K140" s="5" t="inlineStr">
        <is>
          <t>01a152b9-6ee2-7577-bddd-382bc3853fde</t>
        </is>
      </c>
      <c r="M140" t="inlineStr">
        <is>
          <t>UNKNOWN</t>
        </is>
      </c>
      <c r="N140" t="inlineStr">
        <is>
          <t>DEFAULT</t>
        </is>
      </c>
      <c r="Q140" t="n">
        <v>0</v>
      </c>
      <c r="R140" t="inlineStr">
        <is>
          <t>AUD</t>
        </is>
      </c>
      <c r="S140" t="n">
        <v>0</v>
      </c>
      <c r="T140" t="inlineStr">
        <is>
          <t>AUD</t>
        </is>
      </c>
      <c r="U140" t="n">
        <v>0</v>
      </c>
    </row>
    <row r="141">
      <c r="A141" s="5" t="inlineStr">
        <is>
          <t>01a152b9-7360-727b-bde0-ba758ef19516</t>
        </is>
      </c>
      <c r="C141" s="5" t="inlineStr">
        <is>
          <t>01a152b9-6e67-75da-8adb-b03e5d07fd21</t>
        </is>
      </c>
      <c r="D141" s="4" t="n">
        <v>46314.24592408622</v>
      </c>
      <c r="E141" s="4" t="n">
        <v>46314.24592408633</v>
      </c>
      <c r="F141" t="b">
        <v>1</v>
      </c>
      <c r="G141" t="n">
        <v/>
      </c>
      <c r="H141" t="inlineStr">
        <is>
          <t>AAI</t>
        </is>
      </c>
      <c r="I141" t="inlineStr">
        <is>
          <t>Alcoa Corporation</t>
        </is>
      </c>
      <c r="J141" t="inlineStr">
        <is>
          <t>AUD</t>
        </is>
      </c>
      <c r="K141" s="5" t="inlineStr">
        <is>
          <t>01a152b9-6ee2-7577-bddd-382bc3853fde</t>
        </is>
      </c>
      <c r="M141" t="inlineStr">
        <is>
          <t>UNKNOWN</t>
        </is>
      </c>
      <c r="N141" t="inlineStr">
        <is>
          <t>DEFAULT</t>
        </is>
      </c>
      <c r="Q141" t="n">
        <v>0</v>
      </c>
      <c r="R141" t="inlineStr">
        <is>
          <t>AUD</t>
        </is>
      </c>
      <c r="S141" t="n">
        <v>0</v>
      </c>
      <c r="T141" t="inlineStr">
        <is>
          <t>AUD</t>
        </is>
      </c>
      <c r="U141" t="n">
        <v>0</v>
      </c>
    </row>
    <row r="142">
      <c r="A142" s="5" t="inlineStr">
        <is>
          <t>01a152b9-7364-7777-a59b-26d97ec25adf</t>
        </is>
      </c>
      <c r="C142" s="5" t="inlineStr">
        <is>
          <t>01a152b9-6e67-75da-8adb-b03e5d07fd21</t>
        </is>
      </c>
      <c r="D142" s="4" t="n">
        <v>46314.24592412985</v>
      </c>
      <c r="E142" s="4" t="n">
        <v>46314.24592412999</v>
      </c>
      <c r="F142" t="b">
        <v>1</v>
      </c>
      <c r="G142" t="n">
        <v/>
      </c>
      <c r="H142" t="inlineStr">
        <is>
          <t>AUB</t>
        </is>
      </c>
      <c r="I142" t="inlineStr">
        <is>
          <t>AUB Group Ltd</t>
        </is>
      </c>
      <c r="J142" t="inlineStr">
        <is>
          <t>AUD</t>
        </is>
      </c>
      <c r="K142" s="5" t="inlineStr">
        <is>
          <t>01a152b9-6ee2-7577-bddd-382bc3853fde</t>
        </is>
      </c>
      <c r="M142" t="inlineStr">
        <is>
          <t>UNKNOWN</t>
        </is>
      </c>
      <c r="N142" t="inlineStr">
        <is>
          <t>DEFAULT</t>
        </is>
      </c>
      <c r="Q142" t="n">
        <v>0</v>
      </c>
      <c r="R142" t="inlineStr">
        <is>
          <t>AUD</t>
        </is>
      </c>
      <c r="S142" t="n">
        <v>0</v>
      </c>
      <c r="T142" t="inlineStr">
        <is>
          <t>AUD</t>
        </is>
      </c>
      <c r="U142" t="n">
        <v>0</v>
      </c>
    </row>
    <row r="143">
      <c r="A143" s="5" t="inlineStr">
        <is>
          <t>01a152b9-7369-709d-b7c4-62e3f5648d13</t>
        </is>
      </c>
      <c r="C143" s="5" t="inlineStr">
        <is>
          <t>01a152b9-6e67-75da-8adb-b03e5d07fd21</t>
        </is>
      </c>
      <c r="D143" s="4" t="n">
        <v>46314.24592418187</v>
      </c>
      <c r="E143" s="4" t="n">
        <v>46314.245924182</v>
      </c>
      <c r="F143" t="b">
        <v>1</v>
      </c>
      <c r="G143" t="n">
        <v/>
      </c>
      <c r="H143" t="inlineStr">
        <is>
          <t>PDN</t>
        </is>
      </c>
      <c r="I143" t="inlineStr">
        <is>
          <t>Paladin Energy Ltd</t>
        </is>
      </c>
      <c r="J143" t="inlineStr">
        <is>
          <t>AUD</t>
        </is>
      </c>
      <c r="K143" s="5" t="inlineStr">
        <is>
          <t>01a152b9-6ee2-7577-bddd-382bc3853fde</t>
        </is>
      </c>
      <c r="M143" t="inlineStr">
        <is>
          <t>UNKNOWN</t>
        </is>
      </c>
      <c r="N143" t="inlineStr">
        <is>
          <t>DEFAULT</t>
        </is>
      </c>
      <c r="Q143" t="n">
        <v>0</v>
      </c>
      <c r="R143" t="inlineStr">
        <is>
          <t>AUD</t>
        </is>
      </c>
      <c r="S143" t="n">
        <v>0</v>
      </c>
      <c r="T143" t="inlineStr">
        <is>
          <t>AUD</t>
        </is>
      </c>
      <c r="U143" t="n">
        <v>0</v>
      </c>
    </row>
    <row r="144">
      <c r="A144" s="5" t="inlineStr">
        <is>
          <t>01a152b9-736d-71f8-b7cc-17239cc95eff</t>
        </is>
      </c>
      <c r="C144" s="5" t="inlineStr">
        <is>
          <t>01a152b9-6e67-75da-8adb-b03e5d07fd21</t>
        </is>
      </c>
      <c r="D144" s="4" t="n">
        <v>46314.24592422829</v>
      </c>
      <c r="E144" s="4" t="n">
        <v>46314.24592422844</v>
      </c>
      <c r="F144" t="b">
        <v>1</v>
      </c>
      <c r="G144" t="n">
        <v/>
      </c>
      <c r="H144" t="inlineStr">
        <is>
          <t>NIC</t>
        </is>
      </c>
      <c r="I144" t="inlineStr">
        <is>
          <t>Nickel Industries Ltd</t>
        </is>
      </c>
      <c r="J144" t="inlineStr">
        <is>
          <t>AUD</t>
        </is>
      </c>
      <c r="K144" s="5" t="inlineStr">
        <is>
          <t>01a152b9-6ee2-7577-bddd-382bc3853fde</t>
        </is>
      </c>
      <c r="M144" t="inlineStr">
        <is>
          <t>UNKNOWN</t>
        </is>
      </c>
      <c r="N144" t="inlineStr">
        <is>
          <t>DEFAULT</t>
        </is>
      </c>
      <c r="Q144" t="n">
        <v>0</v>
      </c>
      <c r="R144" t="inlineStr">
        <is>
          <t>AUD</t>
        </is>
      </c>
      <c r="S144" t="n">
        <v>0</v>
      </c>
      <c r="T144" t="inlineStr">
        <is>
          <t>AUD</t>
        </is>
      </c>
      <c r="U144" t="n">
        <v>0</v>
      </c>
    </row>
    <row r="145">
      <c r="A145" s="5" t="inlineStr">
        <is>
          <t>01a152b9-7371-7138-8af4-5a25618d7b6c</t>
        </is>
      </c>
      <c r="C145" s="5" t="inlineStr">
        <is>
          <t>01a152b9-6e67-75da-8adb-b03e5d07fd21</t>
        </is>
      </c>
      <c r="D145" s="4" t="n">
        <v>46314.24592427241</v>
      </c>
      <c r="E145" s="4" t="n">
        <v>46314.24592427252</v>
      </c>
      <c r="F145" t="b">
        <v>1</v>
      </c>
      <c r="G145" t="n">
        <v/>
      </c>
      <c r="H145" t="inlineStr">
        <is>
          <t>IEL</t>
        </is>
      </c>
      <c r="I145" t="inlineStr">
        <is>
          <t>Idp Education Ltd</t>
        </is>
      </c>
      <c r="J145" t="inlineStr">
        <is>
          <t>AUD</t>
        </is>
      </c>
      <c r="K145" s="5" t="inlineStr">
        <is>
          <t>01a152b9-6ee2-7577-bddd-382bc3853fde</t>
        </is>
      </c>
      <c r="M145" t="inlineStr">
        <is>
          <t>UNKNOWN</t>
        </is>
      </c>
      <c r="N145" t="inlineStr">
        <is>
          <t>DEFAULT</t>
        </is>
      </c>
      <c r="Q145" t="n">
        <v>0</v>
      </c>
      <c r="R145" t="inlineStr">
        <is>
          <t>AUD</t>
        </is>
      </c>
      <c r="S145" t="n">
        <v>0</v>
      </c>
      <c r="T145" t="inlineStr">
        <is>
          <t>AUD</t>
        </is>
      </c>
      <c r="U145" t="n">
        <v>0</v>
      </c>
    </row>
    <row r="146">
      <c r="A146" s="5" t="inlineStr">
        <is>
          <t>01a152b9-7374-7625-a7aa-f569fcad8679</t>
        </is>
      </c>
      <c r="C146" s="5" t="inlineStr">
        <is>
          <t>01a152b9-6e67-75da-8adb-b03e5d07fd21</t>
        </is>
      </c>
      <c r="D146" s="4" t="n">
        <v>46314.24592430911</v>
      </c>
      <c r="E146" s="4" t="n">
        <v>46314.24592430922</v>
      </c>
      <c r="F146" t="b">
        <v>1</v>
      </c>
      <c r="G146" t="n">
        <v/>
      </c>
      <c r="H146" t="inlineStr">
        <is>
          <t>HYGG</t>
        </is>
      </c>
      <c r="I146" t="inlineStr">
        <is>
          <t>Hyperion GBL Growth Companies Fund (Managed Fund)</t>
        </is>
      </c>
      <c r="J146" t="inlineStr">
        <is>
          <t>AUD</t>
        </is>
      </c>
      <c r="K146" s="5" t="inlineStr">
        <is>
          <t>01a152b9-6ee2-7577-bddd-382bc3853fde</t>
        </is>
      </c>
      <c r="M146" t="inlineStr">
        <is>
          <t>UNKNOWN</t>
        </is>
      </c>
      <c r="N146" t="inlineStr">
        <is>
          <t>DEFAULT</t>
        </is>
      </c>
      <c r="Q146" t="n">
        <v>0</v>
      </c>
      <c r="R146" t="inlineStr">
        <is>
          <t>AUD</t>
        </is>
      </c>
      <c r="S146" t="n">
        <v>0</v>
      </c>
      <c r="T146" t="inlineStr">
        <is>
          <t>AUD</t>
        </is>
      </c>
      <c r="U146" t="n">
        <v>0</v>
      </c>
    </row>
    <row r="147">
      <c r="A147" s="5" t="inlineStr">
        <is>
          <t>01a152b9-7377-7352-8f0d-9121bfdd462b</t>
        </is>
      </c>
      <c r="C147" s="5" t="inlineStr">
        <is>
          <t>01a152b9-6e67-75da-8adb-b03e5d07fd21</t>
        </is>
      </c>
      <c r="D147" s="4" t="n">
        <v>46314.24592434747</v>
      </c>
      <c r="E147" s="4" t="n">
        <v>46314.24592434757</v>
      </c>
      <c r="F147" t="b">
        <v>1</v>
      </c>
      <c r="G147" t="n">
        <v/>
      </c>
      <c r="H147" t="inlineStr">
        <is>
          <t>VEU</t>
        </is>
      </c>
      <c r="I147" t="inlineStr">
        <is>
          <t>Vanguard All-World Ex-US Shares INDEX ETF</t>
        </is>
      </c>
      <c r="J147" t="inlineStr">
        <is>
          <t>AUD</t>
        </is>
      </c>
      <c r="K147" s="5" t="inlineStr">
        <is>
          <t>01a152b9-6ee2-7577-bddd-382bc3853fde</t>
        </is>
      </c>
      <c r="M147" t="inlineStr">
        <is>
          <t>UNIT_TRUST</t>
        </is>
      </c>
      <c r="N147" t="inlineStr">
        <is>
          <t>SUGGESTED</t>
        </is>
      </c>
      <c r="Q147" t="n">
        <v>0</v>
      </c>
      <c r="R147" t="inlineStr">
        <is>
          <t>AUD</t>
        </is>
      </c>
      <c r="S147" t="n">
        <v>0</v>
      </c>
      <c r="T147" t="inlineStr">
        <is>
          <t>AUD</t>
        </is>
      </c>
      <c r="U147" t="n">
        <v>0</v>
      </c>
    </row>
    <row r="148">
      <c r="A148" s="5" t="inlineStr">
        <is>
          <t>01a152b9-737f-752a-9dd2-054be85da1a6</t>
        </is>
      </c>
      <c r="C148" s="5" t="inlineStr">
        <is>
          <t>01a152b9-6e67-75da-8adb-b03e5d07fd21</t>
        </is>
      </c>
      <c r="D148" s="4" t="n">
        <v>46314.24592443664</v>
      </c>
      <c r="E148" s="4" t="n">
        <v>46314.24592443684</v>
      </c>
      <c r="F148" t="b">
        <v>1</v>
      </c>
      <c r="G148" t="n">
        <v/>
      </c>
      <c r="H148" t="inlineStr">
        <is>
          <t>GMD</t>
        </is>
      </c>
      <c r="I148" t="inlineStr">
        <is>
          <t>Genesis Minerals Ltd</t>
        </is>
      </c>
      <c r="J148" t="inlineStr">
        <is>
          <t>AUD</t>
        </is>
      </c>
      <c r="K148" s="5" t="inlineStr">
        <is>
          <t>01a152b9-6ee2-7577-bddd-382bc3853fde</t>
        </is>
      </c>
      <c r="M148" t="inlineStr">
        <is>
          <t>UNKNOWN</t>
        </is>
      </c>
      <c r="N148" t="inlineStr">
        <is>
          <t>DEFAULT</t>
        </is>
      </c>
      <c r="Q148" t="n">
        <v>0</v>
      </c>
      <c r="R148" t="inlineStr">
        <is>
          <t>AUD</t>
        </is>
      </c>
      <c r="S148" t="n">
        <v>0</v>
      </c>
      <c r="T148" t="inlineStr">
        <is>
          <t>AUD</t>
        </is>
      </c>
      <c r="U148" t="n">
        <v>0</v>
      </c>
    </row>
    <row r="149">
      <c r="A149" s="5" t="inlineStr">
        <is>
          <t>01a152b9-7384-7395-b7fc-6578cab77ee8</t>
        </is>
      </c>
      <c r="C149" s="5" t="inlineStr">
        <is>
          <t>01a152b9-6e67-75da-8adb-b03e5d07fd21</t>
        </is>
      </c>
      <c r="D149" s="4" t="n">
        <v>46314.24592450052</v>
      </c>
      <c r="E149" s="4" t="n">
        <v>46314.2459245007</v>
      </c>
      <c r="F149" t="b">
        <v>1</v>
      </c>
      <c r="G149" t="n">
        <v/>
      </c>
      <c r="H149" t="inlineStr">
        <is>
          <t>SUL</t>
        </is>
      </c>
      <c r="I149" t="inlineStr">
        <is>
          <t>Super Retail Group Ltd</t>
        </is>
      </c>
      <c r="J149" t="inlineStr">
        <is>
          <t>AUD</t>
        </is>
      </c>
      <c r="K149" s="5" t="inlineStr">
        <is>
          <t>01a152b9-6ee2-7577-bddd-382bc3853fde</t>
        </is>
      </c>
      <c r="M149" t="inlineStr">
        <is>
          <t>UNKNOWN</t>
        </is>
      </c>
      <c r="N149" t="inlineStr">
        <is>
          <t>DEFAULT</t>
        </is>
      </c>
      <c r="Q149" t="n">
        <v>0</v>
      </c>
      <c r="R149" t="inlineStr">
        <is>
          <t>AUD</t>
        </is>
      </c>
      <c r="S149" t="n">
        <v>0</v>
      </c>
      <c r="T149" t="inlineStr">
        <is>
          <t>AUD</t>
        </is>
      </c>
      <c r="U149" t="n">
        <v>0</v>
      </c>
    </row>
    <row r="150">
      <c r="A150" s="5" t="inlineStr">
        <is>
          <t>01a152b9-738a-7790-8f97-e9e624bf7d35</t>
        </is>
      </c>
      <c r="C150" s="5" t="inlineStr">
        <is>
          <t>01a152b9-6e67-75da-8adb-b03e5d07fd21</t>
        </is>
      </c>
      <c r="D150" s="4" t="n">
        <v>46314.2459245632</v>
      </c>
      <c r="E150" s="4" t="n">
        <v>46314.24592456334</v>
      </c>
      <c r="F150" t="b">
        <v>1</v>
      </c>
      <c r="G150" t="n">
        <v/>
      </c>
      <c r="H150" t="inlineStr">
        <is>
          <t>BPT</t>
        </is>
      </c>
      <c r="I150" t="inlineStr">
        <is>
          <t>Beach Energy Ltd</t>
        </is>
      </c>
      <c r="J150" t="inlineStr">
        <is>
          <t>AUD</t>
        </is>
      </c>
      <c r="K150" s="5" t="inlineStr">
        <is>
          <t>01a152b9-6ee2-7577-bddd-382bc3853fde</t>
        </is>
      </c>
      <c r="M150" t="inlineStr">
        <is>
          <t>UNKNOWN</t>
        </is>
      </c>
      <c r="N150" t="inlineStr">
        <is>
          <t>DEFAULT</t>
        </is>
      </c>
      <c r="Q150" t="n">
        <v>0</v>
      </c>
      <c r="R150" t="inlineStr">
        <is>
          <t>AUD</t>
        </is>
      </c>
      <c r="S150" t="n">
        <v>0</v>
      </c>
      <c r="T150" t="inlineStr">
        <is>
          <t>AUD</t>
        </is>
      </c>
      <c r="U150" t="n">
        <v>0</v>
      </c>
    </row>
    <row r="151">
      <c r="A151" s="5" t="inlineStr">
        <is>
          <t>01a152b9-738e-77e5-9f3d-0a882f2281ac</t>
        </is>
      </c>
      <c r="C151" s="5" t="inlineStr">
        <is>
          <t>01a152b9-6e67-75da-8adb-b03e5d07fd21</t>
        </is>
      </c>
      <c r="D151" s="4" t="n">
        <v>46314.24592461059</v>
      </c>
      <c r="E151" s="4" t="n">
        <v>46314.24592461076</v>
      </c>
      <c r="F151" t="b">
        <v>1</v>
      </c>
      <c r="G151" t="n">
        <v/>
      </c>
      <c r="H151" t="inlineStr">
        <is>
          <t>BFL</t>
        </is>
      </c>
      <c r="I151" t="inlineStr">
        <is>
          <t>BSP Financial Group Ltd</t>
        </is>
      </c>
      <c r="J151" t="inlineStr">
        <is>
          <t>AUD</t>
        </is>
      </c>
      <c r="K151" s="5" t="inlineStr">
        <is>
          <t>01a152b9-6ee2-7577-bddd-382bc3853fde</t>
        </is>
      </c>
      <c r="M151" t="inlineStr">
        <is>
          <t>UNKNOWN</t>
        </is>
      </c>
      <c r="N151" t="inlineStr">
        <is>
          <t>DEFAULT</t>
        </is>
      </c>
      <c r="Q151" t="n">
        <v>0</v>
      </c>
      <c r="R151" t="inlineStr">
        <is>
          <t>AUD</t>
        </is>
      </c>
      <c r="S151" t="n">
        <v>0</v>
      </c>
      <c r="T151" t="inlineStr">
        <is>
          <t>AUD</t>
        </is>
      </c>
      <c r="U151" t="n">
        <v>0</v>
      </c>
    </row>
    <row r="152">
      <c r="A152" s="5" t="inlineStr">
        <is>
          <t>01a152b9-7393-7695-8c9a-b9b0f43feedd</t>
        </is>
      </c>
      <c r="C152" s="5" t="inlineStr">
        <is>
          <t>01a152b9-6e67-75da-8adb-b03e5d07fd21</t>
        </is>
      </c>
      <c r="D152" s="4" t="n">
        <v>46314.24592467063</v>
      </c>
      <c r="E152" s="4" t="n">
        <v>46314.24592467079</v>
      </c>
      <c r="F152" t="b">
        <v>1</v>
      </c>
      <c r="G152" t="n">
        <v/>
      </c>
      <c r="H152" t="inlineStr">
        <is>
          <t>MTS</t>
        </is>
      </c>
      <c r="I152" t="inlineStr">
        <is>
          <t>Metcash Ltd</t>
        </is>
      </c>
      <c r="J152" t="inlineStr">
        <is>
          <t>AUD</t>
        </is>
      </c>
      <c r="K152" s="5" t="inlineStr">
        <is>
          <t>01a152b9-6ee2-7577-bddd-382bc3853fde</t>
        </is>
      </c>
      <c r="M152" t="inlineStr">
        <is>
          <t>UNKNOWN</t>
        </is>
      </c>
      <c r="N152" t="inlineStr">
        <is>
          <t>DEFAULT</t>
        </is>
      </c>
      <c r="Q152" t="n">
        <v>0</v>
      </c>
      <c r="R152" t="inlineStr">
        <is>
          <t>AUD</t>
        </is>
      </c>
      <c r="S152" t="n">
        <v>0</v>
      </c>
      <c r="T152" t="inlineStr">
        <is>
          <t>AUD</t>
        </is>
      </c>
      <c r="U152" t="n">
        <v>0</v>
      </c>
    </row>
    <row r="153">
      <c r="A153" s="5" t="inlineStr">
        <is>
          <t>01a152b9-7396-777d-a369-1b8b4836a6b4</t>
        </is>
      </c>
      <c r="C153" s="5" t="inlineStr">
        <is>
          <t>01a152b9-6e67-75da-8adb-b03e5d07fd21</t>
        </is>
      </c>
      <c r="D153" s="4" t="n">
        <v>46314.24592471127</v>
      </c>
      <c r="E153" s="4" t="n">
        <v>46314.24592471139</v>
      </c>
      <c r="F153" t="b">
        <v>1</v>
      </c>
      <c r="G153" t="n">
        <v/>
      </c>
      <c r="H153" t="inlineStr">
        <is>
          <t>CNU</t>
        </is>
      </c>
      <c r="I153" t="inlineStr">
        <is>
          <t>Chorus Ltd</t>
        </is>
      </c>
      <c r="J153" t="inlineStr">
        <is>
          <t>AUD</t>
        </is>
      </c>
      <c r="K153" s="5" t="inlineStr">
        <is>
          <t>01a152b9-6ee2-7577-bddd-382bc3853fde</t>
        </is>
      </c>
      <c r="M153" t="inlineStr">
        <is>
          <t>UNKNOWN</t>
        </is>
      </c>
      <c r="N153" t="inlineStr">
        <is>
          <t>DEFAULT</t>
        </is>
      </c>
      <c r="Q153" t="n">
        <v>0</v>
      </c>
      <c r="R153" t="inlineStr">
        <is>
          <t>AUD</t>
        </is>
      </c>
      <c r="S153" t="n">
        <v>0</v>
      </c>
      <c r="T153" t="inlineStr">
        <is>
          <t>AUD</t>
        </is>
      </c>
      <c r="U153" t="n">
        <v>0</v>
      </c>
    </row>
    <row r="154">
      <c r="A154" s="5" t="inlineStr">
        <is>
          <t>01a152b9-739a-72e0-8342-c26696ee7790</t>
        </is>
      </c>
      <c r="C154" s="5" t="inlineStr">
        <is>
          <t>01a152b9-6e67-75da-8adb-b03e5d07fd21</t>
        </is>
      </c>
      <c r="D154" s="4" t="n">
        <v>46314.24592475175</v>
      </c>
      <c r="E154" s="4" t="n">
        <v>46314.24592475185</v>
      </c>
      <c r="F154" t="b">
        <v>1</v>
      </c>
      <c r="G154" t="n">
        <v/>
      </c>
      <c r="H154" t="inlineStr">
        <is>
          <t>ARB</t>
        </is>
      </c>
      <c r="I154" t="inlineStr">
        <is>
          <t>ARB Corporation Ltd</t>
        </is>
      </c>
      <c r="J154" t="inlineStr">
        <is>
          <t>AUD</t>
        </is>
      </c>
      <c r="K154" s="5" t="inlineStr">
        <is>
          <t>01a152b9-6ee2-7577-bddd-382bc3853fde</t>
        </is>
      </c>
      <c r="M154" t="inlineStr">
        <is>
          <t>UNKNOWN</t>
        </is>
      </c>
      <c r="N154" t="inlineStr">
        <is>
          <t>DEFAULT</t>
        </is>
      </c>
      <c r="Q154" t="n">
        <v>0</v>
      </c>
      <c r="R154" t="inlineStr">
        <is>
          <t>AUD</t>
        </is>
      </c>
      <c r="S154" t="n">
        <v>0</v>
      </c>
      <c r="T154" t="inlineStr">
        <is>
          <t>AUD</t>
        </is>
      </c>
      <c r="U154" t="n">
        <v>0</v>
      </c>
    </row>
    <row r="155">
      <c r="A155" s="5" t="inlineStr">
        <is>
          <t>01a152b9-739d-75dd-8ef4-5ae3fdd9615b</t>
        </is>
      </c>
      <c r="C155" s="5" t="inlineStr">
        <is>
          <t>01a152b9-6e67-75da-8adb-b03e5d07fd21</t>
        </is>
      </c>
      <c r="D155" s="4" t="n">
        <v>46314.24592478859</v>
      </c>
      <c r="E155" s="4" t="n">
        <v>46314.24592478869</v>
      </c>
      <c r="F155" t="b">
        <v>1</v>
      </c>
      <c r="G155" t="n">
        <v/>
      </c>
      <c r="H155" t="inlineStr">
        <is>
          <t>VNT</t>
        </is>
      </c>
      <c r="I155" t="inlineStr">
        <is>
          <t>Ventia Services Group Ltd</t>
        </is>
      </c>
      <c r="J155" t="inlineStr">
        <is>
          <t>AUD</t>
        </is>
      </c>
      <c r="K155" s="5" t="inlineStr">
        <is>
          <t>01a152b9-6ee2-7577-bddd-382bc3853fde</t>
        </is>
      </c>
      <c r="M155" t="inlineStr">
        <is>
          <t>UNKNOWN</t>
        </is>
      </c>
      <c r="N155" t="inlineStr">
        <is>
          <t>DEFAULT</t>
        </is>
      </c>
      <c r="Q155" t="n">
        <v>0</v>
      </c>
      <c r="R155" t="inlineStr">
        <is>
          <t>AUD</t>
        </is>
      </c>
      <c r="S155" t="n">
        <v>0</v>
      </c>
      <c r="T155" t="inlineStr">
        <is>
          <t>AUD</t>
        </is>
      </c>
      <c r="U155" t="n">
        <v>0</v>
      </c>
    </row>
    <row r="156">
      <c r="A156" s="5" t="inlineStr">
        <is>
          <t>01a152b9-73a0-7701-8aa7-487c88ff3a8b</t>
        </is>
      </c>
      <c r="C156" s="5" t="inlineStr">
        <is>
          <t>01a152b9-6e67-75da-8adb-b03e5d07fd21</t>
        </is>
      </c>
      <c r="D156" s="4" t="n">
        <v>46314.2459248261</v>
      </c>
      <c r="E156" s="4" t="n">
        <v>46314.2459248262</v>
      </c>
      <c r="F156" t="b">
        <v>1</v>
      </c>
      <c r="G156" t="n">
        <v/>
      </c>
      <c r="H156" t="inlineStr">
        <is>
          <t>ORA</t>
        </is>
      </c>
      <c r="I156" t="inlineStr">
        <is>
          <t>Orora Ltd</t>
        </is>
      </c>
      <c r="J156" t="inlineStr">
        <is>
          <t>AUD</t>
        </is>
      </c>
      <c r="K156" s="5" t="inlineStr">
        <is>
          <t>01a152b9-6ee2-7577-bddd-382bc3853fde</t>
        </is>
      </c>
      <c r="M156" t="inlineStr">
        <is>
          <t>UNKNOWN</t>
        </is>
      </c>
      <c r="N156" t="inlineStr">
        <is>
          <t>DEFAULT</t>
        </is>
      </c>
      <c r="Q156" t="n">
        <v>0</v>
      </c>
      <c r="R156" t="inlineStr">
        <is>
          <t>AUD</t>
        </is>
      </c>
      <c r="S156" t="n">
        <v>0</v>
      </c>
      <c r="T156" t="inlineStr">
        <is>
          <t>AUD</t>
        </is>
      </c>
      <c r="U156" t="n">
        <v>0</v>
      </c>
    </row>
    <row r="157">
      <c r="A157" s="5" t="inlineStr">
        <is>
          <t>01a152b9-73a4-767a-8b37-8a36c2ceb307</t>
        </is>
      </c>
      <c r="C157" s="5" t="inlineStr">
        <is>
          <t>01a152b9-6e67-75da-8adb-b03e5d07fd21</t>
        </is>
      </c>
      <c r="D157" s="4" t="n">
        <v>46314.24592486351</v>
      </c>
      <c r="E157" s="4" t="n">
        <v>46314.24592486362</v>
      </c>
      <c r="F157" t="b">
        <v>1</v>
      </c>
      <c r="G157" t="n">
        <v/>
      </c>
      <c r="H157" t="inlineStr">
        <is>
          <t>APE</t>
        </is>
      </c>
      <c r="I157" t="inlineStr">
        <is>
          <t>Eagers Automotive Ltd</t>
        </is>
      </c>
      <c r="J157" t="inlineStr">
        <is>
          <t>AUD</t>
        </is>
      </c>
      <c r="K157" s="5" t="inlineStr">
        <is>
          <t>01a152b9-6ee2-7577-bddd-382bc3853fde</t>
        </is>
      </c>
      <c r="M157" t="inlineStr">
        <is>
          <t>UNKNOWN</t>
        </is>
      </c>
      <c r="N157" t="inlineStr">
        <is>
          <t>DEFAULT</t>
        </is>
      </c>
      <c r="Q157" t="n">
        <v>0</v>
      </c>
      <c r="R157" t="inlineStr">
        <is>
          <t>AUD</t>
        </is>
      </c>
      <c r="S157" t="n">
        <v>0</v>
      </c>
      <c r="T157" t="inlineStr">
        <is>
          <t>AUD</t>
        </is>
      </c>
      <c r="U157" t="n">
        <v>0</v>
      </c>
    </row>
    <row r="158">
      <c r="A158" s="5" t="inlineStr">
        <is>
          <t>01a152b9-73a7-7747-afb5-4e04f3e86938</t>
        </is>
      </c>
      <c r="C158" s="5" t="inlineStr">
        <is>
          <t>01a152b9-6e67-75da-8adb-b03e5d07fd21</t>
        </is>
      </c>
      <c r="D158" s="4" t="n">
        <v>46314.24592489881</v>
      </c>
      <c r="E158" s="4" t="n">
        <v>46314.24592489893</v>
      </c>
      <c r="F158" t="b">
        <v>1</v>
      </c>
      <c r="G158" t="n">
        <v/>
      </c>
      <c r="H158" t="inlineStr">
        <is>
          <t>LOV</t>
        </is>
      </c>
      <c r="I158" t="inlineStr">
        <is>
          <t>Lovisa Holdings Ltd</t>
        </is>
      </c>
      <c r="J158" t="inlineStr">
        <is>
          <t>AUD</t>
        </is>
      </c>
      <c r="K158" s="5" t="inlineStr">
        <is>
          <t>01a152b9-6ee2-7577-bddd-382bc3853fde</t>
        </is>
      </c>
      <c r="M158" t="inlineStr">
        <is>
          <t>UNKNOWN</t>
        </is>
      </c>
      <c r="N158" t="inlineStr">
        <is>
          <t>DEFAULT</t>
        </is>
      </c>
      <c r="Q158" t="n">
        <v>0</v>
      </c>
      <c r="R158" t="inlineStr">
        <is>
          <t>AUD</t>
        </is>
      </c>
      <c r="S158" t="n">
        <v>0</v>
      </c>
      <c r="T158" t="inlineStr">
        <is>
          <t>AUD</t>
        </is>
      </c>
      <c r="U158" t="n">
        <v>0</v>
      </c>
    </row>
    <row r="159">
      <c r="A159" s="5" t="inlineStr">
        <is>
          <t>01a152b9-73aa-7530-b072-ed8d94a36ab6</t>
        </is>
      </c>
      <c r="C159" s="5" t="inlineStr">
        <is>
          <t>01a152b9-6e67-75da-8adb-b03e5d07fd21</t>
        </is>
      </c>
      <c r="D159" s="4" t="n">
        <v>46314.2459249338</v>
      </c>
      <c r="E159" s="4" t="n">
        <v>46314.2459249339</v>
      </c>
      <c r="F159" t="b">
        <v>1</v>
      </c>
      <c r="G159" t="n">
        <v/>
      </c>
      <c r="H159" t="inlineStr">
        <is>
          <t>NSR</t>
        </is>
      </c>
      <c r="I159" t="inlineStr">
        <is>
          <t>National Storage REIT</t>
        </is>
      </c>
      <c r="J159" t="inlineStr">
        <is>
          <t>AUD</t>
        </is>
      </c>
      <c r="K159" s="5" t="inlineStr">
        <is>
          <t>01a152b9-6ee2-7577-bddd-382bc3853fde</t>
        </is>
      </c>
      <c r="M159" t="inlineStr">
        <is>
          <t>UNKNOWN</t>
        </is>
      </c>
      <c r="N159" t="inlineStr">
        <is>
          <t>DEFAULT</t>
        </is>
      </c>
      <c r="Q159" t="n">
        <v>0</v>
      </c>
      <c r="R159" t="inlineStr">
        <is>
          <t>AUD</t>
        </is>
      </c>
      <c r="S159" t="n">
        <v>0</v>
      </c>
      <c r="T159" t="inlineStr">
        <is>
          <t>AUD</t>
        </is>
      </c>
      <c r="U159" t="n">
        <v>0</v>
      </c>
    </row>
    <row r="160">
      <c r="A160" s="5" t="inlineStr">
        <is>
          <t>01a152b9-73ad-7736-b90f-56a6a6a40ff4</t>
        </is>
      </c>
      <c r="C160" s="5" t="inlineStr">
        <is>
          <t>01a152b9-6e67-75da-8adb-b03e5d07fd21</t>
        </is>
      </c>
      <c r="D160" s="4" t="n">
        <v>46314.24592497007</v>
      </c>
      <c r="E160" s="4" t="n">
        <v>46314.24592497017</v>
      </c>
      <c r="F160" t="b">
        <v>1</v>
      </c>
      <c r="G160" t="n">
        <v/>
      </c>
      <c r="H160" t="inlineStr">
        <is>
          <t>DFGH</t>
        </is>
      </c>
      <c r="I160" t="inlineStr">
        <is>
          <t>Dimensional Global Core Equity Trust Aud Hedged - Active ETF</t>
        </is>
      </c>
      <c r="J160" t="inlineStr">
        <is>
          <t>AUD</t>
        </is>
      </c>
      <c r="K160" s="5" t="inlineStr">
        <is>
          <t>01a152b9-6ee2-7577-bddd-382bc3853fde</t>
        </is>
      </c>
      <c r="M160" t="inlineStr">
        <is>
          <t>UNKNOWN</t>
        </is>
      </c>
      <c r="N160" t="inlineStr">
        <is>
          <t>DEFAULT</t>
        </is>
      </c>
      <c r="Q160" t="n">
        <v>0</v>
      </c>
      <c r="R160" t="inlineStr">
        <is>
          <t>AUD</t>
        </is>
      </c>
      <c r="S160" t="n">
        <v>0</v>
      </c>
      <c r="T160" t="inlineStr">
        <is>
          <t>AUD</t>
        </is>
      </c>
      <c r="U160" t="n">
        <v>0</v>
      </c>
    </row>
    <row r="161">
      <c r="A161" s="5" t="inlineStr">
        <is>
          <t>01a152b9-73b0-71cc-a718-b78ded149fbf</t>
        </is>
      </c>
      <c r="C161" s="5" t="inlineStr">
        <is>
          <t>01a152b9-6e67-75da-8adb-b03e5d07fd21</t>
        </is>
      </c>
      <c r="D161" s="4" t="n">
        <v>46314.24592500964</v>
      </c>
      <c r="E161" s="4" t="n">
        <v>46314.24592500973</v>
      </c>
      <c r="F161" t="b">
        <v>1</v>
      </c>
      <c r="G161" t="n">
        <v/>
      </c>
      <c r="H161" t="inlineStr">
        <is>
          <t>CMM</t>
        </is>
      </c>
      <c r="I161" t="inlineStr">
        <is>
          <t>Capricorn Metals Ltd</t>
        </is>
      </c>
      <c r="J161" t="inlineStr">
        <is>
          <t>AUD</t>
        </is>
      </c>
      <c r="K161" s="5" t="inlineStr">
        <is>
          <t>01a152b9-6ee2-7577-bddd-382bc3853fde</t>
        </is>
      </c>
      <c r="M161" t="inlineStr">
        <is>
          <t>UNKNOWN</t>
        </is>
      </c>
      <c r="N161" t="inlineStr">
        <is>
          <t>DEFAULT</t>
        </is>
      </c>
      <c r="Q161" t="n">
        <v>0</v>
      </c>
      <c r="R161" t="inlineStr">
        <is>
          <t>AUD</t>
        </is>
      </c>
      <c r="S161" t="n">
        <v>0</v>
      </c>
      <c r="T161" t="inlineStr">
        <is>
          <t>AUD</t>
        </is>
      </c>
      <c r="U161" t="n">
        <v>0</v>
      </c>
    </row>
    <row r="162">
      <c r="A162" s="5" t="inlineStr">
        <is>
          <t>01a152b9-73b3-77bc-871e-33e27f0b3458</t>
        </is>
      </c>
      <c r="C162" s="5" t="inlineStr">
        <is>
          <t>01a152b9-6e67-75da-8adb-b03e5d07fd21</t>
        </is>
      </c>
      <c r="D162" s="4" t="n">
        <v>46314.24592504678</v>
      </c>
      <c r="E162" s="4" t="n">
        <v>46314.24592504687</v>
      </c>
      <c r="F162" t="b">
        <v>1</v>
      </c>
      <c r="G162" t="n">
        <v/>
      </c>
      <c r="H162" t="inlineStr">
        <is>
          <t>VAP</t>
        </is>
      </c>
      <c r="I162" t="inlineStr">
        <is>
          <t>Vanguard Australian Property Securities INDEX ETF</t>
        </is>
      </c>
      <c r="J162" t="inlineStr">
        <is>
          <t>AUD</t>
        </is>
      </c>
      <c r="K162" s="5" t="inlineStr">
        <is>
          <t>01a152b9-6ee2-7577-bddd-382bc3853fde</t>
        </is>
      </c>
      <c r="M162" t="inlineStr">
        <is>
          <t>UNIT_TRUST</t>
        </is>
      </c>
      <c r="N162" t="inlineStr">
        <is>
          <t>SUGGESTED</t>
        </is>
      </c>
      <c r="Q162" t="n">
        <v>0</v>
      </c>
      <c r="R162" t="inlineStr">
        <is>
          <t>AUD</t>
        </is>
      </c>
      <c r="S162" t="n">
        <v>0</v>
      </c>
      <c r="T162" t="inlineStr">
        <is>
          <t>AUD</t>
        </is>
      </c>
      <c r="U162" t="n">
        <v>0</v>
      </c>
    </row>
    <row r="163">
      <c r="A163" s="5" t="inlineStr">
        <is>
          <t>01a152b9-73b7-7109-b0ee-59ca50605054</t>
        </is>
      </c>
      <c r="C163" s="5" t="inlineStr">
        <is>
          <t>01a152b9-6e67-75da-8adb-b03e5d07fd21</t>
        </is>
      </c>
      <c r="D163" s="4" t="n">
        <v>46314.24592509135</v>
      </c>
      <c r="E163" s="4" t="n">
        <v>46314.24592509145</v>
      </c>
      <c r="F163" t="b">
        <v>1</v>
      </c>
      <c r="G163" t="n">
        <v/>
      </c>
      <c r="H163" t="inlineStr">
        <is>
          <t>IFL</t>
        </is>
      </c>
      <c r="I163" t="inlineStr">
        <is>
          <t>Insignia Financial Ltd</t>
        </is>
      </c>
      <c r="J163" t="inlineStr">
        <is>
          <t>AUD</t>
        </is>
      </c>
      <c r="K163" s="5" t="inlineStr">
        <is>
          <t>01a152b9-6ee2-7577-bddd-382bc3853fde</t>
        </is>
      </c>
      <c r="M163" t="inlineStr">
        <is>
          <t>UNKNOWN</t>
        </is>
      </c>
      <c r="N163" t="inlineStr">
        <is>
          <t>DEFAULT</t>
        </is>
      </c>
      <c r="Q163" t="n">
        <v>0</v>
      </c>
      <c r="R163" t="inlineStr">
        <is>
          <t>AUD</t>
        </is>
      </c>
      <c r="S163" t="n">
        <v>0</v>
      </c>
      <c r="T163" t="inlineStr">
        <is>
          <t>AUD</t>
        </is>
      </c>
      <c r="U163" t="n">
        <v>0</v>
      </c>
    </row>
    <row r="164">
      <c r="A164" s="5" t="inlineStr">
        <is>
          <t>01a152b9-73ba-7148-9f10-d3fc4311a181</t>
        </is>
      </c>
      <c r="C164" s="5" t="inlineStr">
        <is>
          <t>01a152b9-6e67-75da-8adb-b03e5d07fd21</t>
        </is>
      </c>
      <c r="D164" s="4" t="n">
        <v>46314.24592512519</v>
      </c>
      <c r="E164" s="4" t="n">
        <v>46314.24592512528</v>
      </c>
      <c r="F164" t="b">
        <v>1</v>
      </c>
      <c r="G164" t="n">
        <v/>
      </c>
      <c r="H164" t="inlineStr">
        <is>
          <t>CIA</t>
        </is>
      </c>
      <c r="I164" t="inlineStr">
        <is>
          <t>Champion Iron Ltd</t>
        </is>
      </c>
      <c r="J164" t="inlineStr">
        <is>
          <t>AUD</t>
        </is>
      </c>
      <c r="K164" s="5" t="inlineStr">
        <is>
          <t>01a152b9-6ee2-7577-bddd-382bc3853fde</t>
        </is>
      </c>
      <c r="M164" t="inlineStr">
        <is>
          <t>UNKNOWN</t>
        </is>
      </c>
      <c r="N164" t="inlineStr">
        <is>
          <t>DEFAULT</t>
        </is>
      </c>
      <c r="Q164" t="n">
        <v>0</v>
      </c>
      <c r="R164" t="inlineStr">
        <is>
          <t>AUD</t>
        </is>
      </c>
      <c r="S164" t="n">
        <v>0</v>
      </c>
      <c r="T164" t="inlineStr">
        <is>
          <t>AUD</t>
        </is>
      </c>
      <c r="U164" t="n">
        <v>0</v>
      </c>
    </row>
    <row r="165">
      <c r="A165" s="5" t="inlineStr">
        <is>
          <t>01a152b9-73be-7341-a9cb-8576a65d44e6</t>
        </is>
      </c>
      <c r="C165" s="5" t="inlineStr">
        <is>
          <t>01a152b9-6e67-75da-8adb-b03e5d07fd21</t>
        </is>
      </c>
      <c r="D165" s="4" t="n">
        <v>46314.24592516432</v>
      </c>
      <c r="E165" s="4" t="n">
        <v>46314.24592516443</v>
      </c>
      <c r="F165" t="b">
        <v>1</v>
      </c>
      <c r="G165" t="n">
        <v/>
      </c>
      <c r="H165" t="inlineStr">
        <is>
          <t>TUA</t>
        </is>
      </c>
      <c r="I165" t="inlineStr">
        <is>
          <t>Tuas Ltd</t>
        </is>
      </c>
      <c r="J165" t="inlineStr">
        <is>
          <t>AUD</t>
        </is>
      </c>
      <c r="K165" s="5" t="inlineStr">
        <is>
          <t>01a152b9-6ee2-7577-bddd-382bc3853fde</t>
        </is>
      </c>
      <c r="M165" t="inlineStr">
        <is>
          <t>UNKNOWN</t>
        </is>
      </c>
      <c r="N165" t="inlineStr">
        <is>
          <t>DEFAULT</t>
        </is>
      </c>
      <c r="Q165" t="n">
        <v>0</v>
      </c>
      <c r="R165" t="inlineStr">
        <is>
          <t>AUD</t>
        </is>
      </c>
      <c r="S165" t="n">
        <v>0</v>
      </c>
      <c r="T165" t="inlineStr">
        <is>
          <t>AUD</t>
        </is>
      </c>
      <c r="U165" t="n">
        <v>0</v>
      </c>
    </row>
    <row r="166">
      <c r="A166" s="5" t="inlineStr">
        <is>
          <t>01a152b9-73c1-712a-bee8-ee5c70e30727</t>
        </is>
      </c>
      <c r="C166" s="5" t="inlineStr">
        <is>
          <t>01a152b9-6e67-75da-8adb-b03e5d07fd21</t>
        </is>
      </c>
      <c r="D166" s="4" t="n">
        <v>46314.24592520559</v>
      </c>
      <c r="E166" s="4" t="n">
        <v>46314.24592520569</v>
      </c>
      <c r="F166" t="b">
        <v>1</v>
      </c>
      <c r="G166" t="n">
        <v/>
      </c>
      <c r="H166" t="inlineStr">
        <is>
          <t>CDA</t>
        </is>
      </c>
      <c r="I166" t="inlineStr">
        <is>
          <t>Codan Ltd</t>
        </is>
      </c>
      <c r="J166" t="inlineStr">
        <is>
          <t>AUD</t>
        </is>
      </c>
      <c r="K166" s="5" t="inlineStr">
        <is>
          <t>01a152b9-6ee2-7577-bddd-382bc3853fde</t>
        </is>
      </c>
      <c r="M166" t="inlineStr">
        <is>
          <t>UNKNOWN</t>
        </is>
      </c>
      <c r="N166" t="inlineStr">
        <is>
          <t>DEFAULT</t>
        </is>
      </c>
      <c r="Q166" t="n">
        <v>0</v>
      </c>
      <c r="R166" t="inlineStr">
        <is>
          <t>AUD</t>
        </is>
      </c>
      <c r="S166" t="n">
        <v>0</v>
      </c>
      <c r="T166" t="inlineStr">
        <is>
          <t>AUD</t>
        </is>
      </c>
      <c r="U166" t="n">
        <v>0</v>
      </c>
    </row>
    <row r="167">
      <c r="A167" s="5" t="inlineStr">
        <is>
          <t>01a152b9-73c5-7011-b8c7-4ffe170502da</t>
        </is>
      </c>
      <c r="C167" s="5" t="inlineStr">
        <is>
          <t>01a152b9-6e67-75da-8adb-b03e5d07fd21</t>
        </is>
      </c>
      <c r="D167" s="4" t="n">
        <v>46314.24592525003</v>
      </c>
      <c r="E167" s="4" t="n">
        <v>46314.24592525014</v>
      </c>
      <c r="F167" t="b">
        <v>1</v>
      </c>
      <c r="G167" t="n">
        <v/>
      </c>
      <c r="H167" t="inlineStr">
        <is>
          <t>FBU</t>
        </is>
      </c>
      <c r="I167" t="inlineStr">
        <is>
          <t>Fletcher Building Ltd</t>
        </is>
      </c>
      <c r="J167" t="inlineStr">
        <is>
          <t>AUD</t>
        </is>
      </c>
      <c r="K167" s="5" t="inlineStr">
        <is>
          <t>01a152b9-6ee2-7577-bddd-382bc3853fde</t>
        </is>
      </c>
      <c r="M167" t="inlineStr">
        <is>
          <t>UNKNOWN</t>
        </is>
      </c>
      <c r="N167" t="inlineStr">
        <is>
          <t>DEFAULT</t>
        </is>
      </c>
      <c r="Q167" t="n">
        <v>0</v>
      </c>
      <c r="R167" t="inlineStr">
        <is>
          <t>AUD</t>
        </is>
      </c>
      <c r="S167" t="n">
        <v>0</v>
      </c>
      <c r="T167" t="inlineStr">
        <is>
          <t>AUD</t>
        </is>
      </c>
      <c r="U167" t="n">
        <v>0</v>
      </c>
    </row>
    <row r="168">
      <c r="A168" s="5" t="inlineStr">
        <is>
          <t>01a152b9-73c8-7583-881e-7991cc38076c</t>
        </is>
      </c>
      <c r="C168" s="5" t="inlineStr">
        <is>
          <t>01a152b9-6e67-75da-8adb-b03e5d07fd21</t>
        </is>
      </c>
      <c r="D168" s="4" t="n">
        <v>46314.24592528661</v>
      </c>
      <c r="E168" s="4" t="n">
        <v>46314.24606211724</v>
      </c>
      <c r="F168" t="b">
        <v>1</v>
      </c>
      <c r="G168" t="n">
        <v/>
      </c>
      <c r="H168" t="inlineStr">
        <is>
          <t>VDHG</t>
        </is>
      </c>
      <c r="I168" t="inlineStr">
        <is>
          <t>Vanguard Diversified High Growth INDEX ETF</t>
        </is>
      </c>
      <c r="J168" t="inlineStr">
        <is>
          <t>AUD</t>
        </is>
      </c>
      <c r="K168" s="5" t="inlineStr">
        <is>
          <t>01a152b9-6ee2-7577-bddd-382bc3853fde</t>
        </is>
      </c>
      <c r="M168" t="inlineStr">
        <is>
          <t>UNIT_TRUST</t>
        </is>
      </c>
      <c r="N168" t="inlineStr">
        <is>
          <t>SUGGESTED</t>
        </is>
      </c>
      <c r="Q168" t="n">
        <v>0</v>
      </c>
      <c r="R168" t="inlineStr">
        <is>
          <t>AUD</t>
        </is>
      </c>
      <c r="S168" t="n">
        <v>0</v>
      </c>
      <c r="T168" t="inlineStr">
        <is>
          <t>AUD</t>
        </is>
      </c>
      <c r="U168" t="n">
        <v>0</v>
      </c>
    </row>
    <row r="169">
      <c r="A169" s="5" t="inlineStr">
        <is>
          <t>01a152b9-73cc-76c7-9179-aafc15322620</t>
        </is>
      </c>
      <c r="C169" s="5" t="inlineStr">
        <is>
          <t>01a152b9-6e67-75da-8adb-b03e5d07fd21</t>
        </is>
      </c>
      <c r="D169" s="4" t="n">
        <v>46314.24592532881</v>
      </c>
      <c r="E169" s="4" t="n">
        <v>46314.24592532891</v>
      </c>
      <c r="F169" t="b">
        <v>1</v>
      </c>
      <c r="G169" t="n">
        <v/>
      </c>
      <c r="H169" t="inlineStr">
        <is>
          <t>DMP</t>
        </is>
      </c>
      <c r="I169" t="inlineStr">
        <is>
          <t>Domino's PIZZA Enterprises Ltd</t>
        </is>
      </c>
      <c r="J169" t="inlineStr">
        <is>
          <t>AUD</t>
        </is>
      </c>
      <c r="K169" s="5" t="inlineStr">
        <is>
          <t>01a152b9-6ee2-7577-bddd-382bc3853fde</t>
        </is>
      </c>
      <c r="M169" t="inlineStr">
        <is>
          <t>UNKNOWN</t>
        </is>
      </c>
      <c r="N169" t="inlineStr">
        <is>
          <t>DEFAULT</t>
        </is>
      </c>
      <c r="Q169" t="n">
        <v>0</v>
      </c>
      <c r="R169" t="inlineStr">
        <is>
          <t>AUD</t>
        </is>
      </c>
      <c r="S169" t="n">
        <v>0</v>
      </c>
      <c r="T169" t="inlineStr">
        <is>
          <t>AUD</t>
        </is>
      </c>
      <c r="U169" t="n">
        <v>0</v>
      </c>
    </row>
    <row r="170">
      <c r="A170" s="5" t="inlineStr">
        <is>
          <t>01a152b9-73cf-7540-b33d-e5d099cc4979</t>
        </is>
      </c>
      <c r="C170" s="5" t="inlineStr">
        <is>
          <t>01a152b9-6e67-75da-8adb-b03e5d07fd21</t>
        </is>
      </c>
      <c r="D170" s="4" t="n">
        <v>46314.24592536213</v>
      </c>
      <c r="E170" s="4" t="n">
        <v>46314.24592536222</v>
      </c>
      <c r="F170" t="b">
        <v>1</v>
      </c>
      <c r="G170" t="n">
        <v/>
      </c>
      <c r="H170" t="inlineStr">
        <is>
          <t>IAF</t>
        </is>
      </c>
      <c r="I170" t="inlineStr">
        <is>
          <t>Ishares Core Composite Bond ETF</t>
        </is>
      </c>
      <c r="J170" t="inlineStr">
        <is>
          <t>AUD</t>
        </is>
      </c>
      <c r="K170" s="5" t="inlineStr">
        <is>
          <t>01a152b9-6ee2-7577-bddd-382bc3853fde</t>
        </is>
      </c>
      <c r="M170" t="inlineStr">
        <is>
          <t>UNIT_TRUST</t>
        </is>
      </c>
      <c r="N170" t="inlineStr">
        <is>
          <t>SUGGESTED</t>
        </is>
      </c>
      <c r="Q170" t="n">
        <v>0</v>
      </c>
      <c r="R170" t="inlineStr">
        <is>
          <t>AUD</t>
        </is>
      </c>
      <c r="S170" t="n">
        <v>0</v>
      </c>
      <c r="T170" t="inlineStr">
        <is>
          <t>AUD</t>
        </is>
      </c>
      <c r="U170" t="n">
        <v>0</v>
      </c>
    </row>
    <row r="171">
      <c r="A171" s="5" t="inlineStr">
        <is>
          <t>01a152b9-73d3-7330-9710-3f1661da6e49</t>
        </is>
      </c>
      <c r="C171" s="5" t="inlineStr">
        <is>
          <t>01a152b9-6e67-75da-8adb-b03e5d07fd21</t>
        </is>
      </c>
      <c r="D171" s="4" t="n">
        <v>46314.24592541089</v>
      </c>
      <c r="E171" s="4" t="n">
        <v>46314.24592541099</v>
      </c>
      <c r="F171" t="b">
        <v>1</v>
      </c>
      <c r="G171" t="n">
        <v/>
      </c>
      <c r="H171" t="inlineStr">
        <is>
          <t>MFF</t>
        </is>
      </c>
      <c r="I171" t="inlineStr">
        <is>
          <t>MFF Capital Investments Ltd</t>
        </is>
      </c>
      <c r="J171" t="inlineStr">
        <is>
          <t>AUD</t>
        </is>
      </c>
      <c r="K171" s="5" t="inlineStr">
        <is>
          <t>01a152b9-6ee2-7577-bddd-382bc3853fde</t>
        </is>
      </c>
      <c r="M171" t="inlineStr">
        <is>
          <t>UNKNOWN</t>
        </is>
      </c>
      <c r="N171" t="inlineStr">
        <is>
          <t>DEFAULT</t>
        </is>
      </c>
      <c r="Q171" t="n">
        <v>0</v>
      </c>
      <c r="R171" t="inlineStr">
        <is>
          <t>AUD</t>
        </is>
      </c>
      <c r="S171" t="n">
        <v>0</v>
      </c>
      <c r="T171" t="inlineStr">
        <is>
          <t>AUD</t>
        </is>
      </c>
      <c r="U171" t="n">
        <v>0</v>
      </c>
    </row>
    <row r="172">
      <c r="A172" s="5" t="inlineStr">
        <is>
          <t>01a152b9-73d6-70c4-8641-118827efe5e6</t>
        </is>
      </c>
      <c r="C172" s="5" t="inlineStr">
        <is>
          <t>01a152b9-6e67-75da-8adb-b03e5d07fd21</t>
        </is>
      </c>
      <c r="D172" s="4" t="n">
        <v>46314.24592544875</v>
      </c>
      <c r="E172" s="4" t="n">
        <v>46314.24592544886</v>
      </c>
      <c r="F172" t="b">
        <v>1</v>
      </c>
      <c r="G172" t="n">
        <v/>
      </c>
      <c r="H172" t="inlineStr">
        <is>
          <t>SNZ</t>
        </is>
      </c>
      <c r="I172" t="inlineStr">
        <is>
          <t>Summerset Group Holdings Ltd</t>
        </is>
      </c>
      <c r="J172" t="inlineStr">
        <is>
          <t>AUD</t>
        </is>
      </c>
      <c r="K172" s="5" t="inlineStr">
        <is>
          <t>01a152b9-6ee2-7577-bddd-382bc3853fde</t>
        </is>
      </c>
      <c r="M172" t="inlineStr">
        <is>
          <t>UNKNOWN</t>
        </is>
      </c>
      <c r="N172" t="inlineStr">
        <is>
          <t>DEFAULT</t>
        </is>
      </c>
      <c r="Q172" t="n">
        <v>0</v>
      </c>
      <c r="R172" t="inlineStr">
        <is>
          <t>AUD</t>
        </is>
      </c>
      <c r="S172" t="n">
        <v>0</v>
      </c>
      <c r="T172" t="inlineStr">
        <is>
          <t>AUD</t>
        </is>
      </c>
      <c r="U172" t="n">
        <v>0</v>
      </c>
    </row>
    <row r="173">
      <c r="A173" s="5" t="inlineStr">
        <is>
          <t>01a152b9-73da-7073-b38a-7af8ee5cd20e</t>
        </is>
      </c>
      <c r="C173" s="5" t="inlineStr">
        <is>
          <t>01a152b9-6e67-75da-8adb-b03e5d07fd21</t>
        </is>
      </c>
      <c r="D173" s="4" t="n">
        <v>46314.24592549869</v>
      </c>
      <c r="E173" s="4" t="n">
        <v>46314.24592549884</v>
      </c>
      <c r="F173" t="b">
        <v>1</v>
      </c>
      <c r="G173" t="n">
        <v/>
      </c>
      <c r="H173" t="inlineStr">
        <is>
          <t>CLW</t>
        </is>
      </c>
      <c r="I173" t="inlineStr">
        <is>
          <t>Charter Hall Long Wale REIT</t>
        </is>
      </c>
      <c r="J173" t="inlineStr">
        <is>
          <t>AUD</t>
        </is>
      </c>
      <c r="K173" s="5" t="inlineStr">
        <is>
          <t>01a152b9-6ee2-7577-bddd-382bc3853fde</t>
        </is>
      </c>
      <c r="M173" t="inlineStr">
        <is>
          <t>UNKNOWN</t>
        </is>
      </c>
      <c r="N173" t="inlineStr">
        <is>
          <t>DEFAULT</t>
        </is>
      </c>
      <c r="Q173" t="n">
        <v>0</v>
      </c>
      <c r="R173" t="inlineStr">
        <is>
          <t>AUD</t>
        </is>
      </c>
      <c r="S173" t="n">
        <v>0</v>
      </c>
      <c r="T173" t="inlineStr">
        <is>
          <t>AUD</t>
        </is>
      </c>
      <c r="U173" t="n">
        <v>0</v>
      </c>
    </row>
    <row r="174">
      <c r="A174" s="5" t="inlineStr">
        <is>
          <t>01a152b9-73df-7069-a42d-85c32483c576</t>
        </is>
      </c>
      <c r="C174" s="5" t="inlineStr">
        <is>
          <t>01a152b9-6e67-75da-8adb-b03e5d07fd21</t>
        </is>
      </c>
      <c r="D174" s="4" t="n">
        <v>46314.24592554898</v>
      </c>
      <c r="E174" s="4" t="n">
        <v>46314.24592554914</v>
      </c>
      <c r="F174" t="b">
        <v>1</v>
      </c>
      <c r="G174" t="n">
        <v/>
      </c>
      <c r="H174" t="inlineStr">
        <is>
          <t>RMS</t>
        </is>
      </c>
      <c r="I174" t="inlineStr">
        <is>
          <t>Ramelius Resources Ltd</t>
        </is>
      </c>
      <c r="J174" t="inlineStr">
        <is>
          <t>AUD</t>
        </is>
      </c>
      <c r="K174" s="5" t="inlineStr">
        <is>
          <t>01a152b9-6ee2-7577-bddd-382bc3853fde</t>
        </is>
      </c>
      <c r="M174" t="inlineStr">
        <is>
          <t>UNKNOWN</t>
        </is>
      </c>
      <c r="N174" t="inlineStr">
        <is>
          <t>DEFAULT</t>
        </is>
      </c>
      <c r="Q174" t="n">
        <v>0</v>
      </c>
      <c r="R174" t="inlineStr">
        <is>
          <t>AUD</t>
        </is>
      </c>
      <c r="S174" t="n">
        <v>0</v>
      </c>
      <c r="T174" t="inlineStr">
        <is>
          <t>AUD</t>
        </is>
      </c>
      <c r="U174" t="n">
        <v>0</v>
      </c>
    </row>
    <row r="175">
      <c r="A175" s="5" t="inlineStr">
        <is>
          <t>01a152b9-73e3-70ea-98ed-dcc3e707ccd9</t>
        </is>
      </c>
      <c r="C175" s="5" t="inlineStr">
        <is>
          <t>01a152b9-6e67-75da-8adb-b03e5d07fd21</t>
        </is>
      </c>
      <c r="D175" s="4" t="n">
        <v>46314.24592559758</v>
      </c>
      <c r="E175" s="4" t="n">
        <v>46314.24592559771</v>
      </c>
      <c r="F175" t="b">
        <v>1</v>
      </c>
      <c r="G175" t="n">
        <v/>
      </c>
      <c r="H175" t="inlineStr">
        <is>
          <t>GOR</t>
        </is>
      </c>
      <c r="I175" t="inlineStr">
        <is>
          <t>Gold Road Resources Ltd</t>
        </is>
      </c>
      <c r="J175" t="inlineStr">
        <is>
          <t>AUD</t>
        </is>
      </c>
      <c r="K175" s="5" t="inlineStr">
        <is>
          <t>01a152b9-6ee2-7577-bddd-382bc3853fde</t>
        </is>
      </c>
      <c r="M175" t="inlineStr">
        <is>
          <t>UNKNOWN</t>
        </is>
      </c>
      <c r="N175" t="inlineStr">
        <is>
          <t>DEFAULT</t>
        </is>
      </c>
      <c r="Q175" t="n">
        <v>0</v>
      </c>
      <c r="R175" t="inlineStr">
        <is>
          <t>AUD</t>
        </is>
      </c>
      <c r="S175" t="n">
        <v>0</v>
      </c>
      <c r="T175" t="inlineStr">
        <is>
          <t>AUD</t>
        </is>
      </c>
      <c r="U175" t="n">
        <v>0</v>
      </c>
    </row>
    <row r="176">
      <c r="A176" s="5" t="inlineStr">
        <is>
          <t>01a152b9-73e7-7366-8376-0a2a269195f5</t>
        </is>
      </c>
      <c r="C176" s="5" t="inlineStr">
        <is>
          <t>01a152b9-6e67-75da-8adb-b03e5d07fd21</t>
        </is>
      </c>
      <c r="D176" s="4" t="n">
        <v>46314.24592564005</v>
      </c>
      <c r="E176" s="4" t="n">
        <v>46314.2459256402</v>
      </c>
      <c r="F176" t="b">
        <v>1</v>
      </c>
      <c r="G176" t="n">
        <v/>
      </c>
      <c r="H176" t="inlineStr">
        <is>
          <t>NHF</t>
        </is>
      </c>
      <c r="I176" t="inlineStr">
        <is>
          <t>Nib Holdings Ltd</t>
        </is>
      </c>
      <c r="J176" t="inlineStr">
        <is>
          <t>AUD</t>
        </is>
      </c>
      <c r="K176" s="5" t="inlineStr">
        <is>
          <t>01a152b9-6ee2-7577-bddd-382bc3853fde</t>
        </is>
      </c>
      <c r="M176" t="inlineStr">
        <is>
          <t>UNKNOWN</t>
        </is>
      </c>
      <c r="N176" t="inlineStr">
        <is>
          <t>DEFAULT</t>
        </is>
      </c>
      <c r="Q176" t="n">
        <v>0</v>
      </c>
      <c r="R176" t="inlineStr">
        <is>
          <t>AUD</t>
        </is>
      </c>
      <c r="S176" t="n">
        <v>0</v>
      </c>
      <c r="T176" t="inlineStr">
        <is>
          <t>AUD</t>
        </is>
      </c>
      <c r="U176" t="n">
        <v>0</v>
      </c>
    </row>
    <row r="177">
      <c r="A177" s="5" t="inlineStr">
        <is>
          <t>01a152b9-73eb-76ab-bb1c-3b2886c81ed0</t>
        </is>
      </c>
      <c r="C177" s="5" t="inlineStr">
        <is>
          <t>01a152b9-6e67-75da-8adb-b03e5d07fd21</t>
        </is>
      </c>
      <c r="D177" s="4" t="n">
        <v>46314.24592568655</v>
      </c>
      <c r="E177" s="4" t="n">
        <v>46314.24592568668</v>
      </c>
      <c r="F177" t="b">
        <v>1</v>
      </c>
      <c r="G177" t="n">
        <v/>
      </c>
      <c r="H177" t="inlineStr">
        <is>
          <t>MVW</t>
        </is>
      </c>
      <c r="I177" t="inlineStr">
        <is>
          <t>Vaneck Australian EQUAL Weight ETF</t>
        </is>
      </c>
      <c r="J177" t="inlineStr">
        <is>
          <t>AUD</t>
        </is>
      </c>
      <c r="K177" s="5" t="inlineStr">
        <is>
          <t>01a152b9-6ee2-7577-bddd-382bc3853fde</t>
        </is>
      </c>
      <c r="M177" t="inlineStr">
        <is>
          <t>UNIT_TRUST</t>
        </is>
      </c>
      <c r="N177" t="inlineStr">
        <is>
          <t>SUGGESTED</t>
        </is>
      </c>
      <c r="Q177" t="n">
        <v>0</v>
      </c>
      <c r="R177" t="inlineStr">
        <is>
          <t>AUD</t>
        </is>
      </c>
      <c r="S177" t="n">
        <v>0</v>
      </c>
      <c r="T177" t="inlineStr">
        <is>
          <t>AUD</t>
        </is>
      </c>
      <c r="U177" t="n">
        <v>0</v>
      </c>
    </row>
    <row r="178">
      <c r="A178" s="5" t="inlineStr">
        <is>
          <t>01a152b9-73ef-7077-805d-5c68d0c1eec1</t>
        </is>
      </c>
      <c r="C178" s="5" t="inlineStr">
        <is>
          <t>01a152b9-6e67-75da-8adb-b03e5d07fd21</t>
        </is>
      </c>
      <c r="D178" s="4" t="n">
        <v>46314.2459257348</v>
      </c>
      <c r="E178" s="4" t="n">
        <v>46314.24592573493</v>
      </c>
      <c r="F178" t="b">
        <v>1</v>
      </c>
      <c r="G178" t="n">
        <v/>
      </c>
      <c r="H178" t="inlineStr">
        <is>
          <t>DGT</t>
        </is>
      </c>
      <c r="I178" t="inlineStr">
        <is>
          <t>Digico Infrastructure REIT</t>
        </is>
      </c>
      <c r="J178" t="inlineStr">
        <is>
          <t>AUD</t>
        </is>
      </c>
      <c r="K178" s="5" t="inlineStr">
        <is>
          <t>01a152b9-6ee2-7577-bddd-382bc3853fde</t>
        </is>
      </c>
      <c r="M178" t="inlineStr">
        <is>
          <t>UNKNOWN</t>
        </is>
      </c>
      <c r="N178" t="inlineStr">
        <is>
          <t>DEFAULT</t>
        </is>
      </c>
      <c r="Q178" t="n">
        <v>0</v>
      </c>
      <c r="R178" t="inlineStr">
        <is>
          <t>AUD</t>
        </is>
      </c>
      <c r="S178" t="n">
        <v>0</v>
      </c>
      <c r="T178" t="inlineStr">
        <is>
          <t>AUD</t>
        </is>
      </c>
      <c r="U178" t="n">
        <v>0</v>
      </c>
    </row>
    <row r="179">
      <c r="A179" s="5" t="inlineStr">
        <is>
          <t>01a152b9-73f2-72f0-887b-784e9b16dcc3</t>
        </is>
      </c>
      <c r="C179" s="5" t="inlineStr">
        <is>
          <t>01a152b9-6e67-75da-8adb-b03e5d07fd21</t>
        </is>
      </c>
      <c r="D179" s="4" t="n">
        <v>46314.24592577692</v>
      </c>
      <c r="E179" s="4" t="n">
        <v>46314.24592577705</v>
      </c>
      <c r="F179" t="b">
        <v>1</v>
      </c>
      <c r="G179" t="n">
        <v/>
      </c>
      <c r="H179" t="inlineStr">
        <is>
          <t>SMR</t>
        </is>
      </c>
      <c r="I179" t="inlineStr">
        <is>
          <t>Stanmore Resources Ltd</t>
        </is>
      </c>
      <c r="J179" t="inlineStr">
        <is>
          <t>AUD</t>
        </is>
      </c>
      <c r="K179" s="5" t="inlineStr">
        <is>
          <t>01a152b9-6ee2-7577-bddd-382bc3853fde</t>
        </is>
      </c>
      <c r="M179" t="inlineStr">
        <is>
          <t>UNKNOWN</t>
        </is>
      </c>
      <c r="N179" t="inlineStr">
        <is>
          <t>DEFAULT</t>
        </is>
      </c>
      <c r="Q179" t="n">
        <v>0</v>
      </c>
      <c r="R179" t="inlineStr">
        <is>
          <t>AUD</t>
        </is>
      </c>
      <c r="S179" t="n">
        <v>0</v>
      </c>
      <c r="T179" t="inlineStr">
        <is>
          <t>AUD</t>
        </is>
      </c>
      <c r="U179" t="n">
        <v>0</v>
      </c>
    </row>
    <row r="180">
      <c r="A180" s="5" t="inlineStr">
        <is>
          <t>01a152b9-73f6-7426-a3ce-883ccbfaf7b5</t>
        </is>
      </c>
      <c r="C180" s="5" t="inlineStr">
        <is>
          <t>01a152b9-6e67-75da-8adb-b03e5d07fd21</t>
        </is>
      </c>
      <c r="D180" s="4" t="n">
        <v>46314.24592581531</v>
      </c>
      <c r="E180" s="4" t="n">
        <v>46314.24592581544</v>
      </c>
      <c r="F180" t="b">
        <v>1</v>
      </c>
      <c r="G180" t="n">
        <v/>
      </c>
      <c r="H180" t="inlineStr">
        <is>
          <t>SGM</t>
        </is>
      </c>
      <c r="I180" t="inlineStr">
        <is>
          <t>Sims Ltd</t>
        </is>
      </c>
      <c r="J180" t="inlineStr">
        <is>
          <t>AUD</t>
        </is>
      </c>
      <c r="K180" s="5" t="inlineStr">
        <is>
          <t>01a152b9-6ee2-7577-bddd-382bc3853fde</t>
        </is>
      </c>
      <c r="M180" t="inlineStr">
        <is>
          <t>UNKNOWN</t>
        </is>
      </c>
      <c r="N180" t="inlineStr">
        <is>
          <t>DEFAULT</t>
        </is>
      </c>
      <c r="Q180" t="n">
        <v>0</v>
      </c>
      <c r="R180" t="inlineStr">
        <is>
          <t>AUD</t>
        </is>
      </c>
      <c r="S180" t="n">
        <v>0</v>
      </c>
      <c r="T180" t="inlineStr">
        <is>
          <t>AUD</t>
        </is>
      </c>
      <c r="U180" t="n">
        <v>0</v>
      </c>
    </row>
    <row r="181">
      <c r="A181" s="5" t="inlineStr">
        <is>
          <t>01a152b9-73fa-70e9-9965-cbe8e5a6b056</t>
        </is>
      </c>
      <c r="C181" s="5" t="inlineStr">
        <is>
          <t>01a152b9-6e67-75da-8adb-b03e5d07fd21</t>
        </is>
      </c>
      <c r="D181" s="4" t="n">
        <v>46314.24592586329</v>
      </c>
      <c r="E181" s="4" t="n">
        <v>46314.24592586345</v>
      </c>
      <c r="F181" t="b">
        <v>1</v>
      </c>
      <c r="G181" t="n">
        <v/>
      </c>
      <c r="H181" t="inlineStr">
        <is>
          <t>RGN</t>
        </is>
      </c>
      <c r="I181" t="inlineStr">
        <is>
          <t>Region Group</t>
        </is>
      </c>
      <c r="J181" t="inlineStr">
        <is>
          <t>AUD</t>
        </is>
      </c>
      <c r="K181" s="5" t="inlineStr">
        <is>
          <t>01a152b9-6ee2-7577-bddd-382bc3853fde</t>
        </is>
      </c>
      <c r="M181" t="inlineStr">
        <is>
          <t>UNKNOWN</t>
        </is>
      </c>
      <c r="N181" t="inlineStr">
        <is>
          <t>DEFAULT</t>
        </is>
      </c>
      <c r="Q181" t="n">
        <v>0</v>
      </c>
      <c r="R181" t="inlineStr">
        <is>
          <t>AUD</t>
        </is>
      </c>
      <c r="S181" t="n">
        <v>0</v>
      </c>
      <c r="T181" t="inlineStr">
        <is>
          <t>AUD</t>
        </is>
      </c>
      <c r="U181" t="n">
        <v>0</v>
      </c>
    </row>
    <row r="182">
      <c r="A182" s="5" t="inlineStr">
        <is>
          <t>01a152b9-73fe-7204-b9c2-f639f446a268</t>
        </is>
      </c>
      <c r="C182" s="5" t="inlineStr">
        <is>
          <t>01a152b9-6e67-75da-8adb-b03e5d07fd21</t>
        </is>
      </c>
      <c r="D182" s="4" t="n">
        <v>46314.24592591517</v>
      </c>
      <c r="E182" s="4" t="n">
        <v>46314.24592591531</v>
      </c>
      <c r="F182" t="b">
        <v>1</v>
      </c>
      <c r="G182" t="n">
        <v/>
      </c>
      <c r="H182" t="inlineStr">
        <is>
          <t>NABPH</t>
        </is>
      </c>
      <c r="I182" t="inlineStr">
        <is>
          <t>National Australia Bank Ltd</t>
        </is>
      </c>
      <c r="J182" t="inlineStr">
        <is>
          <t>AUD</t>
        </is>
      </c>
      <c r="K182" s="5" t="inlineStr">
        <is>
          <t>01a152b9-6ee2-7577-bddd-382bc3853fde</t>
        </is>
      </c>
      <c r="M182" t="inlineStr">
        <is>
          <t>UNKNOWN</t>
        </is>
      </c>
      <c r="N182" t="inlineStr">
        <is>
          <t>DEFAULT</t>
        </is>
      </c>
      <c r="Q182" t="n">
        <v>0</v>
      </c>
      <c r="R182" t="inlineStr">
        <is>
          <t>AUD</t>
        </is>
      </c>
      <c r="S182" t="n">
        <v>0</v>
      </c>
      <c r="T182" t="inlineStr">
        <is>
          <t>AUD</t>
        </is>
      </c>
      <c r="U182" t="n">
        <v>0</v>
      </c>
    </row>
    <row r="183">
      <c r="A183" s="5" t="inlineStr">
        <is>
          <t>01a152b9-7403-715a-980f-b5eed61516e4</t>
        </is>
      </c>
      <c r="C183" s="5" t="inlineStr">
        <is>
          <t>01a152b9-6e67-75da-8adb-b03e5d07fd21</t>
        </is>
      </c>
      <c r="D183" s="4" t="n">
        <v>46314.24592596347</v>
      </c>
      <c r="E183" s="4" t="n">
        <v>46314.24592596361</v>
      </c>
      <c r="F183" t="b">
        <v>1</v>
      </c>
      <c r="G183" t="n">
        <v/>
      </c>
      <c r="H183" t="inlineStr">
        <is>
          <t>VAU</t>
        </is>
      </c>
      <c r="I183" t="inlineStr">
        <is>
          <t>Vault Minerals Ltd</t>
        </is>
      </c>
      <c r="J183" t="inlineStr">
        <is>
          <t>AUD</t>
        </is>
      </c>
      <c r="K183" s="5" t="inlineStr">
        <is>
          <t>01a152b9-6ee2-7577-bddd-382bc3853fde</t>
        </is>
      </c>
      <c r="M183" t="inlineStr">
        <is>
          <t>UNKNOWN</t>
        </is>
      </c>
      <c r="N183" t="inlineStr">
        <is>
          <t>DEFAULT</t>
        </is>
      </c>
      <c r="Q183" t="n">
        <v>0</v>
      </c>
      <c r="R183" t="inlineStr">
        <is>
          <t>AUD</t>
        </is>
      </c>
      <c r="S183" t="n">
        <v>0</v>
      </c>
      <c r="T183" t="inlineStr">
        <is>
          <t>AUD</t>
        </is>
      </c>
      <c r="U183" t="n">
        <v>0</v>
      </c>
    </row>
    <row r="184">
      <c r="A184" s="5" t="inlineStr">
        <is>
          <t>01a152b9-7406-7446-82b8-2dac37d4c56b</t>
        </is>
      </c>
      <c r="C184" s="5" t="inlineStr">
        <is>
          <t>01a152b9-6e67-75da-8adb-b03e5d07fd21</t>
        </is>
      </c>
      <c r="D184" s="4" t="n">
        <v>46314.24592600657</v>
      </c>
      <c r="E184" s="4" t="n">
        <v>46314.2459260067</v>
      </c>
      <c r="F184" t="b">
        <v>1</v>
      </c>
      <c r="G184" t="n">
        <v/>
      </c>
      <c r="H184" t="inlineStr">
        <is>
          <t>EMR</t>
        </is>
      </c>
      <c r="I184" t="inlineStr">
        <is>
          <t>Emerald Resources NL</t>
        </is>
      </c>
      <c r="J184" t="inlineStr">
        <is>
          <t>AUD</t>
        </is>
      </c>
      <c r="K184" s="5" t="inlineStr">
        <is>
          <t>01a152b9-6ee2-7577-bddd-382bc3853fde</t>
        </is>
      </c>
      <c r="M184" t="inlineStr">
        <is>
          <t>UNKNOWN</t>
        </is>
      </c>
      <c r="N184" t="inlineStr">
        <is>
          <t>DEFAULT</t>
        </is>
      </c>
      <c r="Q184" t="n">
        <v>0</v>
      </c>
      <c r="R184" t="inlineStr">
        <is>
          <t>AUD</t>
        </is>
      </c>
      <c r="S184" t="n">
        <v>0</v>
      </c>
      <c r="T184" t="inlineStr">
        <is>
          <t>AUD</t>
        </is>
      </c>
      <c r="U184" t="n">
        <v>0</v>
      </c>
    </row>
    <row r="185">
      <c r="A185" s="5" t="inlineStr">
        <is>
          <t>01a152b9-740a-713d-9896-295743c4402b</t>
        </is>
      </c>
      <c r="C185" s="5" t="inlineStr">
        <is>
          <t>01a152b9-6e67-75da-8adb-b03e5d07fd21</t>
        </is>
      </c>
      <c r="D185" s="4" t="n">
        <v>46314.24592604735</v>
      </c>
      <c r="E185" s="4" t="n">
        <v>46314.2459260475</v>
      </c>
      <c r="F185" t="b">
        <v>1</v>
      </c>
      <c r="G185" t="n">
        <v/>
      </c>
      <c r="H185" t="inlineStr">
        <is>
          <t>WGX</t>
        </is>
      </c>
      <c r="I185" t="inlineStr">
        <is>
          <t>Westgold Resources Ltd</t>
        </is>
      </c>
      <c r="J185" t="inlineStr">
        <is>
          <t>AUD</t>
        </is>
      </c>
      <c r="K185" s="5" t="inlineStr">
        <is>
          <t>01a152b9-6ee2-7577-bddd-382bc3853fde</t>
        </is>
      </c>
      <c r="M185" t="inlineStr">
        <is>
          <t>UNKNOWN</t>
        </is>
      </c>
      <c r="N185" t="inlineStr">
        <is>
          <t>DEFAULT</t>
        </is>
      </c>
      <c r="Q185" t="n">
        <v>0</v>
      </c>
      <c r="R185" t="inlineStr">
        <is>
          <t>AUD</t>
        </is>
      </c>
      <c r="S185" t="n">
        <v>0</v>
      </c>
      <c r="T185" t="inlineStr">
        <is>
          <t>AUD</t>
        </is>
      </c>
      <c r="U185" t="n">
        <v>0</v>
      </c>
    </row>
    <row r="186">
      <c r="A186" s="5" t="inlineStr">
        <is>
          <t>01a152b9-740e-7729-9303-0cb55e279569</t>
        </is>
      </c>
      <c r="C186" s="5" t="inlineStr">
        <is>
          <t>01a152b9-6e67-75da-8adb-b03e5d07fd21</t>
        </is>
      </c>
      <c r="D186" s="4" t="n">
        <v>46314.24592608976</v>
      </c>
      <c r="E186" s="4" t="n">
        <v>46314.24592608986</v>
      </c>
      <c r="F186" t="b">
        <v>1</v>
      </c>
      <c r="G186" t="n">
        <v/>
      </c>
      <c r="H186" t="inlineStr">
        <is>
          <t>HDN</t>
        </is>
      </c>
      <c r="I186" t="inlineStr">
        <is>
          <t>Homeco Daily Needs REIT</t>
        </is>
      </c>
      <c r="J186" t="inlineStr">
        <is>
          <t>AUD</t>
        </is>
      </c>
      <c r="K186" s="5" t="inlineStr">
        <is>
          <t>01a152b9-6ee2-7577-bddd-382bc3853fde</t>
        </is>
      </c>
      <c r="M186" t="inlineStr">
        <is>
          <t>UNKNOWN</t>
        </is>
      </c>
      <c r="N186" t="inlineStr">
        <is>
          <t>DEFAULT</t>
        </is>
      </c>
      <c r="Q186" t="n">
        <v>0</v>
      </c>
      <c r="R186" t="inlineStr">
        <is>
          <t>AUD</t>
        </is>
      </c>
      <c r="S186" t="n">
        <v>0</v>
      </c>
      <c r="T186" t="inlineStr">
        <is>
          <t>AUD</t>
        </is>
      </c>
      <c r="U186" t="n">
        <v>0</v>
      </c>
    </row>
    <row r="187">
      <c r="A187" s="5" t="inlineStr">
        <is>
          <t>01a152b9-7412-7551-8fda-a05f8c8b5a72</t>
        </is>
      </c>
      <c r="C187" s="5" t="inlineStr">
        <is>
          <t>01a152b9-6e67-75da-8adb-b03e5d07fd21</t>
        </is>
      </c>
      <c r="D187" s="4" t="n">
        <v>46314.24592613645</v>
      </c>
      <c r="E187" s="4" t="n">
        <v>46314.24592613657</v>
      </c>
      <c r="F187" t="b">
        <v>1</v>
      </c>
      <c r="G187" t="n">
        <v/>
      </c>
      <c r="H187" t="inlineStr">
        <is>
          <t>PPT</t>
        </is>
      </c>
      <c r="I187" t="inlineStr">
        <is>
          <t>Perpetual Ltd</t>
        </is>
      </c>
      <c r="J187" t="inlineStr">
        <is>
          <t>AUD</t>
        </is>
      </c>
      <c r="K187" s="5" t="inlineStr">
        <is>
          <t>01a152b9-6ee2-7577-bddd-382bc3853fde</t>
        </is>
      </c>
      <c r="M187" t="inlineStr">
        <is>
          <t>UNKNOWN</t>
        </is>
      </c>
      <c r="N187" t="inlineStr">
        <is>
          <t>DEFAULT</t>
        </is>
      </c>
      <c r="Q187" t="n">
        <v>0</v>
      </c>
      <c r="R187" t="inlineStr">
        <is>
          <t>AUD</t>
        </is>
      </c>
      <c r="S187" t="n">
        <v>0</v>
      </c>
      <c r="T187" t="inlineStr">
        <is>
          <t>AUD</t>
        </is>
      </c>
      <c r="U187" t="n">
        <v>0</v>
      </c>
    </row>
    <row r="188">
      <c r="A188" s="5" t="inlineStr">
        <is>
          <t>01a152b9-7415-7049-8f9c-0ed1a0d1b348</t>
        </is>
      </c>
      <c r="C188" s="5" t="inlineStr">
        <is>
          <t>01a152b9-6e67-75da-8adb-b03e5d07fd21</t>
        </is>
      </c>
      <c r="D188" s="4" t="n">
        <v>46314.24592618132</v>
      </c>
      <c r="E188" s="4" t="n">
        <v>46314.24592618146</v>
      </c>
      <c r="F188" t="b">
        <v>1</v>
      </c>
      <c r="G188" t="n">
        <v/>
      </c>
      <c r="H188" t="inlineStr">
        <is>
          <t>BWP</t>
        </is>
      </c>
      <c r="I188" t="inlineStr">
        <is>
          <t>BWP Trust</t>
        </is>
      </c>
      <c r="J188" t="inlineStr">
        <is>
          <t>AUD</t>
        </is>
      </c>
      <c r="K188" s="5" t="inlineStr">
        <is>
          <t>01a152b9-6ee2-7577-bddd-382bc3853fde</t>
        </is>
      </c>
      <c r="M188" t="inlineStr">
        <is>
          <t>STAPLED</t>
        </is>
      </c>
      <c r="N188" t="inlineStr">
        <is>
          <t>SUGGESTED</t>
        </is>
      </c>
      <c r="Q188" t="n">
        <v>0</v>
      </c>
      <c r="R188" t="inlineStr">
        <is>
          <t>AUD</t>
        </is>
      </c>
      <c r="S188" t="n">
        <v>0</v>
      </c>
      <c r="T188" t="inlineStr">
        <is>
          <t>AUD</t>
        </is>
      </c>
      <c r="U188" t="n">
        <v>0</v>
      </c>
    </row>
    <row r="189">
      <c r="A189" s="5" t="inlineStr">
        <is>
          <t>01a152b9-741a-7605-beea-d816c4e39a23</t>
        </is>
      </c>
      <c r="C189" s="5" t="inlineStr">
        <is>
          <t>01a152b9-6e67-75da-8adb-b03e5d07fd21</t>
        </is>
      </c>
      <c r="D189" s="4" t="n">
        <v>46314.24592623812</v>
      </c>
      <c r="E189" s="4" t="n">
        <v>46314.2459262383</v>
      </c>
      <c r="F189" t="b">
        <v>1</v>
      </c>
      <c r="G189" t="n">
        <v/>
      </c>
      <c r="H189" t="inlineStr">
        <is>
          <t>HBRD</t>
        </is>
      </c>
      <c r="I189" t="inlineStr">
        <is>
          <t>Betashares Active Australian Hybrids Fund (Managed Fund)</t>
        </is>
      </c>
      <c r="J189" t="inlineStr">
        <is>
          <t>AUD</t>
        </is>
      </c>
      <c r="K189" s="5" t="inlineStr">
        <is>
          <t>01a152b9-6ee2-7577-bddd-382bc3853fde</t>
        </is>
      </c>
      <c r="M189" t="inlineStr">
        <is>
          <t>UNKNOWN</t>
        </is>
      </c>
      <c r="N189" t="inlineStr">
        <is>
          <t>DEFAULT</t>
        </is>
      </c>
      <c r="Q189" t="n">
        <v>0</v>
      </c>
      <c r="R189" t="inlineStr">
        <is>
          <t>AUD</t>
        </is>
      </c>
      <c r="S189" t="n">
        <v>0</v>
      </c>
      <c r="T189" t="inlineStr">
        <is>
          <t>AUD</t>
        </is>
      </c>
      <c r="U189" t="n">
        <v>0</v>
      </c>
    </row>
    <row r="190">
      <c r="A190" s="5" t="inlineStr">
        <is>
          <t>01a152b9-741e-72b6-91fd-106bd0ea005c</t>
        </is>
      </c>
      <c r="C190" s="5" t="inlineStr">
        <is>
          <t>01a152b9-6e67-75da-8adb-b03e5d07fd21</t>
        </is>
      </c>
      <c r="D190" s="4" t="n">
        <v>46314.24592628352</v>
      </c>
      <c r="E190" s="4" t="n">
        <v>46314.24592628363</v>
      </c>
      <c r="F190" t="b">
        <v>1</v>
      </c>
      <c r="G190" t="n">
        <v/>
      </c>
      <c r="H190" t="inlineStr">
        <is>
          <t>PXA</t>
        </is>
      </c>
      <c r="I190" t="inlineStr">
        <is>
          <t>Pexa Group Ltd</t>
        </is>
      </c>
      <c r="J190" t="inlineStr">
        <is>
          <t>AUD</t>
        </is>
      </c>
      <c r="K190" s="5" t="inlineStr">
        <is>
          <t>01a152b9-6ee2-7577-bddd-382bc3853fde</t>
        </is>
      </c>
      <c r="M190" t="inlineStr">
        <is>
          <t>UNKNOWN</t>
        </is>
      </c>
      <c r="N190" t="inlineStr">
        <is>
          <t>DEFAULT</t>
        </is>
      </c>
      <c r="Q190" t="n">
        <v>0</v>
      </c>
      <c r="R190" t="inlineStr">
        <is>
          <t>AUD</t>
        </is>
      </c>
      <c r="S190" t="n">
        <v>0</v>
      </c>
      <c r="T190" t="inlineStr">
        <is>
          <t>AUD</t>
        </is>
      </c>
      <c r="U190" t="n">
        <v>0</v>
      </c>
    </row>
    <row r="191">
      <c r="A191" s="5" t="inlineStr">
        <is>
          <t>01a152b9-7422-71d6-82d1-6af3c2427090</t>
        </is>
      </c>
      <c r="C191" s="5" t="inlineStr">
        <is>
          <t>01a152b9-6e67-75da-8adb-b03e5d07fd21</t>
        </is>
      </c>
      <c r="D191" s="4" t="n">
        <v>46314.2459263249</v>
      </c>
      <c r="E191" s="4" t="n">
        <v>46314.24592632502</v>
      </c>
      <c r="F191" t="b">
        <v>1</v>
      </c>
      <c r="G191" t="n">
        <v/>
      </c>
      <c r="H191" t="inlineStr">
        <is>
          <t>VAF</t>
        </is>
      </c>
      <c r="I191" t="inlineStr">
        <is>
          <t>Vanguard Australian Fixed Interest INDEX ETF</t>
        </is>
      </c>
      <c r="J191" t="inlineStr">
        <is>
          <t>AUD</t>
        </is>
      </c>
      <c r="K191" s="5" t="inlineStr">
        <is>
          <t>01a152b9-6ee2-7577-bddd-382bc3853fde</t>
        </is>
      </c>
      <c r="M191" t="inlineStr">
        <is>
          <t>UNIT_TRUST</t>
        </is>
      </c>
      <c r="N191" t="inlineStr">
        <is>
          <t>SUGGESTED</t>
        </is>
      </c>
      <c r="Q191" t="n">
        <v>0</v>
      </c>
      <c r="R191" t="inlineStr">
        <is>
          <t>AUD</t>
        </is>
      </c>
      <c r="S191" t="n">
        <v>0</v>
      </c>
      <c r="T191" t="inlineStr">
        <is>
          <t>AUD</t>
        </is>
      </c>
      <c r="U191" t="n">
        <v>0</v>
      </c>
    </row>
    <row r="192">
      <c r="A192" s="5" t="inlineStr">
        <is>
          <t>01a152b9-7426-728e-ac38-e3b0e95d5fdd</t>
        </is>
      </c>
      <c r="C192" s="5" t="inlineStr">
        <is>
          <t>01a152b9-6e67-75da-8adb-b03e5d07fd21</t>
        </is>
      </c>
      <c r="D192" s="4" t="n">
        <v>46314.24592636814</v>
      </c>
      <c r="E192" s="4" t="n">
        <v>46314.24592636825</v>
      </c>
      <c r="F192" t="b">
        <v>1</v>
      </c>
      <c r="G192" t="n">
        <v/>
      </c>
      <c r="H192" t="inlineStr">
        <is>
          <t>RRL</t>
        </is>
      </c>
      <c r="I192" t="inlineStr">
        <is>
          <t>Regis Resources Ltd</t>
        </is>
      </c>
      <c r="J192" t="inlineStr">
        <is>
          <t>AUD</t>
        </is>
      </c>
      <c r="K192" s="5" t="inlineStr">
        <is>
          <t>01a152b9-6ee2-7577-bddd-382bc3853fde</t>
        </is>
      </c>
      <c r="M192" t="inlineStr">
        <is>
          <t>UNKNOWN</t>
        </is>
      </c>
      <c r="N192" t="inlineStr">
        <is>
          <t>DEFAULT</t>
        </is>
      </c>
      <c r="Q192" t="n">
        <v>0</v>
      </c>
      <c r="R192" t="inlineStr">
        <is>
          <t>AUD</t>
        </is>
      </c>
      <c r="S192" t="n">
        <v>0</v>
      </c>
      <c r="T192" t="inlineStr">
        <is>
          <t>AUD</t>
        </is>
      </c>
      <c r="U192" t="n">
        <v>0</v>
      </c>
    </row>
    <row r="193">
      <c r="A193" s="5" t="inlineStr">
        <is>
          <t>01a152b9-7429-70ff-8d61-0b6030e45316</t>
        </is>
      </c>
      <c r="C193" s="5" t="inlineStr">
        <is>
          <t>01a152b9-6e67-75da-8adb-b03e5d07fd21</t>
        </is>
      </c>
      <c r="D193" s="4" t="n">
        <v>46314.24592641346</v>
      </c>
      <c r="E193" s="4" t="n">
        <v>46314.24592641356</v>
      </c>
      <c r="F193" t="b">
        <v>1</v>
      </c>
      <c r="G193" t="n">
        <v/>
      </c>
      <c r="H193" t="inlineStr">
        <is>
          <t>CEN</t>
        </is>
      </c>
      <c r="I193" t="inlineStr">
        <is>
          <t>Contact Energy Ltd</t>
        </is>
      </c>
      <c r="J193" t="inlineStr">
        <is>
          <t>AUD</t>
        </is>
      </c>
      <c r="K193" s="5" t="inlineStr">
        <is>
          <t>01a152b9-6ee2-7577-bddd-382bc3853fde</t>
        </is>
      </c>
      <c r="M193" t="inlineStr">
        <is>
          <t>UNKNOWN</t>
        </is>
      </c>
      <c r="N193" t="inlineStr">
        <is>
          <t>DEFAULT</t>
        </is>
      </c>
      <c r="Q193" t="n">
        <v>0</v>
      </c>
      <c r="R193" t="inlineStr">
        <is>
          <t>AUD</t>
        </is>
      </c>
      <c r="S193" t="n">
        <v>0</v>
      </c>
      <c r="T193" t="inlineStr">
        <is>
          <t>AUD</t>
        </is>
      </c>
      <c r="U193" t="n">
        <v>0</v>
      </c>
    </row>
    <row r="194">
      <c r="A194" s="5" t="inlineStr">
        <is>
          <t>01a152b9-742d-7713-bbfe-3c2c7bae0f33</t>
        </is>
      </c>
      <c r="C194" s="5" t="inlineStr">
        <is>
          <t>01a152b9-6e67-75da-8adb-b03e5d07fd21</t>
        </is>
      </c>
      <c r="D194" s="4" t="n">
        <v>46314.24592645208</v>
      </c>
      <c r="E194" s="4" t="n">
        <v>46314.24592645217</v>
      </c>
      <c r="F194" t="b">
        <v>1</v>
      </c>
      <c r="G194" t="n">
        <v/>
      </c>
      <c r="H194" t="inlineStr">
        <is>
          <t>LTM</t>
        </is>
      </c>
      <c r="I194" t="inlineStr">
        <is>
          <t>Arcadium Lithium Plc</t>
        </is>
      </c>
      <c r="J194" t="inlineStr">
        <is>
          <t>AUD</t>
        </is>
      </c>
      <c r="K194" s="5" t="inlineStr">
        <is>
          <t>01a152b9-6ee2-7577-bddd-382bc3853fde</t>
        </is>
      </c>
      <c r="M194" t="inlineStr">
        <is>
          <t>UNKNOWN</t>
        </is>
      </c>
      <c r="N194" t="inlineStr">
        <is>
          <t>DEFAULT</t>
        </is>
      </c>
      <c r="Q194" t="n">
        <v>0</v>
      </c>
      <c r="R194" t="inlineStr">
        <is>
          <t>AUD</t>
        </is>
      </c>
      <c r="S194" t="n">
        <v>0</v>
      </c>
      <c r="T194" t="inlineStr">
        <is>
          <t>AUD</t>
        </is>
      </c>
      <c r="U194" t="n">
        <v>0</v>
      </c>
    </row>
    <row r="195">
      <c r="A195" s="5" t="inlineStr">
        <is>
          <t>01a152b9-7430-70a3-93f9-c43ddc664543</t>
        </is>
      </c>
      <c r="C195" s="5" t="inlineStr">
        <is>
          <t>01a152b9-6e67-75da-8adb-b03e5d07fd21</t>
        </is>
      </c>
      <c r="D195" s="4" t="n">
        <v>46314.24592649037</v>
      </c>
      <c r="E195" s="4" t="n">
        <v>46314.24592649048</v>
      </c>
      <c r="F195" t="b">
        <v>1</v>
      </c>
      <c r="G195" t="n">
        <v/>
      </c>
      <c r="H195" t="inlineStr">
        <is>
          <t>INA</t>
        </is>
      </c>
      <c r="I195" t="inlineStr">
        <is>
          <t>Ingenia Communities Group</t>
        </is>
      </c>
      <c r="J195" t="inlineStr">
        <is>
          <t>AUD</t>
        </is>
      </c>
      <c r="K195" s="5" t="inlineStr">
        <is>
          <t>01a152b9-6ee2-7577-bddd-382bc3853fde</t>
        </is>
      </c>
      <c r="M195" t="inlineStr">
        <is>
          <t>UNKNOWN</t>
        </is>
      </c>
      <c r="N195" t="inlineStr">
        <is>
          <t>DEFAULT</t>
        </is>
      </c>
      <c r="Q195" t="n">
        <v>0</v>
      </c>
      <c r="R195" t="inlineStr">
        <is>
          <t>AUD</t>
        </is>
      </c>
      <c r="S195" t="n">
        <v>0</v>
      </c>
      <c r="T195" t="inlineStr">
        <is>
          <t>AUD</t>
        </is>
      </c>
      <c r="U195" t="n">
        <v>0</v>
      </c>
    </row>
    <row r="196">
      <c r="A196" s="5" t="inlineStr">
        <is>
          <t>01a152b9-7433-7263-9320-b43b76b11642</t>
        </is>
      </c>
      <c r="C196" s="5" t="inlineStr">
        <is>
          <t>01a152b9-6e67-75da-8adb-b03e5d07fd21</t>
        </is>
      </c>
      <c r="D196" s="4" t="n">
        <v>46314.24592652637</v>
      </c>
      <c r="E196" s="4" t="n">
        <v>46314.24592652649</v>
      </c>
      <c r="F196" t="b">
        <v>1</v>
      </c>
      <c r="G196" t="n">
        <v/>
      </c>
      <c r="H196" t="inlineStr">
        <is>
          <t>GNE</t>
        </is>
      </c>
      <c r="I196" t="inlineStr">
        <is>
          <t>Genesis Energy Ltd</t>
        </is>
      </c>
      <c r="J196" t="inlineStr">
        <is>
          <t>AUD</t>
        </is>
      </c>
      <c r="K196" s="5" t="inlineStr">
        <is>
          <t>01a152b9-6ee2-7577-bddd-382bc3853fde</t>
        </is>
      </c>
      <c r="M196" t="inlineStr">
        <is>
          <t>UNKNOWN</t>
        </is>
      </c>
      <c r="N196" t="inlineStr">
        <is>
          <t>DEFAULT</t>
        </is>
      </c>
      <c r="Q196" t="n">
        <v>0</v>
      </c>
      <c r="R196" t="inlineStr">
        <is>
          <t>AUD</t>
        </is>
      </c>
      <c r="S196" t="n">
        <v>0</v>
      </c>
      <c r="T196" t="inlineStr">
        <is>
          <t>AUD</t>
        </is>
      </c>
      <c r="U196" t="n">
        <v>0</v>
      </c>
    </row>
    <row r="197">
      <c r="A197" s="5" t="inlineStr">
        <is>
          <t>01a152b9-7436-7364-ae0a-2b4b6df0d21e</t>
        </is>
      </c>
      <c r="C197" s="5" t="inlineStr">
        <is>
          <t>01a152b9-6e67-75da-8adb-b03e5d07fd21</t>
        </is>
      </c>
      <c r="D197" s="4" t="n">
        <v>46314.24592656278</v>
      </c>
      <c r="E197" s="4" t="n">
        <v>46314.24592656294</v>
      </c>
      <c r="F197" t="b">
        <v>1</v>
      </c>
      <c r="G197" t="n">
        <v/>
      </c>
      <c r="H197" t="inlineStr">
        <is>
          <t>RDX</t>
        </is>
      </c>
      <c r="I197" t="inlineStr">
        <is>
          <t>REDOX Ltd</t>
        </is>
      </c>
      <c r="J197" t="inlineStr">
        <is>
          <t>AUD</t>
        </is>
      </c>
      <c r="K197" s="5" t="inlineStr">
        <is>
          <t>01a152b9-6ee2-7577-bddd-382bc3853fde</t>
        </is>
      </c>
      <c r="M197" t="inlineStr">
        <is>
          <t>UNKNOWN</t>
        </is>
      </c>
      <c r="N197" t="inlineStr">
        <is>
          <t>DEFAULT</t>
        </is>
      </c>
      <c r="Q197" t="n">
        <v>0</v>
      </c>
      <c r="R197" t="inlineStr">
        <is>
          <t>AUD</t>
        </is>
      </c>
      <c r="S197" t="n">
        <v>0</v>
      </c>
      <c r="T197" t="inlineStr">
        <is>
          <t>AUD</t>
        </is>
      </c>
      <c r="U197" t="n">
        <v>0</v>
      </c>
    </row>
    <row r="198">
      <c r="A198" s="5" t="inlineStr">
        <is>
          <t>01a152b9-743a-75b3-a604-81cfd045e642</t>
        </is>
      </c>
      <c r="C198" s="5" t="inlineStr">
        <is>
          <t>01a152b9-6e67-75da-8adb-b03e5d07fd21</t>
        </is>
      </c>
      <c r="D198" s="4" t="n">
        <v>46314.24592659897</v>
      </c>
      <c r="E198" s="4" t="n">
        <v>46314.24592659906</v>
      </c>
      <c r="F198" t="b">
        <v>1</v>
      </c>
      <c r="G198" t="n">
        <v/>
      </c>
      <c r="H198" t="inlineStr">
        <is>
          <t>MXT</t>
        </is>
      </c>
      <c r="I198" t="inlineStr">
        <is>
          <t>Metrics Master Income Trust</t>
        </is>
      </c>
      <c r="J198" t="inlineStr">
        <is>
          <t>AUD</t>
        </is>
      </c>
      <c r="K198" s="5" t="inlineStr">
        <is>
          <t>01a152b9-6ee2-7577-bddd-382bc3853fde</t>
        </is>
      </c>
      <c r="M198" t="inlineStr">
        <is>
          <t>UNKNOWN</t>
        </is>
      </c>
      <c r="N198" t="inlineStr">
        <is>
          <t>DEFAULT</t>
        </is>
      </c>
      <c r="Q198" t="n">
        <v>0</v>
      </c>
      <c r="R198" t="inlineStr">
        <is>
          <t>AUD</t>
        </is>
      </c>
      <c r="S198" t="n">
        <v>0</v>
      </c>
      <c r="T198" t="inlineStr">
        <is>
          <t>AUD</t>
        </is>
      </c>
      <c r="U198" t="n">
        <v>0</v>
      </c>
    </row>
    <row r="199">
      <c r="A199" s="5" t="inlineStr">
        <is>
          <t>01a152b9-743d-72b1-a936-ca2e001faa44</t>
        </is>
      </c>
      <c r="C199" s="5" t="inlineStr">
        <is>
          <t>01a152b9-6e67-75da-8adb-b03e5d07fd21</t>
        </is>
      </c>
      <c r="D199" s="4" t="n">
        <v>46314.24592663593</v>
      </c>
      <c r="E199" s="4" t="n">
        <v>46314.24592663602</v>
      </c>
      <c r="F199" t="b">
        <v>1</v>
      </c>
      <c r="G199" t="n">
        <v/>
      </c>
      <c r="H199" t="inlineStr">
        <is>
          <t>MAQ</t>
        </is>
      </c>
      <c r="I199" t="inlineStr">
        <is>
          <t>Macquarie Technology Group Ltd</t>
        </is>
      </c>
      <c r="J199" t="inlineStr">
        <is>
          <t>AUD</t>
        </is>
      </c>
      <c r="K199" s="5" t="inlineStr">
        <is>
          <t>01a152b9-6ee2-7577-bddd-382bc3853fde</t>
        </is>
      </c>
      <c r="M199" t="inlineStr">
        <is>
          <t>UNKNOWN</t>
        </is>
      </c>
      <c r="N199" t="inlineStr">
        <is>
          <t>DEFAULT</t>
        </is>
      </c>
      <c r="Q199" t="n">
        <v>0</v>
      </c>
      <c r="R199" t="inlineStr">
        <is>
          <t>AUD</t>
        </is>
      </c>
      <c r="S199" t="n">
        <v>0</v>
      </c>
      <c r="T199" t="inlineStr">
        <is>
          <t>AUD</t>
        </is>
      </c>
      <c r="U199" t="n">
        <v>0</v>
      </c>
    </row>
    <row r="200">
      <c r="A200" s="5" t="inlineStr">
        <is>
          <t>01a152b9-7440-72a7-83c1-5a029bc26782</t>
        </is>
      </c>
      <c r="C200" s="5" t="inlineStr">
        <is>
          <t>01a152b9-6e67-75da-8adb-b03e5d07fd21</t>
        </is>
      </c>
      <c r="D200" s="4" t="n">
        <v>46314.2459266747</v>
      </c>
      <c r="E200" s="4" t="n">
        <v>46314.24592667479</v>
      </c>
      <c r="F200" t="b">
        <v>1</v>
      </c>
      <c r="G200" t="n">
        <v/>
      </c>
      <c r="H200" t="inlineStr">
        <is>
          <t>JDO</t>
        </is>
      </c>
      <c r="I200" t="inlineStr">
        <is>
          <t>Judo Capital Holdings Ltd</t>
        </is>
      </c>
      <c r="J200" t="inlineStr">
        <is>
          <t>AUD</t>
        </is>
      </c>
      <c r="K200" s="5" t="inlineStr">
        <is>
          <t>01a152b9-6ee2-7577-bddd-382bc3853fde</t>
        </is>
      </c>
      <c r="M200" t="inlineStr">
        <is>
          <t>UNKNOWN</t>
        </is>
      </c>
      <c r="N200" t="inlineStr">
        <is>
          <t>DEFAULT</t>
        </is>
      </c>
      <c r="Q200" t="n">
        <v>0</v>
      </c>
      <c r="R200" t="inlineStr">
        <is>
          <t>AUD</t>
        </is>
      </c>
      <c r="S200" t="n">
        <v>0</v>
      </c>
      <c r="T200" t="inlineStr">
        <is>
          <t>AUD</t>
        </is>
      </c>
      <c r="U200" t="n">
        <v>0</v>
      </c>
    </row>
    <row r="201">
      <c r="A201" s="5" t="inlineStr">
        <is>
          <t>01a152b9-7443-7176-9bb7-2279a4f9b542</t>
        </is>
      </c>
      <c r="C201" s="5" t="inlineStr">
        <is>
          <t>01a152b9-6e67-75da-8adb-b03e5d07fd21</t>
        </is>
      </c>
      <c r="D201" s="4" t="n">
        <v>46314.24592671225</v>
      </c>
      <c r="E201" s="4" t="n">
        <v>46314.24592671236</v>
      </c>
      <c r="F201" t="b">
        <v>1</v>
      </c>
      <c r="G201" t="n">
        <v/>
      </c>
      <c r="H201" t="inlineStr">
        <is>
          <t>MFG</t>
        </is>
      </c>
      <c r="I201" t="inlineStr">
        <is>
          <t>Magellan Financial Group Ltd</t>
        </is>
      </c>
      <c r="J201" t="inlineStr">
        <is>
          <t>AUD</t>
        </is>
      </c>
      <c r="K201" s="5" t="inlineStr">
        <is>
          <t>01a152b9-6ee2-7577-bddd-382bc3853fde</t>
        </is>
      </c>
      <c r="M201" t="inlineStr">
        <is>
          <t>UNKNOWN</t>
        </is>
      </c>
      <c r="N201" t="inlineStr">
        <is>
          <t>DEFAULT</t>
        </is>
      </c>
      <c r="Q201" t="n">
        <v>0</v>
      </c>
      <c r="R201" t="inlineStr">
        <is>
          <t>AUD</t>
        </is>
      </c>
      <c r="S201" t="n">
        <v>0</v>
      </c>
      <c r="T201" t="inlineStr">
        <is>
          <t>AUD</t>
        </is>
      </c>
      <c r="U201" t="n">
        <v>0</v>
      </c>
    </row>
    <row r="202">
      <c r="A202" s="5" t="inlineStr">
        <is>
          <t>01a152b9-7447-7078-8d0e-c831ddf70884</t>
        </is>
      </c>
      <c r="C202" s="5" t="inlineStr">
        <is>
          <t>01a152b9-6e67-75da-8adb-b03e5d07fd21</t>
        </is>
      </c>
      <c r="D202" s="4" t="n">
        <v>46314.24592675251</v>
      </c>
      <c r="E202" s="4" t="n">
        <v>46314.24592675261</v>
      </c>
      <c r="F202" t="b">
        <v>1</v>
      </c>
      <c r="G202" t="n">
        <v/>
      </c>
      <c r="H202" t="inlineStr">
        <is>
          <t>CTD</t>
        </is>
      </c>
      <c r="I202" t="inlineStr">
        <is>
          <t>Corporate Travel Management Ltd</t>
        </is>
      </c>
      <c r="J202" t="inlineStr">
        <is>
          <t>AUD</t>
        </is>
      </c>
      <c r="K202" s="5" t="inlineStr">
        <is>
          <t>01a152b9-6ee2-7577-bddd-382bc3853fde</t>
        </is>
      </c>
      <c r="M202" t="inlineStr">
        <is>
          <t>UNKNOWN</t>
        </is>
      </c>
      <c r="N202" t="inlineStr">
        <is>
          <t>DEFAULT</t>
        </is>
      </c>
      <c r="Q202" t="n">
        <v>0</v>
      </c>
      <c r="R202" t="inlineStr">
        <is>
          <t>AUD</t>
        </is>
      </c>
      <c r="S202" t="n">
        <v>0</v>
      </c>
      <c r="T202" t="inlineStr">
        <is>
          <t>AUD</t>
        </is>
      </c>
      <c r="U202" t="n">
        <v>0</v>
      </c>
    </row>
    <row r="203">
      <c r="A203" s="5" t="inlineStr">
        <is>
          <t>01a152b9-744a-7096-906e-bf4f18bd9988</t>
        </is>
      </c>
      <c r="C203" s="5" t="inlineStr">
        <is>
          <t>01a152b9-6e67-75da-8adb-b03e5d07fd21</t>
        </is>
      </c>
      <c r="D203" s="4" t="n">
        <v>46314.24592679042</v>
      </c>
      <c r="E203" s="4" t="n">
        <v>46314.24592679051</v>
      </c>
      <c r="F203" t="b">
        <v>1</v>
      </c>
      <c r="G203" t="n">
        <v/>
      </c>
      <c r="H203" t="inlineStr">
        <is>
          <t>VBND</t>
        </is>
      </c>
      <c r="I203" t="inlineStr">
        <is>
          <t>Vanguard Global Aggregate Bond INDEX (Hedged) ETF</t>
        </is>
      </c>
      <c r="J203" t="inlineStr">
        <is>
          <t>AUD</t>
        </is>
      </c>
      <c r="K203" s="5" t="inlineStr">
        <is>
          <t>01a152b9-6ee2-7577-bddd-382bc3853fde</t>
        </is>
      </c>
      <c r="M203" t="inlineStr">
        <is>
          <t>UNIT_TRUST</t>
        </is>
      </c>
      <c r="N203" t="inlineStr">
        <is>
          <t>SUGGESTED</t>
        </is>
      </c>
      <c r="Q203" t="n">
        <v>0</v>
      </c>
      <c r="R203" t="inlineStr">
        <is>
          <t>AUD</t>
        </is>
      </c>
      <c r="S203" t="n">
        <v>0</v>
      </c>
      <c r="T203" t="inlineStr">
        <is>
          <t>AUD</t>
        </is>
      </c>
      <c r="U203" t="n">
        <v>0</v>
      </c>
    </row>
    <row r="204">
      <c r="A204" s="5" t="inlineStr">
        <is>
          <t>01a152b9-744e-77ac-a15b-cc30626e00fb</t>
        </is>
      </c>
      <c r="C204" s="5" t="inlineStr">
        <is>
          <t>01a152b9-6e67-75da-8adb-b03e5d07fd21</t>
        </is>
      </c>
      <c r="D204" s="4" t="n">
        <v>46314.24592683641</v>
      </c>
      <c r="E204" s="4" t="n">
        <v>46314.24592683654</v>
      </c>
      <c r="F204" t="b">
        <v>1</v>
      </c>
      <c r="G204" t="n">
        <v/>
      </c>
      <c r="H204" t="inlineStr">
        <is>
          <t>IHVV</t>
        </is>
      </c>
      <c r="I204" t="inlineStr">
        <is>
          <t>Ishares S&amp;P 500 Aud Hedged ETF</t>
        </is>
      </c>
      <c r="J204" t="inlineStr">
        <is>
          <t>AUD</t>
        </is>
      </c>
      <c r="K204" s="5" t="inlineStr">
        <is>
          <t>01a152b9-6ee2-7577-bddd-382bc3853fde</t>
        </is>
      </c>
      <c r="M204" t="inlineStr">
        <is>
          <t>UNIT_TRUST</t>
        </is>
      </c>
      <c r="N204" t="inlineStr">
        <is>
          <t>SUGGESTED</t>
        </is>
      </c>
      <c r="Q204" t="n">
        <v>0</v>
      </c>
      <c r="R204" t="inlineStr">
        <is>
          <t>AUD</t>
        </is>
      </c>
      <c r="S204" t="n">
        <v>0</v>
      </c>
      <c r="T204" t="inlineStr">
        <is>
          <t>AUD</t>
        </is>
      </c>
      <c r="U204" t="n">
        <v>0</v>
      </c>
    </row>
    <row r="205">
      <c r="A205" s="5" t="inlineStr">
        <is>
          <t>01a152b9-7452-716f-8427-86d4d23d0623</t>
        </is>
      </c>
      <c r="C205" s="5" t="inlineStr">
        <is>
          <t>01a152b9-6e67-75da-8adb-b03e5d07fd21</t>
        </is>
      </c>
      <c r="D205" s="4" t="n">
        <v>46314.24592688734</v>
      </c>
      <c r="E205" s="4" t="n">
        <v>46314.24592688747</v>
      </c>
      <c r="F205" t="b">
        <v>1</v>
      </c>
      <c r="G205" t="n">
        <v/>
      </c>
      <c r="H205" t="inlineStr">
        <is>
          <t>SUBD</t>
        </is>
      </c>
      <c r="I205" t="inlineStr">
        <is>
          <t>Vaneck Australian Subordinated Debt ETF</t>
        </is>
      </c>
      <c r="J205" t="inlineStr">
        <is>
          <t>AUD</t>
        </is>
      </c>
      <c r="K205" s="5" t="inlineStr">
        <is>
          <t>01a152b9-6ee2-7577-bddd-382bc3853fde</t>
        </is>
      </c>
      <c r="M205" t="inlineStr">
        <is>
          <t>UNIT_TRUST</t>
        </is>
      </c>
      <c r="N205" t="inlineStr">
        <is>
          <t>SUGGESTED</t>
        </is>
      </c>
      <c r="Q205" t="n">
        <v>0</v>
      </c>
      <c r="R205" t="inlineStr">
        <is>
          <t>AUD</t>
        </is>
      </c>
      <c r="S205" t="n">
        <v>0</v>
      </c>
      <c r="T205" t="inlineStr">
        <is>
          <t>AUD</t>
        </is>
      </c>
      <c r="U205" t="n">
        <v>0</v>
      </c>
    </row>
    <row r="206">
      <c r="A206" s="5" t="inlineStr">
        <is>
          <t>01a152b9-7457-7556-a5f3-ef8b9f78c2a4</t>
        </is>
      </c>
      <c r="C206" s="5" t="inlineStr">
        <is>
          <t>01a152b9-6e67-75da-8adb-b03e5d07fd21</t>
        </is>
      </c>
      <c r="D206" s="4" t="n">
        <v>46314.24592693487</v>
      </c>
      <c r="E206" s="4" t="n">
        <v>46314.24592693498</v>
      </c>
      <c r="F206" t="b">
        <v>1</v>
      </c>
      <c r="G206" t="n">
        <v/>
      </c>
      <c r="H206" t="inlineStr">
        <is>
          <t>NEC</t>
        </is>
      </c>
      <c r="I206" t="inlineStr">
        <is>
          <t>Nine Entertainment Co. Holdings Ltd</t>
        </is>
      </c>
      <c r="J206" t="inlineStr">
        <is>
          <t>AUD</t>
        </is>
      </c>
      <c r="K206" s="5" t="inlineStr">
        <is>
          <t>01a152b9-6ee2-7577-bddd-382bc3853fde</t>
        </is>
      </c>
      <c r="M206" t="inlineStr">
        <is>
          <t>UNKNOWN</t>
        </is>
      </c>
      <c r="N206" t="inlineStr">
        <is>
          <t>DEFAULT</t>
        </is>
      </c>
      <c r="Q206" t="n">
        <v>0</v>
      </c>
      <c r="R206" t="inlineStr">
        <is>
          <t>AUD</t>
        </is>
      </c>
      <c r="S206" t="n">
        <v>0</v>
      </c>
      <c r="T206" t="inlineStr">
        <is>
          <t>AUD</t>
        </is>
      </c>
      <c r="U206" t="n">
        <v>0</v>
      </c>
    </row>
    <row r="207">
      <c r="A207" s="5" t="inlineStr">
        <is>
          <t>01a152b9-745a-71c8-991b-3d56b99b0cfb</t>
        </is>
      </c>
      <c r="C207" s="5" t="inlineStr">
        <is>
          <t>01a152b9-6e67-75da-8adb-b03e5d07fd21</t>
        </is>
      </c>
      <c r="D207" s="4" t="n">
        <v>46314.24592697345</v>
      </c>
      <c r="E207" s="4" t="n">
        <v>46314.24592697354</v>
      </c>
      <c r="F207" t="b">
        <v>1</v>
      </c>
      <c r="G207" t="n">
        <v/>
      </c>
      <c r="H207" t="inlineStr">
        <is>
          <t>DRR</t>
        </is>
      </c>
      <c r="I207" t="inlineStr">
        <is>
          <t>Deterra Royalties Ltd</t>
        </is>
      </c>
      <c r="J207" t="inlineStr">
        <is>
          <t>AUD</t>
        </is>
      </c>
      <c r="K207" s="5" t="inlineStr">
        <is>
          <t>01a152b9-6ee2-7577-bddd-382bc3853fde</t>
        </is>
      </c>
      <c r="M207" t="inlineStr">
        <is>
          <t>UNKNOWN</t>
        </is>
      </c>
      <c r="N207" t="inlineStr">
        <is>
          <t>DEFAULT</t>
        </is>
      </c>
      <c r="Q207" t="n">
        <v>0</v>
      </c>
      <c r="R207" t="inlineStr">
        <is>
          <t>AUD</t>
        </is>
      </c>
      <c r="S207" t="n">
        <v>0</v>
      </c>
      <c r="T207" t="inlineStr">
        <is>
          <t>AUD</t>
        </is>
      </c>
      <c r="U207" t="n">
        <v>0</v>
      </c>
    </row>
    <row r="208">
      <c r="A208" s="5" t="inlineStr">
        <is>
          <t>01a152b9-745d-7213-aa11-f85d1ce6d79d</t>
        </is>
      </c>
      <c r="C208" s="5" t="inlineStr">
        <is>
          <t>01a152b9-6e67-75da-8adb-b03e5d07fd21</t>
        </is>
      </c>
      <c r="D208" s="4" t="n">
        <v>46314.24592701369</v>
      </c>
      <c r="E208" s="4" t="n">
        <v>46314.24592701378</v>
      </c>
      <c r="F208" t="b">
        <v>1</v>
      </c>
      <c r="G208" t="n">
        <v/>
      </c>
      <c r="H208" t="inlineStr">
        <is>
          <t>NABPI</t>
        </is>
      </c>
      <c r="I208" t="inlineStr">
        <is>
          <t>National Australia Bank Ltd</t>
        </is>
      </c>
      <c r="J208" t="inlineStr">
        <is>
          <t>AUD</t>
        </is>
      </c>
      <c r="K208" s="5" t="inlineStr">
        <is>
          <t>01a152b9-6ee2-7577-bddd-382bc3853fde</t>
        </is>
      </c>
      <c r="M208" t="inlineStr">
        <is>
          <t>UNKNOWN</t>
        </is>
      </c>
      <c r="N208" t="inlineStr">
        <is>
          <t>DEFAULT</t>
        </is>
      </c>
      <c r="Q208" t="n">
        <v>0</v>
      </c>
      <c r="R208" t="inlineStr">
        <is>
          <t>AUD</t>
        </is>
      </c>
      <c r="S208" t="n">
        <v>0</v>
      </c>
      <c r="T208" t="inlineStr">
        <is>
          <t>AUD</t>
        </is>
      </c>
      <c r="U208" t="n">
        <v>0</v>
      </c>
    </row>
    <row r="209">
      <c r="A209" s="5" t="inlineStr">
        <is>
          <t>01a152b9-7461-77e4-b729-28987fa64da0</t>
        </is>
      </c>
      <c r="C209" s="5" t="inlineStr">
        <is>
          <t>01a152b9-6e67-75da-8adb-b03e5d07fd21</t>
        </is>
      </c>
      <c r="D209" s="4" t="n">
        <v>46314.24592705571</v>
      </c>
      <c r="E209" s="4" t="n">
        <v>46314.24592705581</v>
      </c>
      <c r="F209" t="b">
        <v>1</v>
      </c>
      <c r="G209" t="n">
        <v/>
      </c>
      <c r="H209" t="inlineStr">
        <is>
          <t>ILU</t>
        </is>
      </c>
      <c r="I209" t="inlineStr">
        <is>
          <t>Iluka Resources Ltd</t>
        </is>
      </c>
      <c r="J209" t="inlineStr">
        <is>
          <t>AUD</t>
        </is>
      </c>
      <c r="K209" s="5" t="inlineStr">
        <is>
          <t>01a152b9-6ee2-7577-bddd-382bc3853fde</t>
        </is>
      </c>
      <c r="M209" t="inlineStr">
        <is>
          <t>UNKNOWN</t>
        </is>
      </c>
      <c r="N209" t="inlineStr">
        <is>
          <t>DEFAULT</t>
        </is>
      </c>
      <c r="Q209" t="n">
        <v>0</v>
      </c>
      <c r="R209" t="inlineStr">
        <is>
          <t>AUD</t>
        </is>
      </c>
      <c r="S209" t="n">
        <v>0</v>
      </c>
      <c r="T209" t="inlineStr">
        <is>
          <t>AUD</t>
        </is>
      </c>
      <c r="U209" t="n">
        <v>0</v>
      </c>
    </row>
    <row r="210">
      <c r="A210" s="5" t="inlineStr">
        <is>
          <t>01a152b9-7464-70c9-9bba-a448a81419bd</t>
        </is>
      </c>
      <c r="C210" s="5" t="inlineStr">
        <is>
          <t>01a152b9-6e67-75da-8adb-b03e5d07fd21</t>
        </is>
      </c>
      <c r="D210" s="4" t="n">
        <v>46314.2459270965</v>
      </c>
      <c r="E210" s="4" t="n">
        <v>46314.24592709662</v>
      </c>
      <c r="F210" t="b">
        <v>1</v>
      </c>
      <c r="G210" t="n">
        <v/>
      </c>
      <c r="H210" t="inlineStr">
        <is>
          <t>NABPF</t>
        </is>
      </c>
      <c r="I210" t="inlineStr">
        <is>
          <t>National Australia Bank Ltd</t>
        </is>
      </c>
      <c r="J210" t="inlineStr">
        <is>
          <t>AUD</t>
        </is>
      </c>
      <c r="K210" s="5" t="inlineStr">
        <is>
          <t>01a152b9-6ee2-7577-bddd-382bc3853fde</t>
        </is>
      </c>
      <c r="M210" t="inlineStr">
        <is>
          <t>UNKNOWN</t>
        </is>
      </c>
      <c r="N210" t="inlineStr">
        <is>
          <t>DEFAULT</t>
        </is>
      </c>
      <c r="Q210" t="n">
        <v>0</v>
      </c>
      <c r="R210" t="inlineStr">
        <is>
          <t>AUD</t>
        </is>
      </c>
      <c r="S210" t="n">
        <v>0</v>
      </c>
      <c r="T210" t="inlineStr">
        <is>
          <t>AUD</t>
        </is>
      </c>
      <c r="U210" t="n">
        <v>0</v>
      </c>
    </row>
    <row r="211">
      <c r="A211" s="5" t="inlineStr">
        <is>
          <t>01a152b9-7468-77c9-b163-7804b1cbd032</t>
        </is>
      </c>
      <c r="C211" s="5" t="inlineStr">
        <is>
          <t>01a152b9-6e67-75da-8adb-b03e5d07fd21</t>
        </is>
      </c>
      <c r="D211" s="4" t="n">
        <v>46314.24592713694</v>
      </c>
      <c r="E211" s="4" t="n">
        <v>46314.24592713704</v>
      </c>
      <c r="F211" t="b">
        <v>1</v>
      </c>
      <c r="G211" t="n">
        <v/>
      </c>
      <c r="H211" t="inlineStr">
        <is>
          <t>REG</t>
        </is>
      </c>
      <c r="I211" t="inlineStr">
        <is>
          <t>Regis Healthcare Ltd</t>
        </is>
      </c>
      <c r="J211" t="inlineStr">
        <is>
          <t>AUD</t>
        </is>
      </c>
      <c r="K211" s="5" t="inlineStr">
        <is>
          <t>01a152b9-6ee2-7577-bddd-382bc3853fde</t>
        </is>
      </c>
      <c r="M211" t="inlineStr">
        <is>
          <t>UNKNOWN</t>
        </is>
      </c>
      <c r="N211" t="inlineStr">
        <is>
          <t>DEFAULT</t>
        </is>
      </c>
      <c r="Q211" t="n">
        <v>0</v>
      </c>
      <c r="R211" t="inlineStr">
        <is>
          <t>AUD</t>
        </is>
      </c>
      <c r="S211" t="n">
        <v>0</v>
      </c>
      <c r="T211" t="inlineStr">
        <is>
          <t>AUD</t>
        </is>
      </c>
      <c r="U211" t="n">
        <v>0</v>
      </c>
    </row>
    <row r="212">
      <c r="A212" s="5" t="inlineStr">
        <is>
          <t>01a152b9-746b-7755-8c7b-4f3503356097</t>
        </is>
      </c>
      <c r="C212" s="5" t="inlineStr">
        <is>
          <t>01a152b9-6e67-75da-8adb-b03e5d07fd21</t>
        </is>
      </c>
      <c r="D212" s="4" t="n">
        <v>46314.24592717542</v>
      </c>
      <c r="E212" s="4" t="n">
        <v>46314.24592717552</v>
      </c>
      <c r="F212" t="b">
        <v>1</v>
      </c>
      <c r="G212" t="n">
        <v/>
      </c>
      <c r="H212" t="inlineStr">
        <is>
          <t>WEB</t>
        </is>
      </c>
      <c r="I212" t="inlineStr">
        <is>
          <t>WEB Travel Group Ltd</t>
        </is>
      </c>
      <c r="J212" t="inlineStr">
        <is>
          <t>AUD</t>
        </is>
      </c>
      <c r="K212" s="5" t="inlineStr">
        <is>
          <t>01a152b9-6ee2-7577-bddd-382bc3853fde</t>
        </is>
      </c>
      <c r="M212" t="inlineStr">
        <is>
          <t>UNKNOWN</t>
        </is>
      </c>
      <c r="N212" t="inlineStr">
        <is>
          <t>DEFAULT</t>
        </is>
      </c>
      <c r="Q212" t="n">
        <v>0</v>
      </c>
      <c r="R212" t="inlineStr">
        <is>
          <t>AUD</t>
        </is>
      </c>
      <c r="S212" t="n">
        <v>0</v>
      </c>
      <c r="T212" t="inlineStr">
        <is>
          <t>AUD</t>
        </is>
      </c>
      <c r="U212" t="n">
        <v>0</v>
      </c>
    </row>
    <row r="213">
      <c r="A213" s="5" t="inlineStr">
        <is>
          <t>01a152b9-746e-762b-8597-5f155f856aaf</t>
        </is>
      </c>
      <c r="C213" s="5" t="inlineStr">
        <is>
          <t>01a152b9-6e67-75da-8adb-b03e5d07fd21</t>
        </is>
      </c>
      <c r="D213" s="4" t="n">
        <v>46314.24592721015</v>
      </c>
      <c r="E213" s="4" t="n">
        <v>46314.24592721024</v>
      </c>
      <c r="F213" t="b">
        <v>1</v>
      </c>
      <c r="G213" t="n">
        <v/>
      </c>
      <c r="H213" t="inlineStr">
        <is>
          <t>NEU</t>
        </is>
      </c>
      <c r="I213" t="inlineStr">
        <is>
          <t>Neuren Pharmaceuticals Ltd</t>
        </is>
      </c>
      <c r="J213" t="inlineStr">
        <is>
          <t>AUD</t>
        </is>
      </c>
      <c r="K213" s="5" t="inlineStr">
        <is>
          <t>01a152b9-6ee2-7577-bddd-382bc3853fde</t>
        </is>
      </c>
      <c r="M213" t="inlineStr">
        <is>
          <t>UNKNOWN</t>
        </is>
      </c>
      <c r="N213" t="inlineStr">
        <is>
          <t>DEFAULT</t>
        </is>
      </c>
      <c r="Q213" t="n">
        <v>0</v>
      </c>
      <c r="R213" t="inlineStr">
        <is>
          <t>AUD</t>
        </is>
      </c>
      <c r="S213" t="n">
        <v>0</v>
      </c>
      <c r="T213" t="inlineStr">
        <is>
          <t>AUD</t>
        </is>
      </c>
      <c r="U213" t="n">
        <v>0</v>
      </c>
    </row>
    <row r="214">
      <c r="A214" s="5" t="inlineStr">
        <is>
          <t>01a152b9-7472-7098-83cc-76aa88446195</t>
        </is>
      </c>
      <c r="C214" s="5" t="inlineStr">
        <is>
          <t>01a152b9-6e67-75da-8adb-b03e5d07fd21</t>
        </is>
      </c>
      <c r="D214" s="4" t="n">
        <v>46314.24592725184</v>
      </c>
      <c r="E214" s="4" t="n">
        <v>46314.24592725194</v>
      </c>
      <c r="F214" t="b">
        <v>1</v>
      </c>
      <c r="G214" t="n">
        <v/>
      </c>
      <c r="H214" t="inlineStr">
        <is>
          <t>EVT</t>
        </is>
      </c>
      <c r="I214" t="inlineStr">
        <is>
          <t>EVT Ltd</t>
        </is>
      </c>
      <c r="J214" t="inlineStr">
        <is>
          <t>AUD</t>
        </is>
      </c>
      <c r="K214" s="5" t="inlineStr">
        <is>
          <t>01a152b9-6ee2-7577-bddd-382bc3853fde</t>
        </is>
      </c>
      <c r="M214" t="inlineStr">
        <is>
          <t>UNKNOWN</t>
        </is>
      </c>
      <c r="N214" t="inlineStr">
        <is>
          <t>DEFAULT</t>
        </is>
      </c>
      <c r="Q214" t="n">
        <v>0</v>
      </c>
      <c r="R214" t="inlineStr">
        <is>
          <t>AUD</t>
        </is>
      </c>
      <c r="S214" t="n">
        <v>0</v>
      </c>
      <c r="T214" t="inlineStr">
        <is>
          <t>AUD</t>
        </is>
      </c>
      <c r="U214" t="n">
        <v>0</v>
      </c>
    </row>
    <row r="215">
      <c r="A215" s="5" t="inlineStr">
        <is>
          <t>01a152b9-7475-741b-ac04-f2b0bd25df22</t>
        </is>
      </c>
      <c r="C215" s="5" t="inlineStr">
        <is>
          <t>01a152b9-6e67-75da-8adb-b03e5d07fd21</t>
        </is>
      </c>
      <c r="D215" s="4" t="n">
        <v>46314.24592728888</v>
      </c>
      <c r="E215" s="4" t="n">
        <v>46314.24592728897</v>
      </c>
      <c r="F215" t="b">
        <v>1</v>
      </c>
      <c r="G215" t="n">
        <v/>
      </c>
      <c r="H215" t="inlineStr">
        <is>
          <t>AIZ</t>
        </is>
      </c>
      <c r="I215" t="inlineStr">
        <is>
          <t>Air New Zealand Ltd</t>
        </is>
      </c>
      <c r="J215" t="inlineStr">
        <is>
          <t>AUD</t>
        </is>
      </c>
      <c r="K215" s="5" t="inlineStr">
        <is>
          <t>01a152b9-6ee2-7577-bddd-382bc3853fde</t>
        </is>
      </c>
      <c r="M215" t="inlineStr">
        <is>
          <t>UNKNOWN</t>
        </is>
      </c>
      <c r="N215" t="inlineStr">
        <is>
          <t>DEFAULT</t>
        </is>
      </c>
      <c r="Q215" t="n">
        <v>0</v>
      </c>
      <c r="R215" t="inlineStr">
        <is>
          <t>AUD</t>
        </is>
      </c>
      <c r="S215" t="n">
        <v>0</v>
      </c>
      <c r="T215" t="inlineStr">
        <is>
          <t>AUD</t>
        </is>
      </c>
      <c r="U215" t="n">
        <v>0</v>
      </c>
    </row>
    <row r="216">
      <c r="A216" s="5" t="inlineStr">
        <is>
          <t>01a152b9-7479-75c3-a93f-abf53a63f203</t>
        </is>
      </c>
      <c r="C216" s="5" t="inlineStr">
        <is>
          <t>01a152b9-6e67-75da-8adb-b03e5d07fd21</t>
        </is>
      </c>
      <c r="D216" s="4" t="n">
        <v>46314.24592732958</v>
      </c>
      <c r="E216" s="4" t="n">
        <v>46314.24592732968</v>
      </c>
      <c r="F216" t="b">
        <v>1</v>
      </c>
      <c r="G216" t="n">
        <v/>
      </c>
      <c r="H216" t="inlineStr">
        <is>
          <t>WBCPM</t>
        </is>
      </c>
      <c r="I216" t="inlineStr">
        <is>
          <t>Westpac Banking Corporation</t>
        </is>
      </c>
      <c r="J216" t="inlineStr">
        <is>
          <t>AUD</t>
        </is>
      </c>
      <c r="K216" s="5" t="inlineStr">
        <is>
          <t>01a152b9-6ee2-7577-bddd-382bc3853fde</t>
        </is>
      </c>
      <c r="M216" t="inlineStr">
        <is>
          <t>UNKNOWN</t>
        </is>
      </c>
      <c r="N216" t="inlineStr">
        <is>
          <t>DEFAULT</t>
        </is>
      </c>
      <c r="Q216" t="n">
        <v>0</v>
      </c>
      <c r="R216" t="inlineStr">
        <is>
          <t>AUD</t>
        </is>
      </c>
      <c r="S216" t="n">
        <v>0</v>
      </c>
      <c r="T216" t="inlineStr">
        <is>
          <t>AUD</t>
        </is>
      </c>
      <c r="U216" t="n">
        <v>0</v>
      </c>
    </row>
    <row r="217">
      <c r="A217" s="5" t="inlineStr">
        <is>
          <t>01a152b9-747c-76b8-a3d0-fd4e34d314e1</t>
        </is>
      </c>
      <c r="C217" s="5" t="inlineStr">
        <is>
          <t>01a152b9-6e67-75da-8adb-b03e5d07fd21</t>
        </is>
      </c>
      <c r="D217" s="4" t="n">
        <v>46314.24592736873</v>
      </c>
      <c r="E217" s="4" t="n">
        <v>46314.24592736883</v>
      </c>
      <c r="F217" t="b">
        <v>1</v>
      </c>
      <c r="G217" t="n">
        <v/>
      </c>
      <c r="H217" t="inlineStr">
        <is>
          <t>WAF</t>
        </is>
      </c>
      <c r="I217" t="inlineStr">
        <is>
          <t>West African Resources Ltd</t>
        </is>
      </c>
      <c r="J217" t="inlineStr">
        <is>
          <t>AUD</t>
        </is>
      </c>
      <c r="K217" s="5" t="inlineStr">
        <is>
          <t>01a152b9-6ee2-7577-bddd-382bc3853fde</t>
        </is>
      </c>
      <c r="M217" t="inlineStr">
        <is>
          <t>UNKNOWN</t>
        </is>
      </c>
      <c r="N217" t="inlineStr">
        <is>
          <t>DEFAULT</t>
        </is>
      </c>
      <c r="Q217" t="n">
        <v>0</v>
      </c>
      <c r="R217" t="inlineStr">
        <is>
          <t>AUD</t>
        </is>
      </c>
      <c r="S217" t="n">
        <v>0</v>
      </c>
      <c r="T217" t="inlineStr">
        <is>
          <t>AUD</t>
        </is>
      </c>
      <c r="U217" t="n">
        <v>0</v>
      </c>
    </row>
    <row r="218">
      <c r="A218" s="5" t="inlineStr">
        <is>
          <t>01a152b9-747f-7206-ae83-2400e9d72e09</t>
        </is>
      </c>
      <c r="C218" s="5" t="inlineStr">
        <is>
          <t>01a152b9-6e67-75da-8adb-b03e5d07fd21</t>
        </is>
      </c>
      <c r="D218" s="4" t="n">
        <v>46314.24592740264</v>
      </c>
      <c r="E218" s="4" t="n">
        <v>46314.24592740274</v>
      </c>
      <c r="F218" t="b">
        <v>1</v>
      </c>
      <c r="G218" t="n">
        <v/>
      </c>
      <c r="H218" t="inlineStr">
        <is>
          <t>SPR</t>
        </is>
      </c>
      <c r="I218" t="inlineStr">
        <is>
          <t>Spartan Resources Ltd</t>
        </is>
      </c>
      <c r="J218" t="inlineStr">
        <is>
          <t>AUD</t>
        </is>
      </c>
      <c r="K218" s="5" t="inlineStr">
        <is>
          <t>01a152b9-6ee2-7577-bddd-382bc3853fde</t>
        </is>
      </c>
      <c r="M218" t="inlineStr">
        <is>
          <t>UNKNOWN</t>
        </is>
      </c>
      <c r="N218" t="inlineStr">
        <is>
          <t>DEFAULT</t>
        </is>
      </c>
      <c r="Q218" t="n">
        <v>0</v>
      </c>
      <c r="R218" t="inlineStr">
        <is>
          <t>AUD</t>
        </is>
      </c>
      <c r="S218" t="n">
        <v>0</v>
      </c>
      <c r="T218" t="inlineStr">
        <is>
          <t>AUD</t>
        </is>
      </c>
      <c r="U218" t="n">
        <v>0</v>
      </c>
    </row>
    <row r="219">
      <c r="A219" s="5" t="inlineStr">
        <is>
          <t>01a152b9-7482-740b-a1fc-b6fd90e0f48b</t>
        </is>
      </c>
      <c r="C219" s="5" t="inlineStr">
        <is>
          <t>01a152b9-6e67-75da-8adb-b03e5d07fd21</t>
        </is>
      </c>
      <c r="D219" s="4" t="n">
        <v>46314.24592743871</v>
      </c>
      <c r="E219" s="4" t="n">
        <v>46314.24592743881</v>
      </c>
      <c r="F219" t="b">
        <v>1</v>
      </c>
      <c r="G219" t="n">
        <v/>
      </c>
      <c r="H219" t="inlineStr">
        <is>
          <t>DBI</t>
        </is>
      </c>
      <c r="I219" t="inlineStr">
        <is>
          <t>Dalrymple Bay Infrastructure Ltd</t>
        </is>
      </c>
      <c r="J219" t="inlineStr">
        <is>
          <t>AUD</t>
        </is>
      </c>
      <c r="K219" s="5" t="inlineStr">
        <is>
          <t>01a152b9-6ee2-7577-bddd-382bc3853fde</t>
        </is>
      </c>
      <c r="M219" t="inlineStr">
        <is>
          <t>UNKNOWN</t>
        </is>
      </c>
      <c r="N219" t="inlineStr">
        <is>
          <t>DEFAULT</t>
        </is>
      </c>
      <c r="Q219" t="n">
        <v>0</v>
      </c>
      <c r="R219" t="inlineStr">
        <is>
          <t>AUD</t>
        </is>
      </c>
      <c r="S219" t="n">
        <v>0</v>
      </c>
      <c r="T219" t="inlineStr">
        <is>
          <t>AUD</t>
        </is>
      </c>
      <c r="U219" t="n">
        <v>0</v>
      </c>
    </row>
    <row r="220">
      <c r="A220" s="5" t="inlineStr">
        <is>
          <t>01a152b9-7485-77f7-aae9-8a47884a5741</t>
        </is>
      </c>
      <c r="C220" s="5" t="inlineStr">
        <is>
          <t>01a152b9-6e67-75da-8adb-b03e5d07fd21</t>
        </is>
      </c>
      <c r="D220" s="4" t="n">
        <v>46314.245927475</v>
      </c>
      <c r="E220" s="4" t="n">
        <v>46314.24592747513</v>
      </c>
      <c r="F220" t="b">
        <v>1</v>
      </c>
      <c r="G220" t="n">
        <v/>
      </c>
      <c r="H220" t="inlineStr">
        <is>
          <t>CIP</t>
        </is>
      </c>
      <c r="I220" t="inlineStr">
        <is>
          <t>Centuria Industrial REIT</t>
        </is>
      </c>
      <c r="J220" t="inlineStr">
        <is>
          <t>AUD</t>
        </is>
      </c>
      <c r="K220" s="5" t="inlineStr">
        <is>
          <t>01a152b9-6ee2-7577-bddd-382bc3853fde</t>
        </is>
      </c>
      <c r="M220" t="inlineStr">
        <is>
          <t>UNKNOWN</t>
        </is>
      </c>
      <c r="N220" t="inlineStr">
        <is>
          <t>DEFAULT</t>
        </is>
      </c>
      <c r="Q220" t="n">
        <v>0</v>
      </c>
      <c r="R220" t="inlineStr">
        <is>
          <t>AUD</t>
        </is>
      </c>
      <c r="S220" t="n">
        <v>0</v>
      </c>
      <c r="T220" t="inlineStr">
        <is>
          <t>AUD</t>
        </is>
      </c>
      <c r="U220" t="n">
        <v>0</v>
      </c>
    </row>
    <row r="221">
      <c r="A221" s="5" t="inlineStr">
        <is>
          <t>01a152b9-7488-7002-8e7a-887057d1caf1</t>
        </is>
      </c>
      <c r="C221" s="5" t="inlineStr">
        <is>
          <t>01a152b9-6e67-75da-8adb-b03e5d07fd21</t>
        </is>
      </c>
      <c r="D221" s="4" t="n">
        <v>46314.24592751285</v>
      </c>
      <c r="E221" s="4" t="n">
        <v>46314.24592751294</v>
      </c>
      <c r="F221" t="b">
        <v>1</v>
      </c>
      <c r="G221" t="n">
        <v/>
      </c>
      <c r="H221" t="inlineStr">
        <is>
          <t>CBAPL</t>
        </is>
      </c>
      <c r="I221" t="inlineStr">
        <is>
          <t>Commonwealth Bank of Australia</t>
        </is>
      </c>
      <c r="J221" t="inlineStr">
        <is>
          <t>AUD</t>
        </is>
      </c>
      <c r="K221" s="5" t="inlineStr">
        <is>
          <t>01a152b9-6ee2-7577-bddd-382bc3853fde</t>
        </is>
      </c>
      <c r="M221" t="inlineStr">
        <is>
          <t>UNKNOWN</t>
        </is>
      </c>
      <c r="N221" t="inlineStr">
        <is>
          <t>DEFAULT</t>
        </is>
      </c>
      <c r="Q221" t="n">
        <v>0</v>
      </c>
      <c r="R221" t="inlineStr">
        <is>
          <t>AUD</t>
        </is>
      </c>
      <c r="S221" t="n">
        <v>0</v>
      </c>
      <c r="T221" t="inlineStr">
        <is>
          <t>AUD</t>
        </is>
      </c>
      <c r="U221" t="n">
        <v>0</v>
      </c>
    </row>
    <row r="222">
      <c r="A222" s="5" t="inlineStr">
        <is>
          <t>01a152b9-748c-74df-9287-b5ee9ae85e24</t>
        </is>
      </c>
      <c r="C222" s="5" t="inlineStr">
        <is>
          <t>01a152b9-6e67-75da-8adb-b03e5d07fd21</t>
        </is>
      </c>
      <c r="D222" s="4" t="n">
        <v>46314.24592755096</v>
      </c>
      <c r="E222" s="4" t="n">
        <v>46314.24592755106</v>
      </c>
      <c r="F222" t="b">
        <v>1</v>
      </c>
      <c r="G222" t="n">
        <v/>
      </c>
      <c r="H222" t="inlineStr">
        <is>
          <t>CQR</t>
        </is>
      </c>
      <c r="I222" t="inlineStr">
        <is>
          <t>Charter Hall Retail REIT</t>
        </is>
      </c>
      <c r="J222" t="inlineStr">
        <is>
          <t>AUD</t>
        </is>
      </c>
      <c r="K222" s="5" t="inlineStr">
        <is>
          <t>01a152b9-6ee2-7577-bddd-382bc3853fde</t>
        </is>
      </c>
      <c r="M222" t="inlineStr">
        <is>
          <t>STAPLED</t>
        </is>
      </c>
      <c r="N222" t="inlineStr">
        <is>
          <t>SUGGESTED</t>
        </is>
      </c>
      <c r="Q222" t="n">
        <v>0</v>
      </c>
      <c r="R222" t="inlineStr">
        <is>
          <t>AUD</t>
        </is>
      </c>
      <c r="S222" t="n">
        <v>0</v>
      </c>
      <c r="T222" t="inlineStr">
        <is>
          <t>AUD</t>
        </is>
      </c>
      <c r="U222" t="n">
        <v>0</v>
      </c>
    </row>
    <row r="223">
      <c r="A223" s="5" t="inlineStr">
        <is>
          <t>01a152b9-7490-7561-a6a6-19c0d72e74d7</t>
        </is>
      </c>
      <c r="C223" s="5" t="inlineStr">
        <is>
          <t>01a152b9-6e67-75da-8adb-b03e5d07fd21</t>
        </is>
      </c>
      <c r="D223" s="4" t="n">
        <v>46314.24592759753</v>
      </c>
      <c r="E223" s="4" t="n">
        <v>46314.24592759765</v>
      </c>
      <c r="F223" t="b">
        <v>1</v>
      </c>
      <c r="G223" t="n">
        <v/>
      </c>
      <c r="H223" t="inlineStr">
        <is>
          <t>WBCPK</t>
        </is>
      </c>
      <c r="I223" t="inlineStr">
        <is>
          <t>Westpac Banking Corporation</t>
        </is>
      </c>
      <c r="J223" t="inlineStr">
        <is>
          <t>AUD</t>
        </is>
      </c>
      <c r="K223" s="5" t="inlineStr">
        <is>
          <t>01a152b9-6ee2-7577-bddd-382bc3853fde</t>
        </is>
      </c>
      <c r="M223" t="inlineStr">
        <is>
          <t>UNKNOWN</t>
        </is>
      </c>
      <c r="N223" t="inlineStr">
        <is>
          <t>DEFAULT</t>
        </is>
      </c>
      <c r="Q223" t="n">
        <v>0</v>
      </c>
      <c r="R223" t="inlineStr">
        <is>
          <t>AUD</t>
        </is>
      </c>
      <c r="S223" t="n">
        <v>0</v>
      </c>
      <c r="T223" t="inlineStr">
        <is>
          <t>AUD</t>
        </is>
      </c>
      <c r="U223" t="n">
        <v>0</v>
      </c>
    </row>
    <row r="224">
      <c r="A224" s="5" t="inlineStr">
        <is>
          <t>01a152b9-7494-7434-99b1-9f9d36227731</t>
        </is>
      </c>
      <c r="C224" s="5" t="inlineStr">
        <is>
          <t>01a152b9-6e67-75da-8adb-b03e5d07fd21</t>
        </is>
      </c>
      <c r="D224" s="4" t="n">
        <v>46314.24592765029</v>
      </c>
      <c r="E224" s="4" t="n">
        <v>46314.24592765041</v>
      </c>
      <c r="F224" t="b">
        <v>1</v>
      </c>
      <c r="G224" t="n">
        <v/>
      </c>
      <c r="H224" t="inlineStr">
        <is>
          <t>CBAPK</t>
        </is>
      </c>
      <c r="I224" t="inlineStr">
        <is>
          <t>Commonwealth Bank of Australia</t>
        </is>
      </c>
      <c r="J224" t="inlineStr">
        <is>
          <t>AUD</t>
        </is>
      </c>
      <c r="K224" s="5" t="inlineStr">
        <is>
          <t>01a152b9-6ee2-7577-bddd-382bc3853fde</t>
        </is>
      </c>
      <c r="M224" t="inlineStr">
        <is>
          <t>UNKNOWN</t>
        </is>
      </c>
      <c r="N224" t="inlineStr">
        <is>
          <t>DEFAULT</t>
        </is>
      </c>
      <c r="Q224" t="n">
        <v>0</v>
      </c>
      <c r="R224" t="inlineStr">
        <is>
          <t>AUD</t>
        </is>
      </c>
      <c r="S224" t="n">
        <v>0</v>
      </c>
      <c r="T224" t="inlineStr">
        <is>
          <t>AUD</t>
        </is>
      </c>
      <c r="U224" t="n">
        <v>0</v>
      </c>
    </row>
    <row r="225">
      <c r="A225" s="5" t="inlineStr">
        <is>
          <t>01a152b9-7499-73b9-bc91-0e5bf468fe4f</t>
        </is>
      </c>
      <c r="C225" s="5" t="inlineStr">
        <is>
          <t>01a152b9-6e67-75da-8adb-b03e5d07fd21</t>
        </is>
      </c>
      <c r="D225" s="4" t="n">
        <v>46314.2459277036</v>
      </c>
      <c r="E225" s="4" t="n">
        <v>46314.24592770374</v>
      </c>
      <c r="F225" t="b">
        <v>1</v>
      </c>
      <c r="G225" t="n">
        <v/>
      </c>
      <c r="H225" t="inlineStr">
        <is>
          <t>LSF</t>
        </is>
      </c>
      <c r="I225" t="inlineStr">
        <is>
          <t>L1 Long Short Fund Ltd</t>
        </is>
      </c>
      <c r="J225" t="inlineStr">
        <is>
          <t>AUD</t>
        </is>
      </c>
      <c r="K225" s="5" t="inlineStr">
        <is>
          <t>01a152b9-6ee2-7577-bddd-382bc3853fde</t>
        </is>
      </c>
      <c r="M225" t="inlineStr">
        <is>
          <t>UNKNOWN</t>
        </is>
      </c>
      <c r="N225" t="inlineStr">
        <is>
          <t>DEFAULT</t>
        </is>
      </c>
      <c r="Q225" t="n">
        <v>0</v>
      </c>
      <c r="R225" t="inlineStr">
        <is>
          <t>AUD</t>
        </is>
      </c>
      <c r="S225" t="n">
        <v>0</v>
      </c>
      <c r="T225" t="inlineStr">
        <is>
          <t>AUD</t>
        </is>
      </c>
      <c r="U225" t="n">
        <v>0</v>
      </c>
    </row>
    <row r="226">
      <c r="A226" s="5" t="inlineStr">
        <is>
          <t>01a152b9-749d-7359-af5a-2ac3005e7605</t>
        </is>
      </c>
      <c r="C226" s="5" t="inlineStr">
        <is>
          <t>01a152b9-6e67-75da-8adb-b03e5d07fd21</t>
        </is>
      </c>
      <c r="D226" s="4" t="n">
        <v>46314.2459277531</v>
      </c>
      <c r="E226" s="4" t="n">
        <v>46314.24592775323</v>
      </c>
      <c r="F226" t="b">
        <v>1</v>
      </c>
      <c r="G226" t="n">
        <v/>
      </c>
      <c r="H226" t="inlineStr">
        <is>
          <t>WBCPJ</t>
        </is>
      </c>
      <c r="I226" t="inlineStr">
        <is>
          <t>Westpac Banking Corporation</t>
        </is>
      </c>
      <c r="J226" t="inlineStr">
        <is>
          <t>AUD</t>
        </is>
      </c>
      <c r="K226" s="5" t="inlineStr">
        <is>
          <t>01a152b9-6ee2-7577-bddd-382bc3853fde</t>
        </is>
      </c>
      <c r="M226" t="inlineStr">
        <is>
          <t>UNKNOWN</t>
        </is>
      </c>
      <c r="N226" t="inlineStr">
        <is>
          <t>DEFAULT</t>
        </is>
      </c>
      <c r="Q226" t="n">
        <v>0</v>
      </c>
      <c r="R226" t="inlineStr">
        <is>
          <t>AUD</t>
        </is>
      </c>
      <c r="S226" t="n">
        <v>0</v>
      </c>
      <c r="T226" t="inlineStr">
        <is>
          <t>AUD</t>
        </is>
      </c>
      <c r="U226" t="n">
        <v>0</v>
      </c>
    </row>
    <row r="227">
      <c r="A227" s="5" t="inlineStr">
        <is>
          <t>01a152b9-74a1-752e-9dee-46823d56795e</t>
        </is>
      </c>
      <c r="C227" s="5" t="inlineStr">
        <is>
          <t>01a152b9-6e67-75da-8adb-b03e5d07fd21</t>
        </is>
      </c>
      <c r="D227" s="4" t="n">
        <v>46314.24592779813</v>
      </c>
      <c r="E227" s="4" t="n">
        <v>46314.24592779828</v>
      </c>
      <c r="F227" t="b">
        <v>1</v>
      </c>
      <c r="G227" t="n">
        <v/>
      </c>
      <c r="H227" t="inlineStr">
        <is>
          <t>NXL</t>
        </is>
      </c>
      <c r="I227" t="inlineStr">
        <is>
          <t>NUIX Ltd</t>
        </is>
      </c>
      <c r="J227" t="inlineStr">
        <is>
          <t>AUD</t>
        </is>
      </c>
      <c r="K227" s="5" t="inlineStr">
        <is>
          <t>01a152b9-6ee2-7577-bddd-382bc3853fde</t>
        </is>
      </c>
      <c r="M227" t="inlineStr">
        <is>
          <t>UNKNOWN</t>
        </is>
      </c>
      <c r="N227" t="inlineStr">
        <is>
          <t>DEFAULT</t>
        </is>
      </c>
      <c r="Q227" t="n">
        <v>0</v>
      </c>
      <c r="R227" t="inlineStr">
        <is>
          <t>AUD</t>
        </is>
      </c>
      <c r="S227" t="n">
        <v>0</v>
      </c>
      <c r="T227" t="inlineStr">
        <is>
          <t>AUD</t>
        </is>
      </c>
      <c r="U227" t="n">
        <v>0</v>
      </c>
    </row>
    <row r="228">
      <c r="A228" s="5" t="inlineStr">
        <is>
          <t>01a152b9-74a5-709c-828d-5e1c8ee55acc</t>
        </is>
      </c>
      <c r="C228" s="5" t="inlineStr">
        <is>
          <t>01a152b9-6e67-75da-8adb-b03e5d07fd21</t>
        </is>
      </c>
      <c r="D228" s="4" t="n">
        <v>46314.24592784158</v>
      </c>
      <c r="E228" s="4" t="n">
        <v>46314.24592784172</v>
      </c>
      <c r="F228" t="b">
        <v>1</v>
      </c>
      <c r="G228" t="n">
        <v/>
      </c>
      <c r="H228" t="inlineStr">
        <is>
          <t>AN3PL</t>
        </is>
      </c>
      <c r="I228" t="inlineStr">
        <is>
          <t>Australia and New Zealand Banking Group Ltd</t>
        </is>
      </c>
      <c r="J228" t="inlineStr">
        <is>
          <t>AUD</t>
        </is>
      </c>
      <c r="K228" s="5" t="inlineStr">
        <is>
          <t>01a152b9-6ee2-7577-bddd-382bc3853fde</t>
        </is>
      </c>
      <c r="M228" t="inlineStr">
        <is>
          <t>UNKNOWN</t>
        </is>
      </c>
      <c r="N228" t="inlineStr">
        <is>
          <t>DEFAULT</t>
        </is>
      </c>
      <c r="Q228" t="n">
        <v>0</v>
      </c>
      <c r="R228" t="inlineStr">
        <is>
          <t>AUD</t>
        </is>
      </c>
      <c r="S228" t="n">
        <v>0</v>
      </c>
      <c r="T228" t="inlineStr">
        <is>
          <t>AUD</t>
        </is>
      </c>
      <c r="U228" t="n">
        <v>0</v>
      </c>
    </row>
    <row r="229">
      <c r="A229" s="5" t="inlineStr">
        <is>
          <t>01a152b9-74a8-72ef-a324-e8bb4746f771</t>
        </is>
      </c>
      <c r="C229" s="5" t="inlineStr">
        <is>
          <t>01a152b9-6e67-75da-8adb-b03e5d07fd21</t>
        </is>
      </c>
      <c r="D229" s="4" t="n">
        <v>46314.24592788343</v>
      </c>
      <c r="E229" s="4" t="n">
        <v>46314.24592788355</v>
      </c>
      <c r="F229" t="b">
        <v>1</v>
      </c>
      <c r="G229" t="n">
        <v/>
      </c>
      <c r="H229" t="inlineStr">
        <is>
          <t>WAM</t>
        </is>
      </c>
      <c r="I229" t="inlineStr">
        <is>
          <t>WAM Capital Ltd</t>
        </is>
      </c>
      <c r="J229" t="inlineStr">
        <is>
          <t>AUD</t>
        </is>
      </c>
      <c r="K229" s="5" t="inlineStr">
        <is>
          <t>01a152b9-6ee2-7577-bddd-382bc3853fde</t>
        </is>
      </c>
      <c r="M229" t="inlineStr">
        <is>
          <t>COMPANY</t>
        </is>
      </c>
      <c r="N229" t="inlineStr">
        <is>
          <t>SUGGESTED</t>
        </is>
      </c>
      <c r="Q229" t="n">
        <v>0</v>
      </c>
      <c r="R229" t="inlineStr">
        <is>
          <t>AUD</t>
        </is>
      </c>
      <c r="S229" t="n">
        <v>0</v>
      </c>
      <c r="T229" t="inlineStr">
        <is>
          <t>AUD</t>
        </is>
      </c>
      <c r="U229" t="n">
        <v>0</v>
      </c>
    </row>
    <row r="230">
      <c r="A230" s="5" t="inlineStr">
        <is>
          <t>01a152b9-74ad-748d-b6d8-7df3d7b03aaa</t>
        </is>
      </c>
      <c r="C230" s="5" t="inlineStr">
        <is>
          <t>01a152b9-6e67-75da-8adb-b03e5d07fd21</t>
        </is>
      </c>
      <c r="D230" s="4" t="n">
        <v>46314.24592793383</v>
      </c>
      <c r="E230" s="4" t="n">
        <v>46314.24592793396</v>
      </c>
      <c r="F230" t="b">
        <v>1</v>
      </c>
      <c r="G230" t="n">
        <v/>
      </c>
      <c r="H230" t="inlineStr">
        <is>
          <t>GOZ</t>
        </is>
      </c>
      <c r="I230" t="inlineStr">
        <is>
          <t>Growthpoint Properties Australia</t>
        </is>
      </c>
      <c r="J230" t="inlineStr">
        <is>
          <t>AUD</t>
        </is>
      </c>
      <c r="K230" s="5" t="inlineStr">
        <is>
          <t>01a152b9-6ee2-7577-bddd-382bc3853fde</t>
        </is>
      </c>
      <c r="M230" t="inlineStr">
        <is>
          <t>UNKNOWN</t>
        </is>
      </c>
      <c r="N230" t="inlineStr">
        <is>
          <t>DEFAULT</t>
        </is>
      </c>
      <c r="Q230" t="n">
        <v>0</v>
      </c>
      <c r="R230" t="inlineStr">
        <is>
          <t>AUD</t>
        </is>
      </c>
      <c r="S230" t="n">
        <v>0</v>
      </c>
      <c r="T230" t="inlineStr">
        <is>
          <t>AUD</t>
        </is>
      </c>
      <c r="U230" t="n">
        <v>0</v>
      </c>
    </row>
    <row r="231">
      <c r="A231" s="5" t="inlineStr">
        <is>
          <t>01a152b9-74b0-7473-8ee8-3a7303512812</t>
        </is>
      </c>
      <c r="C231" s="5" t="inlineStr">
        <is>
          <t>01a152b9-6e67-75da-8adb-b03e5d07fd21</t>
        </is>
      </c>
      <c r="D231" s="4" t="n">
        <v>46314.24592797154</v>
      </c>
      <c r="E231" s="4" t="n">
        <v>46314.24592797166</v>
      </c>
      <c r="F231" t="b">
        <v>1</v>
      </c>
      <c r="G231" t="n">
        <v/>
      </c>
      <c r="H231" t="inlineStr">
        <is>
          <t>IRE</t>
        </is>
      </c>
      <c r="I231" t="inlineStr">
        <is>
          <t>Iress Ltd</t>
        </is>
      </c>
      <c r="J231" t="inlineStr">
        <is>
          <t>AUD</t>
        </is>
      </c>
      <c r="K231" s="5" t="inlineStr">
        <is>
          <t>01a152b9-6ee2-7577-bddd-382bc3853fde</t>
        </is>
      </c>
      <c r="M231" t="inlineStr">
        <is>
          <t>UNKNOWN</t>
        </is>
      </c>
      <c r="N231" t="inlineStr">
        <is>
          <t>DEFAULT</t>
        </is>
      </c>
      <c r="Q231" t="n">
        <v>0</v>
      </c>
      <c r="R231" t="inlineStr">
        <is>
          <t>AUD</t>
        </is>
      </c>
      <c r="S231" t="n">
        <v>0</v>
      </c>
      <c r="T231" t="inlineStr">
        <is>
          <t>AUD</t>
        </is>
      </c>
      <c r="U231" t="n">
        <v>0</v>
      </c>
    </row>
    <row r="232">
      <c r="A232" s="5" t="inlineStr">
        <is>
          <t>01a152b9-74b3-733c-a34e-39152ebe1ee6</t>
        </is>
      </c>
      <c r="C232" s="5" t="inlineStr">
        <is>
          <t>01a152b9-6e67-75da-8adb-b03e5d07fd21</t>
        </is>
      </c>
      <c r="D232" s="4" t="n">
        <v>46314.24592800714</v>
      </c>
      <c r="E232" s="4" t="n">
        <v>46314.24592800726</v>
      </c>
      <c r="F232" t="b">
        <v>1</v>
      </c>
      <c r="G232" t="n">
        <v/>
      </c>
      <c r="H232" t="inlineStr">
        <is>
          <t>BGA</t>
        </is>
      </c>
      <c r="I232" t="inlineStr">
        <is>
          <t>Bega Cheese Ltd</t>
        </is>
      </c>
      <c r="J232" t="inlineStr">
        <is>
          <t>AUD</t>
        </is>
      </c>
      <c r="K232" s="5" t="inlineStr">
        <is>
          <t>01a152b9-6ee2-7577-bddd-382bc3853fde</t>
        </is>
      </c>
      <c r="M232" t="inlineStr">
        <is>
          <t>UNKNOWN</t>
        </is>
      </c>
      <c r="N232" t="inlineStr">
        <is>
          <t>DEFAULT</t>
        </is>
      </c>
      <c r="Q232" t="n">
        <v>0</v>
      </c>
      <c r="R232" t="inlineStr">
        <is>
          <t>AUD</t>
        </is>
      </c>
      <c r="S232" t="n">
        <v>0</v>
      </c>
      <c r="T232" t="inlineStr">
        <is>
          <t>AUD</t>
        </is>
      </c>
      <c r="U232" t="n">
        <v>0</v>
      </c>
    </row>
    <row r="233">
      <c r="A233" s="5" t="inlineStr">
        <is>
          <t>01a152b9-74b6-7739-9f7a-85470d5feb47</t>
        </is>
      </c>
      <c r="C233" s="5" t="inlineStr">
        <is>
          <t>01a152b9-6e67-75da-8adb-b03e5d07fd21</t>
        </is>
      </c>
      <c r="D233" s="4" t="n">
        <v>46314.24592804154</v>
      </c>
      <c r="E233" s="4" t="n">
        <v>46314.24592804167</v>
      </c>
      <c r="F233" t="b">
        <v>1</v>
      </c>
      <c r="G233" t="n">
        <v/>
      </c>
      <c r="H233" t="inlineStr">
        <is>
          <t>WLE</t>
        </is>
      </c>
      <c r="I233" t="inlineStr">
        <is>
          <t>Wam Leaders Ltd</t>
        </is>
      </c>
      <c r="J233" t="inlineStr">
        <is>
          <t>AUD</t>
        </is>
      </c>
      <c r="K233" s="5" t="inlineStr">
        <is>
          <t>01a152b9-6ee2-7577-bddd-382bc3853fde</t>
        </is>
      </c>
      <c r="M233" t="inlineStr">
        <is>
          <t>COMPANY</t>
        </is>
      </c>
      <c r="N233" t="inlineStr">
        <is>
          <t>SUGGESTED</t>
        </is>
      </c>
      <c r="Q233" t="n">
        <v>0</v>
      </c>
      <c r="R233" t="inlineStr">
        <is>
          <t>AUD</t>
        </is>
      </c>
      <c r="S233" t="n">
        <v>0</v>
      </c>
      <c r="T233" t="inlineStr">
        <is>
          <t>AUD</t>
        </is>
      </c>
      <c r="U233" t="n">
        <v>0</v>
      </c>
    </row>
    <row r="234">
      <c r="A234" s="5" t="inlineStr">
        <is>
          <t>01a152b9-74ba-7376-90c7-c757fab5d5a5</t>
        </is>
      </c>
      <c r="C234" s="5" t="inlineStr">
        <is>
          <t>01a152b9-6e67-75da-8adb-b03e5d07fd21</t>
        </is>
      </c>
      <c r="D234" s="4" t="n">
        <v>46314.24592808931</v>
      </c>
      <c r="E234" s="4" t="n">
        <v>46314.24592808942</v>
      </c>
      <c r="F234" t="b">
        <v>1</v>
      </c>
      <c r="G234" t="n">
        <v/>
      </c>
      <c r="H234" t="inlineStr">
        <is>
          <t>WBCPH</t>
        </is>
      </c>
      <c r="I234" t="inlineStr">
        <is>
          <t>Westpac Banking Corporation</t>
        </is>
      </c>
      <c r="J234" t="inlineStr">
        <is>
          <t>AUD</t>
        </is>
      </c>
      <c r="K234" s="5" t="inlineStr">
        <is>
          <t>01a152b9-6ee2-7577-bddd-382bc3853fde</t>
        </is>
      </c>
      <c r="M234" t="inlineStr">
        <is>
          <t>UNKNOWN</t>
        </is>
      </c>
      <c r="N234" t="inlineStr">
        <is>
          <t>DEFAULT</t>
        </is>
      </c>
      <c r="Q234" t="n">
        <v>0</v>
      </c>
      <c r="R234" t="inlineStr">
        <is>
          <t>AUD</t>
        </is>
      </c>
      <c r="S234" t="n">
        <v>0</v>
      </c>
      <c r="T234" t="inlineStr">
        <is>
          <t>AUD</t>
        </is>
      </c>
      <c r="U234" t="n">
        <v>0</v>
      </c>
    </row>
    <row r="235">
      <c r="A235" s="5" t="inlineStr">
        <is>
          <t>01a152b9-74be-77e3-901d-72fee96d6790</t>
        </is>
      </c>
      <c r="C235" s="5" t="inlineStr">
        <is>
          <t>01a152b9-6e67-75da-8adb-b03e5d07fd21</t>
        </is>
      </c>
      <c r="D235" s="4" t="n">
        <v>46314.24592813767</v>
      </c>
      <c r="E235" s="4" t="n">
        <v>46314.24592813783</v>
      </c>
      <c r="F235" t="b">
        <v>1</v>
      </c>
      <c r="G235" t="n">
        <v/>
      </c>
      <c r="H235" t="inlineStr">
        <is>
          <t>CBAPI</t>
        </is>
      </c>
      <c r="I235" t="inlineStr">
        <is>
          <t>Commonwealth Bank of Australia</t>
        </is>
      </c>
      <c r="J235" t="inlineStr">
        <is>
          <t>AUD</t>
        </is>
      </c>
      <c r="K235" s="5" t="inlineStr">
        <is>
          <t>01a152b9-6ee2-7577-bddd-382bc3853fde</t>
        </is>
      </c>
      <c r="M235" t="inlineStr">
        <is>
          <t>UNKNOWN</t>
        </is>
      </c>
      <c r="N235" t="inlineStr">
        <is>
          <t>DEFAULT</t>
        </is>
      </c>
      <c r="Q235" t="n">
        <v>0</v>
      </c>
      <c r="R235" t="inlineStr">
        <is>
          <t>AUD</t>
        </is>
      </c>
      <c r="S235" t="n">
        <v>0</v>
      </c>
      <c r="T235" t="inlineStr">
        <is>
          <t>AUD</t>
        </is>
      </c>
      <c r="U235" t="n">
        <v>0</v>
      </c>
    </row>
    <row r="236">
      <c r="A236" s="5" t="inlineStr">
        <is>
          <t>01a152b9-74c3-7743-8d05-acf0871661bc</t>
        </is>
      </c>
      <c r="C236" s="5" t="inlineStr">
        <is>
          <t>01a152b9-6e67-75da-8adb-b03e5d07fd21</t>
        </is>
      </c>
      <c r="D236" s="4" t="n">
        <v>46314.24592818708</v>
      </c>
      <c r="E236" s="4" t="n">
        <v>46314.24592818721</v>
      </c>
      <c r="F236" t="b">
        <v>1</v>
      </c>
      <c r="G236" t="n">
        <v/>
      </c>
      <c r="H236" t="inlineStr">
        <is>
          <t>DHG</t>
        </is>
      </c>
      <c r="I236" t="inlineStr">
        <is>
          <t>Domain Holdings Australia Ltd</t>
        </is>
      </c>
      <c r="J236" t="inlineStr">
        <is>
          <t>AUD</t>
        </is>
      </c>
      <c r="K236" s="5" t="inlineStr">
        <is>
          <t>01a152b9-6ee2-7577-bddd-382bc3853fde</t>
        </is>
      </c>
      <c r="M236" t="inlineStr">
        <is>
          <t>UNKNOWN</t>
        </is>
      </c>
      <c r="N236" t="inlineStr">
        <is>
          <t>DEFAULT</t>
        </is>
      </c>
      <c r="Q236" t="n">
        <v>0</v>
      </c>
      <c r="R236" t="inlineStr">
        <is>
          <t>AUD</t>
        </is>
      </c>
      <c r="S236" t="n">
        <v>0</v>
      </c>
      <c r="T236" t="inlineStr">
        <is>
          <t>AUD</t>
        </is>
      </c>
      <c r="U236" t="n">
        <v>0</v>
      </c>
    </row>
    <row r="237">
      <c r="A237" s="5" t="inlineStr">
        <is>
          <t>01a152b9-74c9-73fe-9a50-7c162ce27aee</t>
        </is>
      </c>
      <c r="C237" s="5" t="inlineStr">
        <is>
          <t>01a152b9-6e67-75da-8adb-b03e5d07fd21</t>
        </is>
      </c>
      <c r="D237" s="4" t="n">
        <v>46314.24592826706</v>
      </c>
      <c r="E237" s="4" t="n">
        <v>46314.24592826755</v>
      </c>
      <c r="F237" t="b">
        <v>1</v>
      </c>
      <c r="G237" t="n">
        <v/>
      </c>
      <c r="H237" t="inlineStr">
        <is>
          <t>TPW</t>
        </is>
      </c>
      <c r="I237" t="inlineStr">
        <is>
          <t>Temple &amp; Webster Group Ltd</t>
        </is>
      </c>
      <c r="J237" t="inlineStr">
        <is>
          <t>AUD</t>
        </is>
      </c>
      <c r="K237" s="5" t="inlineStr">
        <is>
          <t>01a152b9-6ee2-7577-bddd-382bc3853fde</t>
        </is>
      </c>
      <c r="M237" t="inlineStr">
        <is>
          <t>UNKNOWN</t>
        </is>
      </c>
      <c r="N237" t="inlineStr">
        <is>
          <t>DEFAULT</t>
        </is>
      </c>
      <c r="Q237" t="n">
        <v>0</v>
      </c>
      <c r="R237" t="inlineStr">
        <is>
          <t>AUD</t>
        </is>
      </c>
      <c r="S237" t="n">
        <v>0</v>
      </c>
      <c r="T237" t="inlineStr">
        <is>
          <t>AUD</t>
        </is>
      </c>
      <c r="U237" t="n">
        <v>0</v>
      </c>
    </row>
    <row r="238">
      <c r="A238" s="5" t="inlineStr">
        <is>
          <t>01a152b9-74d2-73ef-b0ce-fb3eeaf929d8</t>
        </is>
      </c>
      <c r="C238" s="5" t="inlineStr">
        <is>
          <t>01a152b9-6e67-75da-8adb-b03e5d07fd21</t>
        </is>
      </c>
      <c r="D238" s="4" t="n">
        <v>46314.24592836195</v>
      </c>
      <c r="E238" s="4" t="n">
        <v>46314.24592836215</v>
      </c>
      <c r="F238" t="b">
        <v>1</v>
      </c>
      <c r="G238" t="n">
        <v/>
      </c>
      <c r="H238" t="inlineStr">
        <is>
          <t>BGBL</t>
        </is>
      </c>
      <c r="I238" t="inlineStr">
        <is>
          <t>Betashares Global Shares ETF</t>
        </is>
      </c>
      <c r="J238" t="inlineStr">
        <is>
          <t>AUD</t>
        </is>
      </c>
      <c r="K238" s="5" t="inlineStr">
        <is>
          <t>01a152b9-6ee2-7577-bddd-382bc3853fde</t>
        </is>
      </c>
      <c r="M238" t="inlineStr">
        <is>
          <t>UNIT_TRUST</t>
        </is>
      </c>
      <c r="N238" t="inlineStr">
        <is>
          <t>SUGGESTED</t>
        </is>
      </c>
      <c r="Q238" t="n">
        <v>0</v>
      </c>
      <c r="R238" t="inlineStr">
        <is>
          <t>AUD</t>
        </is>
      </c>
      <c r="S238" t="n">
        <v>0</v>
      </c>
      <c r="T238" t="inlineStr">
        <is>
          <t>AUD</t>
        </is>
      </c>
      <c r="U238" t="n">
        <v>0</v>
      </c>
    </row>
    <row r="239">
      <c r="A239" s="5" t="inlineStr">
        <is>
          <t>01a152b9-74da-722f-a21c-a5cb001a8084</t>
        </is>
      </c>
      <c r="C239" s="5" t="inlineStr">
        <is>
          <t>01a152b9-6e67-75da-8adb-b03e5d07fd21</t>
        </is>
      </c>
      <c r="D239" s="4" t="n">
        <v>46314.24592845363</v>
      </c>
      <c r="E239" s="4" t="n">
        <v>46314.24592845386</v>
      </c>
      <c r="F239" t="b">
        <v>1</v>
      </c>
      <c r="G239" t="n">
        <v/>
      </c>
      <c r="H239" t="inlineStr">
        <is>
          <t>SDR</t>
        </is>
      </c>
      <c r="I239" t="inlineStr">
        <is>
          <t>Siteminder Ltd</t>
        </is>
      </c>
      <c r="J239" t="inlineStr">
        <is>
          <t>AUD</t>
        </is>
      </c>
      <c r="K239" s="5" t="inlineStr">
        <is>
          <t>01a152b9-6ee2-7577-bddd-382bc3853fde</t>
        </is>
      </c>
      <c r="M239" t="inlineStr">
        <is>
          <t>UNKNOWN</t>
        </is>
      </c>
      <c r="N239" t="inlineStr">
        <is>
          <t>DEFAULT</t>
        </is>
      </c>
      <c r="Q239" t="n">
        <v>0</v>
      </c>
      <c r="R239" t="inlineStr">
        <is>
          <t>AUD</t>
        </is>
      </c>
      <c r="S239" t="n">
        <v>0</v>
      </c>
      <c r="T239" t="inlineStr">
        <is>
          <t>AUD</t>
        </is>
      </c>
      <c r="U239" t="n">
        <v>0</v>
      </c>
    </row>
    <row r="240">
      <c r="A240" s="5" t="inlineStr">
        <is>
          <t>01a152b9-74e0-747b-8757-e54769985356</t>
        </is>
      </c>
      <c r="C240" s="5" t="inlineStr">
        <is>
          <t>01a152b9-6e67-75da-8adb-b03e5d07fd21</t>
        </is>
      </c>
      <c r="D240" s="4" t="n">
        <v>46314.24592853098</v>
      </c>
      <c r="E240" s="4" t="n">
        <v>46314.24592853118</v>
      </c>
      <c r="F240" t="b">
        <v>1</v>
      </c>
      <c r="G240" t="n">
        <v/>
      </c>
      <c r="H240" t="inlineStr">
        <is>
          <t>GNC</t>
        </is>
      </c>
      <c r="I240" t="inlineStr">
        <is>
          <t>Graincorp Ltd</t>
        </is>
      </c>
      <c r="J240" t="inlineStr">
        <is>
          <t>AUD</t>
        </is>
      </c>
      <c r="K240" s="5" t="inlineStr">
        <is>
          <t>01a152b9-6ee2-7577-bddd-382bc3853fde</t>
        </is>
      </c>
      <c r="M240" t="inlineStr">
        <is>
          <t>UNKNOWN</t>
        </is>
      </c>
      <c r="N240" t="inlineStr">
        <is>
          <t>DEFAULT</t>
        </is>
      </c>
      <c r="Q240" t="n">
        <v>0</v>
      </c>
      <c r="R240" t="inlineStr">
        <is>
          <t>AUD</t>
        </is>
      </c>
      <c r="S240" t="n">
        <v>0</v>
      </c>
      <c r="T240" t="inlineStr">
        <is>
          <t>AUD</t>
        </is>
      </c>
      <c r="U240" t="n">
        <v>0</v>
      </c>
    </row>
    <row r="241">
      <c r="A241" s="5" t="inlineStr">
        <is>
          <t>01a152b9-74e5-74b9-8904-9d5aabae042a</t>
        </is>
      </c>
      <c r="C241" s="5" t="inlineStr">
        <is>
          <t>01a152b9-6e67-75da-8adb-b03e5d07fd21</t>
        </is>
      </c>
      <c r="D241" s="4" t="n">
        <v>46314.24592858479</v>
      </c>
      <c r="E241" s="4" t="n">
        <v>46314.24592858496</v>
      </c>
      <c r="F241" t="b">
        <v>1</v>
      </c>
      <c r="G241" t="n">
        <v/>
      </c>
      <c r="H241" t="inlineStr">
        <is>
          <t>CBAPM</t>
        </is>
      </c>
      <c r="I241" t="inlineStr">
        <is>
          <t>Commonwealth Bank of Australia</t>
        </is>
      </c>
      <c r="J241" t="inlineStr">
        <is>
          <t>AUD</t>
        </is>
      </c>
      <c r="K241" s="5" t="inlineStr">
        <is>
          <t>01a152b9-6ee2-7577-bddd-382bc3853fde</t>
        </is>
      </c>
      <c r="M241" t="inlineStr">
        <is>
          <t>UNKNOWN</t>
        </is>
      </c>
      <c r="N241" t="inlineStr">
        <is>
          <t>DEFAULT</t>
        </is>
      </c>
      <c r="Q241" t="n">
        <v>0</v>
      </c>
      <c r="R241" t="inlineStr">
        <is>
          <t>AUD</t>
        </is>
      </c>
      <c r="S241" t="n">
        <v>0</v>
      </c>
      <c r="T241" t="inlineStr">
        <is>
          <t>AUD</t>
        </is>
      </c>
      <c r="U241" t="n">
        <v>0</v>
      </c>
    </row>
    <row r="242">
      <c r="A242" s="5" t="inlineStr">
        <is>
          <t>01a152b9-74ec-7509-babb-3d2a642bd910</t>
        </is>
      </c>
      <c r="C242" s="5" t="inlineStr">
        <is>
          <t>01a152b9-6e67-75da-8adb-b03e5d07fd21</t>
        </is>
      </c>
      <c r="D242" s="4" t="n">
        <v>46314.24592866066</v>
      </c>
      <c r="E242" s="4" t="n">
        <v>46314.24592866084</v>
      </c>
      <c r="F242" t="b">
        <v>1</v>
      </c>
      <c r="G242" t="n">
        <v/>
      </c>
      <c r="H242" t="inlineStr">
        <is>
          <t>LTR</t>
        </is>
      </c>
      <c r="I242" t="inlineStr">
        <is>
          <t>Liontown Resources Ltd</t>
        </is>
      </c>
      <c r="J242" t="inlineStr">
        <is>
          <t>AUD</t>
        </is>
      </c>
      <c r="K242" s="5" t="inlineStr">
        <is>
          <t>01a152b9-6ee2-7577-bddd-382bc3853fde</t>
        </is>
      </c>
      <c r="M242" t="inlineStr">
        <is>
          <t>UNKNOWN</t>
        </is>
      </c>
      <c r="N242" t="inlineStr">
        <is>
          <t>DEFAULT</t>
        </is>
      </c>
      <c r="Q242" t="n">
        <v>0</v>
      </c>
      <c r="R242" t="inlineStr">
        <is>
          <t>AUD</t>
        </is>
      </c>
      <c r="S242" t="n">
        <v>0</v>
      </c>
      <c r="T242" t="inlineStr">
        <is>
          <t>AUD</t>
        </is>
      </c>
      <c r="U242" t="n">
        <v>0</v>
      </c>
    </row>
    <row r="243">
      <c r="A243" s="5" t="inlineStr">
        <is>
          <t>01a152b9-74f0-70b6-8265-6f7078f44c9c</t>
        </is>
      </c>
      <c r="C243" s="5" t="inlineStr">
        <is>
          <t>01a152b9-6e67-75da-8adb-b03e5d07fd21</t>
        </is>
      </c>
      <c r="D243" s="4" t="n">
        <v>46314.24592870934</v>
      </c>
      <c r="E243" s="4" t="n">
        <v>46314.24592870948</v>
      </c>
      <c r="F243" t="b">
        <v>1</v>
      </c>
      <c r="G243" t="n">
        <v/>
      </c>
      <c r="H243" t="inlineStr">
        <is>
          <t>BAP</t>
        </is>
      </c>
      <c r="I243" t="inlineStr">
        <is>
          <t>Bapcor Ltd</t>
        </is>
      </c>
      <c r="J243" t="inlineStr">
        <is>
          <t>AUD</t>
        </is>
      </c>
      <c r="K243" s="5" t="inlineStr">
        <is>
          <t>01a152b9-6ee2-7577-bddd-382bc3853fde</t>
        </is>
      </c>
      <c r="M243" t="inlineStr">
        <is>
          <t>UNKNOWN</t>
        </is>
      </c>
      <c r="N243" t="inlineStr">
        <is>
          <t>DEFAULT</t>
        </is>
      </c>
      <c r="Q243" t="n">
        <v>0</v>
      </c>
      <c r="R243" t="inlineStr">
        <is>
          <t>AUD</t>
        </is>
      </c>
      <c r="S243" t="n">
        <v>0</v>
      </c>
      <c r="T243" t="inlineStr">
        <is>
          <t>AUD</t>
        </is>
      </c>
      <c r="U243" t="n">
        <v>0</v>
      </c>
    </row>
    <row r="244">
      <c r="A244" s="5" t="inlineStr">
        <is>
          <t>01a152b9-74f4-75aa-bac5-23f19ee866b8</t>
        </is>
      </c>
      <c r="C244" s="5" t="inlineStr">
        <is>
          <t>01a152b9-6e67-75da-8adb-b03e5d07fd21</t>
        </is>
      </c>
      <c r="D244" s="4" t="n">
        <v>46314.24592875339</v>
      </c>
      <c r="E244" s="4" t="n">
        <v>46314.24592875354</v>
      </c>
      <c r="F244" t="b">
        <v>1</v>
      </c>
      <c r="G244" t="n">
        <v/>
      </c>
      <c r="H244" t="inlineStr">
        <is>
          <t>QHAL</t>
        </is>
      </c>
      <c r="I244" t="inlineStr">
        <is>
          <t>Vaneck MSCI International Quality (Aud Hedged) ETF</t>
        </is>
      </c>
      <c r="J244" t="inlineStr">
        <is>
          <t>AUD</t>
        </is>
      </c>
      <c r="K244" s="5" t="inlineStr">
        <is>
          <t>01a152b9-6ee2-7577-bddd-382bc3853fde</t>
        </is>
      </c>
      <c r="M244" t="inlineStr">
        <is>
          <t>UNKNOWN</t>
        </is>
      </c>
      <c r="N244" t="inlineStr">
        <is>
          <t>DEFAULT</t>
        </is>
      </c>
      <c r="Q244" t="n">
        <v>0</v>
      </c>
      <c r="R244" t="inlineStr">
        <is>
          <t>AUD</t>
        </is>
      </c>
      <c r="S244" t="n">
        <v>0</v>
      </c>
      <c r="T244" t="inlineStr">
        <is>
          <t>AUD</t>
        </is>
      </c>
      <c r="U244" t="n">
        <v>0</v>
      </c>
    </row>
    <row r="245">
      <c r="A245" s="5" t="inlineStr">
        <is>
          <t>01a152b9-74f8-72f4-814d-333114d6967e</t>
        </is>
      </c>
      <c r="C245" s="5" t="inlineStr">
        <is>
          <t>01a152b9-6e67-75da-8adb-b03e5d07fd21</t>
        </is>
      </c>
      <c r="D245" s="4" t="n">
        <v>46314.24592879946</v>
      </c>
      <c r="E245" s="4" t="n">
        <v>46314.2459287996</v>
      </c>
      <c r="F245" t="b">
        <v>1</v>
      </c>
      <c r="G245" t="n">
        <v/>
      </c>
      <c r="H245" t="inlineStr">
        <is>
          <t>RCAP</t>
        </is>
      </c>
      <c r="I245" t="inlineStr">
        <is>
          <t>Resolution Cap Global Prop Sec (Managed Fund)</t>
        </is>
      </c>
      <c r="J245" t="inlineStr">
        <is>
          <t>AUD</t>
        </is>
      </c>
      <c r="K245" s="5" t="inlineStr">
        <is>
          <t>01a152b9-6ee2-7577-bddd-382bc3853fde</t>
        </is>
      </c>
      <c r="M245" t="inlineStr">
        <is>
          <t>UNKNOWN</t>
        </is>
      </c>
      <c r="N245" t="inlineStr">
        <is>
          <t>DEFAULT</t>
        </is>
      </c>
      <c r="Q245" t="n">
        <v>0</v>
      </c>
      <c r="R245" t="inlineStr">
        <is>
          <t>AUD</t>
        </is>
      </c>
      <c r="S245" t="n">
        <v>0</v>
      </c>
      <c r="T245" t="inlineStr">
        <is>
          <t>AUD</t>
        </is>
      </c>
      <c r="U245" t="n">
        <v>0</v>
      </c>
    </row>
    <row r="246">
      <c r="A246" s="5" t="inlineStr">
        <is>
          <t>01a152b9-74fb-7222-abfb-5ef78e817646</t>
        </is>
      </c>
      <c r="C246" s="5" t="inlineStr">
        <is>
          <t>01a152b9-6e67-75da-8adb-b03e5d07fd21</t>
        </is>
      </c>
      <c r="D246" s="4" t="n">
        <v>46314.24592884332</v>
      </c>
      <c r="E246" s="4" t="n">
        <v>46314.24592884344</v>
      </c>
      <c r="F246" t="b">
        <v>1</v>
      </c>
      <c r="G246" t="n">
        <v/>
      </c>
      <c r="H246" t="inlineStr">
        <is>
          <t>CSC</t>
        </is>
      </c>
      <c r="I246" t="inlineStr">
        <is>
          <t>Capstone Copper Corp</t>
        </is>
      </c>
      <c r="J246" t="inlineStr">
        <is>
          <t>AUD</t>
        </is>
      </c>
      <c r="K246" s="5" t="inlineStr">
        <is>
          <t>01a152b9-6ee2-7577-bddd-382bc3853fde</t>
        </is>
      </c>
      <c r="M246" t="inlineStr">
        <is>
          <t>UNKNOWN</t>
        </is>
      </c>
      <c r="N246" t="inlineStr">
        <is>
          <t>DEFAULT</t>
        </is>
      </c>
      <c r="Q246" t="n">
        <v>0</v>
      </c>
      <c r="R246" t="inlineStr">
        <is>
          <t>AUD</t>
        </is>
      </c>
      <c r="S246" t="n">
        <v>0</v>
      </c>
      <c r="T246" t="inlineStr">
        <is>
          <t>AUD</t>
        </is>
      </c>
      <c r="U246" t="n">
        <v>0</v>
      </c>
    </row>
    <row r="247">
      <c r="A247" s="5" t="inlineStr">
        <is>
          <t>01a152b9-7500-707a-8eff-e43df2f884ca</t>
        </is>
      </c>
      <c r="C247" s="5" t="inlineStr">
        <is>
          <t>01a152b9-6e67-75da-8adb-b03e5d07fd21</t>
        </is>
      </c>
      <c r="D247" s="4" t="n">
        <v>46314.24592889272</v>
      </c>
      <c r="E247" s="4" t="n">
        <v>46314.24592889282</v>
      </c>
      <c r="F247" t="b">
        <v>1</v>
      </c>
      <c r="G247" t="n">
        <v/>
      </c>
      <c r="H247" t="inlineStr">
        <is>
          <t>WPR</t>
        </is>
      </c>
      <c r="I247" t="inlineStr">
        <is>
          <t>Waypoint REIT</t>
        </is>
      </c>
      <c r="J247" t="inlineStr">
        <is>
          <t>AUD</t>
        </is>
      </c>
      <c r="K247" s="5" t="inlineStr">
        <is>
          <t>01a152b9-6ee2-7577-bddd-382bc3853fde</t>
        </is>
      </c>
      <c r="M247" t="inlineStr">
        <is>
          <t>UNKNOWN</t>
        </is>
      </c>
      <c r="N247" t="inlineStr">
        <is>
          <t>DEFAULT</t>
        </is>
      </c>
      <c r="Q247" t="n">
        <v>0</v>
      </c>
      <c r="R247" t="inlineStr">
        <is>
          <t>AUD</t>
        </is>
      </c>
      <c r="S247" t="n">
        <v>0</v>
      </c>
      <c r="T247" t="inlineStr">
        <is>
          <t>AUD</t>
        </is>
      </c>
      <c r="U247" t="n">
        <v>0</v>
      </c>
    </row>
    <row r="248">
      <c r="A248" s="5" t="inlineStr">
        <is>
          <t>01a152b9-7503-76df-a829-32dae664c1fb</t>
        </is>
      </c>
      <c r="C248" s="5" t="inlineStr">
        <is>
          <t>01a152b9-6e67-75da-8adb-b03e5d07fd21</t>
        </is>
      </c>
      <c r="D248" s="4" t="n">
        <v>46314.24592893128</v>
      </c>
      <c r="E248" s="4" t="n">
        <v>46314.24592893138</v>
      </c>
      <c r="F248" t="b">
        <v>1</v>
      </c>
      <c r="G248" t="n">
        <v/>
      </c>
      <c r="H248" t="inlineStr">
        <is>
          <t>QPON</t>
        </is>
      </c>
      <c r="I248" t="inlineStr">
        <is>
          <t>Betashares Australian Bank Senior Floating Rate Bond ETF</t>
        </is>
      </c>
      <c r="J248" t="inlineStr">
        <is>
          <t>AUD</t>
        </is>
      </c>
      <c r="K248" s="5" t="inlineStr">
        <is>
          <t>01a152b9-6ee2-7577-bddd-382bc3853fde</t>
        </is>
      </c>
      <c r="M248" t="inlineStr">
        <is>
          <t>UNKNOWN</t>
        </is>
      </c>
      <c r="N248" t="inlineStr">
        <is>
          <t>DEFAULT</t>
        </is>
      </c>
      <c r="Q248" t="n">
        <v>0</v>
      </c>
      <c r="R248" t="inlineStr">
        <is>
          <t>AUD</t>
        </is>
      </c>
      <c r="S248" t="n">
        <v>0</v>
      </c>
      <c r="T248" t="inlineStr">
        <is>
          <t>AUD</t>
        </is>
      </c>
      <c r="U248" t="n">
        <v>0</v>
      </c>
    </row>
    <row r="249">
      <c r="A249" s="5" t="inlineStr">
        <is>
          <t>01a152b9-7506-75e7-a8b8-ab1315be13da</t>
        </is>
      </c>
      <c r="C249" s="5" t="inlineStr">
        <is>
          <t>01a152b9-6e67-75da-8adb-b03e5d07fd21</t>
        </is>
      </c>
      <c r="D249" s="4" t="n">
        <v>46314.24592897093</v>
      </c>
      <c r="E249" s="4" t="n">
        <v>46314.24592897105</v>
      </c>
      <c r="F249" t="b">
        <v>1</v>
      </c>
      <c r="G249" t="n">
        <v/>
      </c>
      <c r="H249" t="inlineStr">
        <is>
          <t>WBCPL</t>
        </is>
      </c>
      <c r="I249" t="inlineStr">
        <is>
          <t>Westpac Banking Corporation</t>
        </is>
      </c>
      <c r="J249" t="inlineStr">
        <is>
          <t>AUD</t>
        </is>
      </c>
      <c r="K249" s="5" t="inlineStr">
        <is>
          <t>01a152b9-6ee2-7577-bddd-382bc3853fde</t>
        </is>
      </c>
      <c r="M249" t="inlineStr">
        <is>
          <t>UNKNOWN</t>
        </is>
      </c>
      <c r="N249" t="inlineStr">
        <is>
          <t>DEFAULT</t>
        </is>
      </c>
      <c r="Q249" t="n">
        <v>0</v>
      </c>
      <c r="R249" t="inlineStr">
        <is>
          <t>AUD</t>
        </is>
      </c>
      <c r="S249" t="n">
        <v>0</v>
      </c>
      <c r="T249" t="inlineStr">
        <is>
          <t>AUD</t>
        </is>
      </c>
      <c r="U249" t="n">
        <v>0</v>
      </c>
    </row>
    <row r="250">
      <c r="A250" s="5" t="inlineStr">
        <is>
          <t>01a152b9-750a-761b-bc5c-99720bd469ed</t>
        </is>
      </c>
      <c r="C250" s="5" t="inlineStr">
        <is>
          <t>01a152b9-6e67-75da-8adb-b03e5d07fd21</t>
        </is>
      </c>
      <c r="D250" s="4" t="n">
        <v>46314.24592901484</v>
      </c>
      <c r="E250" s="4" t="n">
        <v>46314.24592901494</v>
      </c>
      <c r="F250" t="b">
        <v>1</v>
      </c>
      <c r="G250" t="n">
        <v/>
      </c>
      <c r="H250" t="inlineStr">
        <is>
          <t>NWS</t>
        </is>
      </c>
      <c r="I250" t="inlineStr">
        <is>
          <t>News Corporation</t>
        </is>
      </c>
      <c r="J250" t="inlineStr">
        <is>
          <t>AUD</t>
        </is>
      </c>
      <c r="K250" s="5" t="inlineStr">
        <is>
          <t>01a152b9-6ee2-7577-bddd-382bc3853fde</t>
        </is>
      </c>
      <c r="M250" t="inlineStr">
        <is>
          <t>UNKNOWN</t>
        </is>
      </c>
      <c r="N250" t="inlineStr">
        <is>
          <t>DEFAULT</t>
        </is>
      </c>
      <c r="Q250" t="n">
        <v>0</v>
      </c>
      <c r="R250" t="inlineStr">
        <is>
          <t>AUD</t>
        </is>
      </c>
      <c r="S250" t="n">
        <v>0</v>
      </c>
      <c r="T250" t="inlineStr">
        <is>
          <t>AUD</t>
        </is>
      </c>
      <c r="U250" t="n">
        <v>0</v>
      </c>
    </row>
    <row r="251">
      <c r="A251" s="5" t="inlineStr">
        <is>
          <t>01a152b9-750e-70aa-a1c6-1c827a72d2e4</t>
        </is>
      </c>
      <c r="C251" s="5" t="inlineStr">
        <is>
          <t>01a152b9-6e67-75da-8adb-b03e5d07fd21</t>
        </is>
      </c>
      <c r="D251" s="4" t="n">
        <v>46314.2459290567</v>
      </c>
      <c r="E251" s="4" t="n">
        <v>46314.24592905683</v>
      </c>
      <c r="F251" t="b">
        <v>1</v>
      </c>
      <c r="G251" t="n">
        <v/>
      </c>
      <c r="H251" t="inlineStr">
        <is>
          <t>ARF</t>
        </is>
      </c>
      <c r="I251" t="inlineStr">
        <is>
          <t>Arena REIT</t>
        </is>
      </c>
      <c r="J251" t="inlineStr">
        <is>
          <t>AUD</t>
        </is>
      </c>
      <c r="K251" s="5" t="inlineStr">
        <is>
          <t>01a152b9-6ee2-7577-bddd-382bc3853fde</t>
        </is>
      </c>
      <c r="M251" t="inlineStr">
        <is>
          <t>UNKNOWN</t>
        </is>
      </c>
      <c r="N251" t="inlineStr">
        <is>
          <t>DEFAULT</t>
        </is>
      </c>
      <c r="Q251" t="n">
        <v>0</v>
      </c>
      <c r="R251" t="inlineStr">
        <is>
          <t>AUD</t>
        </is>
      </c>
      <c r="S251" t="n">
        <v>0</v>
      </c>
      <c r="T251" t="inlineStr">
        <is>
          <t>AUD</t>
        </is>
      </c>
      <c r="U251" t="n">
        <v>0</v>
      </c>
    </row>
    <row r="252">
      <c r="A252" s="5" t="inlineStr">
        <is>
          <t>01a152b9-7512-70ed-a6cc-e17d759b5734</t>
        </is>
      </c>
      <c r="C252" s="5" t="inlineStr">
        <is>
          <t>01a152b9-6e67-75da-8adb-b03e5d07fd21</t>
        </is>
      </c>
      <c r="D252" s="4" t="n">
        <v>46314.24592910719</v>
      </c>
      <c r="E252" s="4" t="n">
        <v>46314.24592910735</v>
      </c>
      <c r="F252" t="b">
        <v>1</v>
      </c>
      <c r="G252" t="n">
        <v/>
      </c>
      <c r="H252" t="inlineStr">
        <is>
          <t>OCL</t>
        </is>
      </c>
      <c r="I252" t="inlineStr">
        <is>
          <t>Objective Corporation Ltd</t>
        </is>
      </c>
      <c r="J252" t="inlineStr">
        <is>
          <t>AUD</t>
        </is>
      </c>
      <c r="K252" s="5" t="inlineStr">
        <is>
          <t>01a152b9-6ee2-7577-bddd-382bc3853fde</t>
        </is>
      </c>
      <c r="M252" t="inlineStr">
        <is>
          <t>UNKNOWN</t>
        </is>
      </c>
      <c r="N252" t="inlineStr">
        <is>
          <t>DEFAULT</t>
        </is>
      </c>
      <c r="Q252" t="n">
        <v>0</v>
      </c>
      <c r="R252" t="inlineStr">
        <is>
          <t>AUD</t>
        </is>
      </c>
      <c r="S252" t="n">
        <v>0</v>
      </c>
      <c r="T252" t="inlineStr">
        <is>
          <t>AUD</t>
        </is>
      </c>
      <c r="U252" t="n">
        <v>0</v>
      </c>
    </row>
    <row r="253">
      <c r="A253" s="5" t="inlineStr">
        <is>
          <t>01a152b9-7516-7580-9b62-f9aa1943de32</t>
        </is>
      </c>
      <c r="C253" s="5" t="inlineStr">
        <is>
          <t>01a152b9-6e67-75da-8adb-b03e5d07fd21</t>
        </is>
      </c>
      <c r="D253" s="4" t="n">
        <v>46314.24592914999</v>
      </c>
      <c r="E253" s="4" t="n">
        <v>46314.24592915009</v>
      </c>
      <c r="F253" t="b">
        <v>1</v>
      </c>
      <c r="G253" t="n">
        <v/>
      </c>
      <c r="H253" t="inlineStr">
        <is>
          <t>NWH</t>
        </is>
      </c>
      <c r="I253" t="inlineStr">
        <is>
          <t>NRW Holdings Ltd</t>
        </is>
      </c>
      <c r="J253" t="inlineStr">
        <is>
          <t>AUD</t>
        </is>
      </c>
      <c r="K253" s="5" t="inlineStr">
        <is>
          <t>01a152b9-6ee2-7577-bddd-382bc3853fde</t>
        </is>
      </c>
      <c r="M253" t="inlineStr">
        <is>
          <t>UNKNOWN</t>
        </is>
      </c>
      <c r="N253" t="inlineStr">
        <is>
          <t>DEFAULT</t>
        </is>
      </c>
      <c r="Q253" t="n">
        <v>0</v>
      </c>
      <c r="R253" t="inlineStr">
        <is>
          <t>AUD</t>
        </is>
      </c>
      <c r="S253" t="n">
        <v>0</v>
      </c>
      <c r="T253" t="inlineStr">
        <is>
          <t>AUD</t>
        </is>
      </c>
      <c r="U253" t="n">
        <v>0</v>
      </c>
    </row>
    <row r="254">
      <c r="A254" s="5" t="inlineStr">
        <is>
          <t>01a152b9-7519-72bb-80f8-eb91e1c2ea6e</t>
        </is>
      </c>
      <c r="C254" s="5" t="inlineStr">
        <is>
          <t>01a152b9-6e67-75da-8adb-b03e5d07fd21</t>
        </is>
      </c>
      <c r="D254" s="4" t="n">
        <v>46314.24592918485</v>
      </c>
      <c r="E254" s="4" t="n">
        <v>46314.24592918495</v>
      </c>
      <c r="F254" t="b">
        <v>1</v>
      </c>
      <c r="G254" t="n">
        <v/>
      </c>
      <c r="H254" t="inlineStr">
        <is>
          <t>AN3PI</t>
        </is>
      </c>
      <c r="I254" t="inlineStr">
        <is>
          <t>Australia and New Zealand Banking Group Ltd</t>
        </is>
      </c>
      <c r="J254" t="inlineStr">
        <is>
          <t>AUD</t>
        </is>
      </c>
      <c r="K254" s="5" t="inlineStr">
        <is>
          <t>01a152b9-6ee2-7577-bddd-382bc3853fde</t>
        </is>
      </c>
      <c r="M254" t="inlineStr">
        <is>
          <t>UNKNOWN</t>
        </is>
      </c>
      <c r="N254" t="inlineStr">
        <is>
          <t>DEFAULT</t>
        </is>
      </c>
      <c r="Q254" t="n">
        <v>0</v>
      </c>
      <c r="R254" t="inlineStr">
        <is>
          <t>AUD</t>
        </is>
      </c>
      <c r="S254" t="n">
        <v>0</v>
      </c>
      <c r="T254" t="inlineStr">
        <is>
          <t>AUD</t>
        </is>
      </c>
      <c r="U254" t="n">
        <v>0</v>
      </c>
    </row>
    <row r="255">
      <c r="A255" s="5" t="inlineStr">
        <is>
          <t>01a152b9-751c-7044-b265-8e289a75262a</t>
        </is>
      </c>
      <c r="C255" s="5" t="inlineStr">
        <is>
          <t>01a152b9-6e67-75da-8adb-b03e5d07fd21</t>
        </is>
      </c>
      <c r="D255" s="4" t="n">
        <v>46314.24592922523</v>
      </c>
      <c r="E255" s="4" t="n">
        <v>46314.24592922533</v>
      </c>
      <c r="F255" t="b">
        <v>1</v>
      </c>
      <c r="G255" t="n">
        <v/>
      </c>
      <c r="H255" t="inlineStr">
        <is>
          <t>MGH</t>
        </is>
      </c>
      <c r="I255" t="inlineStr">
        <is>
          <t>Maas Group Holdings Ltd</t>
        </is>
      </c>
      <c r="J255" t="inlineStr">
        <is>
          <t>AUD</t>
        </is>
      </c>
      <c r="K255" s="5" t="inlineStr">
        <is>
          <t>01a152b9-6ee2-7577-bddd-382bc3853fde</t>
        </is>
      </c>
      <c r="M255" t="inlineStr">
        <is>
          <t>UNKNOWN</t>
        </is>
      </c>
      <c r="N255" t="inlineStr">
        <is>
          <t>DEFAULT</t>
        </is>
      </c>
      <c r="Q255" t="n">
        <v>0</v>
      </c>
      <c r="R255" t="inlineStr">
        <is>
          <t>AUD</t>
        </is>
      </c>
      <c r="S255" t="n">
        <v>0</v>
      </c>
      <c r="T255" t="inlineStr">
        <is>
          <t>AUD</t>
        </is>
      </c>
      <c r="U255" t="n">
        <v>0</v>
      </c>
    </row>
    <row r="256">
      <c r="A256" s="5" t="inlineStr">
        <is>
          <t>01a152b9-7520-758c-9624-bc378de0a2c4</t>
        </is>
      </c>
      <c r="C256" s="5" t="inlineStr">
        <is>
          <t>01a152b9-6e67-75da-8adb-b03e5d07fd21</t>
        </is>
      </c>
      <c r="D256" s="4" t="n">
        <v>46314.24592927114</v>
      </c>
      <c r="E256" s="4" t="n">
        <v>46314.24592927125</v>
      </c>
      <c r="F256" t="b">
        <v>1</v>
      </c>
      <c r="G256" t="n">
        <v/>
      </c>
      <c r="H256" t="inlineStr">
        <is>
          <t>DDR</t>
        </is>
      </c>
      <c r="I256" t="inlineStr">
        <is>
          <t>Dicker Data Ltd</t>
        </is>
      </c>
      <c r="J256" t="inlineStr">
        <is>
          <t>AUD</t>
        </is>
      </c>
      <c r="K256" s="5" t="inlineStr">
        <is>
          <t>01a152b9-6ee2-7577-bddd-382bc3853fde</t>
        </is>
      </c>
      <c r="M256" t="inlineStr">
        <is>
          <t>UNKNOWN</t>
        </is>
      </c>
      <c r="N256" t="inlineStr">
        <is>
          <t>DEFAULT</t>
        </is>
      </c>
      <c r="Q256" t="n">
        <v>0</v>
      </c>
      <c r="R256" t="inlineStr">
        <is>
          <t>AUD</t>
        </is>
      </c>
      <c r="S256" t="n">
        <v>0</v>
      </c>
      <c r="T256" t="inlineStr">
        <is>
          <t>AUD</t>
        </is>
      </c>
      <c r="U256" t="n">
        <v>0</v>
      </c>
    </row>
    <row r="257">
      <c r="A257" s="5" t="inlineStr">
        <is>
          <t>01a152b9-7524-755d-996e-f754c1cfc2c8</t>
        </is>
      </c>
      <c r="C257" s="5" t="inlineStr">
        <is>
          <t>01a152b9-6e67-75da-8adb-b03e5d07fd21</t>
        </is>
      </c>
      <c r="D257" s="4" t="n">
        <v>46314.24592931174</v>
      </c>
      <c r="E257" s="4" t="n">
        <v>46314.24592931185</v>
      </c>
      <c r="F257" t="b">
        <v>1</v>
      </c>
      <c r="G257" t="n">
        <v/>
      </c>
      <c r="H257" t="inlineStr">
        <is>
          <t>PNV</t>
        </is>
      </c>
      <c r="I257" t="inlineStr">
        <is>
          <t>Polynovo Ltd</t>
        </is>
      </c>
      <c r="J257" t="inlineStr">
        <is>
          <t>AUD</t>
        </is>
      </c>
      <c r="K257" s="5" t="inlineStr">
        <is>
          <t>01a152b9-6ee2-7577-bddd-382bc3853fde</t>
        </is>
      </c>
      <c r="M257" t="inlineStr">
        <is>
          <t>UNKNOWN</t>
        </is>
      </c>
      <c r="N257" t="inlineStr">
        <is>
          <t>DEFAULT</t>
        </is>
      </c>
      <c r="Q257" t="n">
        <v>0</v>
      </c>
      <c r="R257" t="inlineStr">
        <is>
          <t>AUD</t>
        </is>
      </c>
      <c r="S257" t="n">
        <v>0</v>
      </c>
      <c r="T257" t="inlineStr">
        <is>
          <t>AUD</t>
        </is>
      </c>
      <c r="U257" t="n">
        <v>0</v>
      </c>
    </row>
    <row r="258">
      <c r="A258" s="5" t="inlineStr">
        <is>
          <t>01a152b9-7527-761b-b491-720a595969f8</t>
        </is>
      </c>
      <c r="C258" s="5" t="inlineStr">
        <is>
          <t>01a152b9-6e67-75da-8adb-b03e5d07fd21</t>
        </is>
      </c>
      <c r="D258" s="4" t="n">
        <v>46314.2459293482</v>
      </c>
      <c r="E258" s="4" t="n">
        <v>46314.24592934831</v>
      </c>
      <c r="F258" t="b">
        <v>1</v>
      </c>
      <c r="G258" t="n">
        <v/>
      </c>
      <c r="H258" t="inlineStr">
        <is>
          <t>SLX</t>
        </is>
      </c>
      <c r="I258" t="inlineStr">
        <is>
          <t>SILEX Systems Ltd</t>
        </is>
      </c>
      <c r="J258" t="inlineStr">
        <is>
          <t>AUD</t>
        </is>
      </c>
      <c r="K258" s="5" t="inlineStr">
        <is>
          <t>01a152b9-6ee2-7577-bddd-382bc3853fde</t>
        </is>
      </c>
      <c r="M258" t="inlineStr">
        <is>
          <t>UNKNOWN</t>
        </is>
      </c>
      <c r="N258" t="inlineStr">
        <is>
          <t>DEFAULT</t>
        </is>
      </c>
      <c r="Q258" t="n">
        <v>0</v>
      </c>
      <c r="R258" t="inlineStr">
        <is>
          <t>AUD</t>
        </is>
      </c>
      <c r="S258" t="n">
        <v>0</v>
      </c>
      <c r="T258" t="inlineStr">
        <is>
          <t>AUD</t>
        </is>
      </c>
      <c r="U258" t="n">
        <v>0</v>
      </c>
    </row>
    <row r="259">
      <c r="A259" s="5" t="inlineStr">
        <is>
          <t>01a152b9-752b-742c-bf6b-bd670a0794e3</t>
        </is>
      </c>
      <c r="C259" s="5" t="inlineStr">
        <is>
          <t>01a152b9-6e67-75da-8adb-b03e5d07fd21</t>
        </is>
      </c>
      <c r="D259" s="4" t="n">
        <v>46314.24592939213</v>
      </c>
      <c r="E259" s="4" t="n">
        <v>46314.24592939224</v>
      </c>
      <c r="F259" t="b">
        <v>1</v>
      </c>
      <c r="G259" t="n">
        <v/>
      </c>
      <c r="H259" t="inlineStr">
        <is>
          <t>AN3PK</t>
        </is>
      </c>
      <c r="I259" t="inlineStr">
        <is>
          <t>Australia and New Zealand Banking Group Ltd</t>
        </is>
      </c>
      <c r="J259" t="inlineStr">
        <is>
          <t>AUD</t>
        </is>
      </c>
      <c r="K259" s="5" t="inlineStr">
        <is>
          <t>01a152b9-6ee2-7577-bddd-382bc3853fde</t>
        </is>
      </c>
      <c r="M259" t="inlineStr">
        <is>
          <t>UNKNOWN</t>
        </is>
      </c>
      <c r="N259" t="inlineStr">
        <is>
          <t>DEFAULT</t>
        </is>
      </c>
      <c r="Q259" t="n">
        <v>0</v>
      </c>
      <c r="R259" t="inlineStr">
        <is>
          <t>AUD</t>
        </is>
      </c>
      <c r="S259" t="n">
        <v>0</v>
      </c>
      <c r="T259" t="inlineStr">
        <is>
          <t>AUD</t>
        </is>
      </c>
      <c r="U259" t="n">
        <v>0</v>
      </c>
    </row>
    <row r="260">
      <c r="A260" s="5" t="inlineStr">
        <is>
          <t>01a152b9-752e-732d-80bb-0d4167e8f1b3</t>
        </is>
      </c>
      <c r="C260" s="5" t="inlineStr">
        <is>
          <t>01a152b9-6e67-75da-8adb-b03e5d07fd21</t>
        </is>
      </c>
      <c r="D260" s="4" t="n">
        <v>46314.2459294298</v>
      </c>
      <c r="E260" s="4" t="n">
        <v>46314.2459294299</v>
      </c>
      <c r="F260" t="b">
        <v>1</v>
      </c>
      <c r="G260" t="n">
        <v/>
      </c>
      <c r="H260" t="inlineStr">
        <is>
          <t>MQGPG</t>
        </is>
      </c>
      <c r="I260" t="inlineStr">
        <is>
          <t>Macquarie Group Ltd</t>
        </is>
      </c>
      <c r="J260" t="inlineStr">
        <is>
          <t>AUD</t>
        </is>
      </c>
      <c r="K260" s="5" t="inlineStr">
        <is>
          <t>01a152b9-6ee2-7577-bddd-382bc3853fde</t>
        </is>
      </c>
      <c r="M260" t="inlineStr">
        <is>
          <t>UNKNOWN</t>
        </is>
      </c>
      <c r="N260" t="inlineStr">
        <is>
          <t>DEFAULT</t>
        </is>
      </c>
      <c r="Q260" t="n">
        <v>0</v>
      </c>
      <c r="R260" t="inlineStr">
        <is>
          <t>AUD</t>
        </is>
      </c>
      <c r="S260" t="n">
        <v>0</v>
      </c>
      <c r="T260" t="inlineStr">
        <is>
          <t>AUD</t>
        </is>
      </c>
      <c r="U260" t="n">
        <v>0</v>
      </c>
    </row>
    <row r="261">
      <c r="A261" s="5" t="inlineStr">
        <is>
          <t>01a152b9-7532-7738-b812-ef0ff55dd451</t>
        </is>
      </c>
      <c r="C261" s="5" t="inlineStr">
        <is>
          <t>01a152b9-6e67-75da-8adb-b03e5d07fd21</t>
        </is>
      </c>
      <c r="D261" s="4" t="n">
        <v>46314.24592946916</v>
      </c>
      <c r="E261" s="4" t="n">
        <v>46314.24592946926</v>
      </c>
      <c r="F261" t="b">
        <v>1</v>
      </c>
      <c r="G261" t="n">
        <v/>
      </c>
      <c r="H261" t="inlineStr">
        <is>
          <t>SNL</t>
        </is>
      </c>
      <c r="I261" t="inlineStr">
        <is>
          <t>Supply Network Ltd</t>
        </is>
      </c>
      <c r="J261" t="inlineStr">
        <is>
          <t>AUD</t>
        </is>
      </c>
      <c r="K261" s="5" t="inlineStr">
        <is>
          <t>01a152b9-6ee2-7577-bddd-382bc3853fde</t>
        </is>
      </c>
      <c r="M261" t="inlineStr">
        <is>
          <t>UNKNOWN</t>
        </is>
      </c>
      <c r="N261" t="inlineStr">
        <is>
          <t>DEFAULT</t>
        </is>
      </c>
      <c r="Q261" t="n">
        <v>0</v>
      </c>
      <c r="R261" t="inlineStr">
        <is>
          <t>AUD</t>
        </is>
      </c>
      <c r="S261" t="n">
        <v>0</v>
      </c>
      <c r="T261" t="inlineStr">
        <is>
          <t>AUD</t>
        </is>
      </c>
      <c r="U261" t="n">
        <v>0</v>
      </c>
    </row>
    <row r="262">
      <c r="A262" s="5" t="inlineStr">
        <is>
          <t>01a152b9-7535-74ea-b63d-a3f14cb477bc</t>
        </is>
      </c>
      <c r="C262" s="5" t="inlineStr">
        <is>
          <t>01a152b9-6e67-75da-8adb-b03e5d07fd21</t>
        </is>
      </c>
      <c r="D262" s="4" t="n">
        <v>46314.24592951178</v>
      </c>
      <c r="E262" s="4" t="n">
        <v>46314.2459295119</v>
      </c>
      <c r="F262" t="b">
        <v>1</v>
      </c>
      <c r="G262" t="n">
        <v/>
      </c>
      <c r="H262" t="inlineStr">
        <is>
          <t>FRW</t>
        </is>
      </c>
      <c r="I262" t="inlineStr">
        <is>
          <t>Freightways Group Ltd</t>
        </is>
      </c>
      <c r="J262" t="inlineStr">
        <is>
          <t>AUD</t>
        </is>
      </c>
      <c r="K262" s="5" t="inlineStr">
        <is>
          <t>01a152b9-6ee2-7577-bddd-382bc3853fde</t>
        </is>
      </c>
      <c r="M262" t="inlineStr">
        <is>
          <t>UNKNOWN</t>
        </is>
      </c>
      <c r="N262" t="inlineStr">
        <is>
          <t>DEFAULT</t>
        </is>
      </c>
      <c r="Q262" t="n">
        <v>0</v>
      </c>
      <c r="R262" t="inlineStr">
        <is>
          <t>AUD</t>
        </is>
      </c>
      <c r="S262" t="n">
        <v>0</v>
      </c>
      <c r="T262" t="inlineStr">
        <is>
          <t>AUD</t>
        </is>
      </c>
      <c r="U262" t="n">
        <v>0</v>
      </c>
    </row>
    <row r="263">
      <c r="A263" s="5" t="inlineStr">
        <is>
          <t>01a152b9-7539-70cc-8b07-46001e86778c</t>
        </is>
      </c>
      <c r="C263" s="5" t="inlineStr">
        <is>
          <t>01a152b9-6e67-75da-8adb-b03e5d07fd21</t>
        </is>
      </c>
      <c r="D263" s="4" t="n">
        <v>46314.24592955825</v>
      </c>
      <c r="E263" s="4" t="n">
        <v>46314.24592955835</v>
      </c>
      <c r="F263" t="b">
        <v>1</v>
      </c>
      <c r="G263" t="n">
        <v/>
      </c>
      <c r="H263" t="inlineStr">
        <is>
          <t>TAH</t>
        </is>
      </c>
      <c r="I263" t="inlineStr">
        <is>
          <t>Tabcorp Holdings Ltd</t>
        </is>
      </c>
      <c r="J263" t="inlineStr">
        <is>
          <t>AUD</t>
        </is>
      </c>
      <c r="K263" s="5" t="inlineStr">
        <is>
          <t>01a152b9-6ee2-7577-bddd-382bc3853fde</t>
        </is>
      </c>
      <c r="M263" t="inlineStr">
        <is>
          <t>UNKNOWN</t>
        </is>
      </c>
      <c r="N263" t="inlineStr">
        <is>
          <t>DEFAULT</t>
        </is>
      </c>
      <c r="Q263" t="n">
        <v>0</v>
      </c>
      <c r="R263" t="inlineStr">
        <is>
          <t>AUD</t>
        </is>
      </c>
      <c r="S263" t="n">
        <v>0</v>
      </c>
      <c r="T263" t="inlineStr">
        <is>
          <t>AUD</t>
        </is>
      </c>
      <c r="U263" t="n">
        <v>0</v>
      </c>
    </row>
    <row r="264">
      <c r="A264" s="5" t="inlineStr">
        <is>
          <t>01a152b9-753c-7532-a44f-908579661925</t>
        </is>
      </c>
      <c r="C264" s="5" t="inlineStr">
        <is>
          <t>01a152b9-6e67-75da-8adb-b03e5d07fd21</t>
        </is>
      </c>
      <c r="D264" s="4" t="n">
        <v>46314.24592959414</v>
      </c>
      <c r="E264" s="4" t="n">
        <v>46314.24592959425</v>
      </c>
      <c r="F264" t="b">
        <v>1</v>
      </c>
      <c r="G264" t="n">
        <v/>
      </c>
      <c r="H264" t="inlineStr">
        <is>
          <t>CNI</t>
        </is>
      </c>
      <c r="I264" t="inlineStr">
        <is>
          <t>Centuria Capital Group</t>
        </is>
      </c>
      <c r="J264" t="inlineStr">
        <is>
          <t>AUD</t>
        </is>
      </c>
      <c r="K264" s="5" t="inlineStr">
        <is>
          <t>01a152b9-6ee2-7577-bddd-382bc3853fde</t>
        </is>
      </c>
      <c r="M264" t="inlineStr">
        <is>
          <t>UNKNOWN</t>
        </is>
      </c>
      <c r="N264" t="inlineStr">
        <is>
          <t>DEFAULT</t>
        </is>
      </c>
      <c r="Q264" t="n">
        <v>0</v>
      </c>
      <c r="R264" t="inlineStr">
        <is>
          <t>AUD</t>
        </is>
      </c>
      <c r="S264" t="n">
        <v>0</v>
      </c>
      <c r="T264" t="inlineStr">
        <is>
          <t>AUD</t>
        </is>
      </c>
      <c r="U264" t="n">
        <v>0</v>
      </c>
    </row>
    <row r="265">
      <c r="A265" s="5" t="inlineStr">
        <is>
          <t>01a152b9-753f-70a1-9b8e-a04173cb4b2f</t>
        </is>
      </c>
      <c r="C265" s="5" t="inlineStr">
        <is>
          <t>01a152b9-6e67-75da-8adb-b03e5d07fd21</t>
        </is>
      </c>
      <c r="D265" s="4" t="n">
        <v>46314.24592963</v>
      </c>
      <c r="E265" s="4" t="n">
        <v>46314.24592963009</v>
      </c>
      <c r="F265" t="b">
        <v>1</v>
      </c>
      <c r="G265" t="n">
        <v/>
      </c>
      <c r="H265" t="inlineStr">
        <is>
          <t>ASK</t>
        </is>
      </c>
      <c r="I265" t="inlineStr">
        <is>
          <t>Abacus Storage King</t>
        </is>
      </c>
      <c r="J265" t="inlineStr">
        <is>
          <t>AUD</t>
        </is>
      </c>
      <c r="K265" s="5" t="inlineStr">
        <is>
          <t>01a152b9-6ee2-7577-bddd-382bc3853fde</t>
        </is>
      </c>
      <c r="M265" t="inlineStr">
        <is>
          <t>UNKNOWN</t>
        </is>
      </c>
      <c r="N265" t="inlineStr">
        <is>
          <t>DEFAULT</t>
        </is>
      </c>
      <c r="Q265" t="n">
        <v>0</v>
      </c>
      <c r="R265" t="inlineStr">
        <is>
          <t>AUD</t>
        </is>
      </c>
      <c r="S265" t="n">
        <v>0</v>
      </c>
      <c r="T265" t="inlineStr">
        <is>
          <t>AUD</t>
        </is>
      </c>
      <c r="U265" t="n">
        <v>0</v>
      </c>
    </row>
    <row r="266">
      <c r="A266" s="5" t="inlineStr">
        <is>
          <t>01a152b9-7543-774f-9eba-d5b4448f5a12</t>
        </is>
      </c>
      <c r="C266" s="5" t="inlineStr">
        <is>
          <t>01a152b9-6e67-75da-8adb-b03e5d07fd21</t>
        </is>
      </c>
      <c r="D266" s="4" t="n">
        <v>46314.24592966756</v>
      </c>
      <c r="E266" s="4" t="n">
        <v>46314.24592966765</v>
      </c>
      <c r="F266" t="b">
        <v>1</v>
      </c>
      <c r="G266" t="n">
        <v/>
      </c>
      <c r="H266" t="inlineStr">
        <is>
          <t>AOV</t>
        </is>
      </c>
      <c r="I266" t="inlineStr">
        <is>
          <t>Amotiv Ltd</t>
        </is>
      </c>
      <c r="J266" t="inlineStr">
        <is>
          <t>AUD</t>
        </is>
      </c>
      <c r="K266" s="5" t="inlineStr">
        <is>
          <t>01a152b9-6ee2-7577-bddd-382bc3853fde</t>
        </is>
      </c>
      <c r="M266" t="inlineStr">
        <is>
          <t>UNKNOWN</t>
        </is>
      </c>
      <c r="N266" t="inlineStr">
        <is>
          <t>DEFAULT</t>
        </is>
      </c>
      <c r="Q266" t="n">
        <v>0</v>
      </c>
      <c r="R266" t="inlineStr">
        <is>
          <t>AUD</t>
        </is>
      </c>
      <c r="S266" t="n">
        <v>0</v>
      </c>
      <c r="T266" t="inlineStr">
        <is>
          <t>AUD</t>
        </is>
      </c>
      <c r="U266" t="n">
        <v>0</v>
      </c>
    </row>
    <row r="267">
      <c r="A267" s="5" t="inlineStr">
        <is>
          <t>01a152b9-7546-7226-8ef4-6cefe5b38873</t>
        </is>
      </c>
      <c r="C267" s="5" t="inlineStr">
        <is>
          <t>01a152b9-6e67-75da-8adb-b03e5d07fd21</t>
        </is>
      </c>
      <c r="D267" s="4" t="n">
        <v>46314.24592970641</v>
      </c>
      <c r="E267" s="4" t="n">
        <v>46314.24592970651</v>
      </c>
      <c r="F267" t="b">
        <v>1</v>
      </c>
      <c r="G267" t="n">
        <v/>
      </c>
      <c r="H267" t="inlineStr">
        <is>
          <t>QSML</t>
        </is>
      </c>
      <c r="I267" t="inlineStr">
        <is>
          <t>Vaneck MSCI Intl Small Companies Quality ETF</t>
        </is>
      </c>
      <c r="J267" t="inlineStr">
        <is>
          <t>AUD</t>
        </is>
      </c>
      <c r="K267" s="5" t="inlineStr">
        <is>
          <t>01a152b9-6ee2-7577-bddd-382bc3853fde</t>
        </is>
      </c>
      <c r="M267" t="inlineStr">
        <is>
          <t>UNKNOWN</t>
        </is>
      </c>
      <c r="N267" t="inlineStr">
        <is>
          <t>DEFAULT</t>
        </is>
      </c>
      <c r="Q267" t="n">
        <v>0</v>
      </c>
      <c r="R267" t="inlineStr">
        <is>
          <t>AUD</t>
        </is>
      </c>
      <c r="S267" t="n">
        <v>0</v>
      </c>
      <c r="T267" t="inlineStr">
        <is>
          <t>AUD</t>
        </is>
      </c>
      <c r="U267" t="n">
        <v>0</v>
      </c>
    </row>
    <row r="268">
      <c r="A268" s="5" t="inlineStr">
        <is>
          <t>01a152b9-7549-71ea-9511-c58b5f7e1867</t>
        </is>
      </c>
      <c r="C268" s="5" t="inlineStr">
        <is>
          <t>01a152b9-6e67-75da-8adb-b03e5d07fd21</t>
        </is>
      </c>
      <c r="D268" s="4" t="n">
        <v>46314.24592974146</v>
      </c>
      <c r="E268" s="4" t="n">
        <v>46314.24592974156</v>
      </c>
      <c r="F268" t="b">
        <v>1</v>
      </c>
      <c r="G268" t="n">
        <v/>
      </c>
      <c r="H268" t="inlineStr">
        <is>
          <t>MND</t>
        </is>
      </c>
      <c r="I268" t="inlineStr">
        <is>
          <t>Monadelphous Group Ltd</t>
        </is>
      </c>
      <c r="J268" t="inlineStr">
        <is>
          <t>AUD</t>
        </is>
      </c>
      <c r="K268" s="5" t="inlineStr">
        <is>
          <t>01a152b9-6ee2-7577-bddd-382bc3853fde</t>
        </is>
      </c>
      <c r="M268" t="inlineStr">
        <is>
          <t>UNKNOWN</t>
        </is>
      </c>
      <c r="N268" t="inlineStr">
        <is>
          <t>DEFAULT</t>
        </is>
      </c>
      <c r="Q268" t="n">
        <v>0</v>
      </c>
      <c r="R268" t="inlineStr">
        <is>
          <t>AUD</t>
        </is>
      </c>
      <c r="S268" t="n">
        <v>0</v>
      </c>
      <c r="T268" t="inlineStr">
        <is>
          <t>AUD</t>
        </is>
      </c>
      <c r="U268" t="n">
        <v>0</v>
      </c>
    </row>
    <row r="269">
      <c r="A269" s="5" t="inlineStr">
        <is>
          <t>01a152b9-754d-75d8-b849-d65ff69f1889</t>
        </is>
      </c>
      <c r="C269" s="5" t="inlineStr">
        <is>
          <t>01a152b9-6e67-75da-8adb-b03e5d07fd21</t>
        </is>
      </c>
      <c r="D269" s="4" t="n">
        <v>46314.24592978271</v>
      </c>
      <c r="E269" s="4" t="n">
        <v>46314.24592978282</v>
      </c>
      <c r="F269" t="b">
        <v>1</v>
      </c>
      <c r="G269" t="n">
        <v/>
      </c>
      <c r="H269" t="inlineStr">
        <is>
          <t>BGL</t>
        </is>
      </c>
      <c r="I269" t="inlineStr">
        <is>
          <t>Bellevue Gold Ltd</t>
        </is>
      </c>
      <c r="J269" t="inlineStr">
        <is>
          <t>AUD</t>
        </is>
      </c>
      <c r="K269" s="5" t="inlineStr">
        <is>
          <t>01a152b9-6ee2-7577-bddd-382bc3853fde</t>
        </is>
      </c>
      <c r="M269" t="inlineStr">
        <is>
          <t>UNKNOWN</t>
        </is>
      </c>
      <c r="N269" t="inlineStr">
        <is>
          <t>DEFAULT</t>
        </is>
      </c>
      <c r="Q269" t="n">
        <v>0</v>
      </c>
      <c r="R269" t="inlineStr">
        <is>
          <t>AUD</t>
        </is>
      </c>
      <c r="S269" t="n">
        <v>0</v>
      </c>
      <c r="T269" t="inlineStr">
        <is>
          <t>AUD</t>
        </is>
      </c>
      <c r="U269" t="n">
        <v>0</v>
      </c>
    </row>
    <row r="270">
      <c r="A270" s="5" t="inlineStr">
        <is>
          <t>01a152b9-7550-77d4-b539-d00450f08141</t>
        </is>
      </c>
      <c r="C270" s="5" t="inlineStr">
        <is>
          <t>01a152b9-6e67-75da-8adb-b03e5d07fd21</t>
        </is>
      </c>
      <c r="D270" s="4" t="n">
        <v>46314.24592982213</v>
      </c>
      <c r="E270" s="4" t="n">
        <v>46314.24592982222</v>
      </c>
      <c r="F270" t="b">
        <v>1</v>
      </c>
      <c r="G270" t="n">
        <v/>
      </c>
      <c r="H270" t="inlineStr">
        <is>
          <t>OBM</t>
        </is>
      </c>
      <c r="I270" t="inlineStr">
        <is>
          <t>Ora Banda Mining Ltd</t>
        </is>
      </c>
      <c r="J270" t="inlineStr">
        <is>
          <t>AUD</t>
        </is>
      </c>
      <c r="K270" s="5" t="inlineStr">
        <is>
          <t>01a152b9-6ee2-7577-bddd-382bc3853fde</t>
        </is>
      </c>
      <c r="M270" t="inlineStr">
        <is>
          <t>UNKNOWN</t>
        </is>
      </c>
      <c r="N270" t="inlineStr">
        <is>
          <t>DEFAULT</t>
        </is>
      </c>
      <c r="Q270" t="n">
        <v>0</v>
      </c>
      <c r="R270" t="inlineStr">
        <is>
          <t>AUD</t>
        </is>
      </c>
      <c r="S270" t="n">
        <v>0</v>
      </c>
      <c r="T270" t="inlineStr">
        <is>
          <t>AUD</t>
        </is>
      </c>
      <c r="U270" t="n">
        <v>0</v>
      </c>
    </row>
    <row r="271">
      <c r="A271" s="5" t="inlineStr">
        <is>
          <t>01a152b9-7553-7328-a335-086cc465de1d</t>
        </is>
      </c>
      <c r="C271" s="5" t="inlineStr">
        <is>
          <t>01a152b9-6e67-75da-8adb-b03e5d07fd21</t>
        </is>
      </c>
      <c r="D271" s="4" t="n">
        <v>46314.24592986242</v>
      </c>
      <c r="E271" s="4" t="n">
        <v>46314.24592986253</v>
      </c>
      <c r="F271" t="b">
        <v>1</v>
      </c>
      <c r="G271" t="n">
        <v/>
      </c>
      <c r="H271" t="inlineStr">
        <is>
          <t>IXJ</t>
        </is>
      </c>
      <c r="I271" t="inlineStr">
        <is>
          <t>Ishares Global Healthcare ETF</t>
        </is>
      </c>
      <c r="J271" t="inlineStr">
        <is>
          <t>AUD</t>
        </is>
      </c>
      <c r="K271" s="5" t="inlineStr">
        <is>
          <t>01a152b9-6ee2-7577-bddd-382bc3853fde</t>
        </is>
      </c>
      <c r="M271" t="inlineStr">
        <is>
          <t>UNKNOWN</t>
        </is>
      </c>
      <c r="N271" t="inlineStr">
        <is>
          <t>DEFAULT</t>
        </is>
      </c>
      <c r="Q271" t="n">
        <v>0</v>
      </c>
      <c r="R271" t="inlineStr">
        <is>
          <t>AUD</t>
        </is>
      </c>
      <c r="S271" t="n">
        <v>0</v>
      </c>
      <c r="T271" t="inlineStr">
        <is>
          <t>AUD</t>
        </is>
      </c>
      <c r="U271" t="n">
        <v>0</v>
      </c>
    </row>
    <row r="272">
      <c r="A272" s="5" t="inlineStr">
        <is>
          <t>01a152b9-7557-706a-9822-a3d017e8c5b0</t>
        </is>
      </c>
      <c r="C272" s="5" t="inlineStr">
        <is>
          <t>01a152b9-6e67-75da-8adb-b03e5d07fd21</t>
        </is>
      </c>
      <c r="D272" s="4" t="n">
        <v>46314.24592990175</v>
      </c>
      <c r="E272" s="4" t="n">
        <v>46314.24592990187</v>
      </c>
      <c r="F272" t="b">
        <v>1</v>
      </c>
      <c r="G272" t="n">
        <v/>
      </c>
      <c r="H272" t="inlineStr">
        <is>
          <t>DYL</t>
        </is>
      </c>
      <c r="I272" t="inlineStr">
        <is>
          <t>Deep Yellow Ltd</t>
        </is>
      </c>
      <c r="J272" t="inlineStr">
        <is>
          <t>AUD</t>
        </is>
      </c>
      <c r="K272" s="5" t="inlineStr">
        <is>
          <t>01a152b9-6ee2-7577-bddd-382bc3853fde</t>
        </is>
      </c>
      <c r="M272" t="inlineStr">
        <is>
          <t>UNKNOWN</t>
        </is>
      </c>
      <c r="N272" t="inlineStr">
        <is>
          <t>DEFAULT</t>
        </is>
      </c>
      <c r="Q272" t="n">
        <v>0</v>
      </c>
      <c r="R272" t="inlineStr">
        <is>
          <t>AUD</t>
        </is>
      </c>
      <c r="S272" t="n">
        <v>0</v>
      </c>
      <c r="T272" t="inlineStr">
        <is>
          <t>AUD</t>
        </is>
      </c>
      <c r="U272" t="n">
        <v>0</v>
      </c>
    </row>
    <row r="273">
      <c r="A273" s="5" t="inlineStr">
        <is>
          <t>01a152b9-755a-7437-be36-bdba93fef32f</t>
        </is>
      </c>
      <c r="C273" s="5" t="inlineStr">
        <is>
          <t>01a152b9-6e67-75da-8adb-b03e5d07fd21</t>
        </is>
      </c>
      <c r="D273" s="4" t="n">
        <v>46314.24592994279</v>
      </c>
      <c r="E273" s="4" t="n">
        <v>46314.24592994292</v>
      </c>
      <c r="F273" t="b">
        <v>1</v>
      </c>
      <c r="G273" t="n">
        <v/>
      </c>
      <c r="H273" t="inlineStr">
        <is>
          <t>BKI</t>
        </is>
      </c>
      <c r="I273" t="inlineStr">
        <is>
          <t>BKI Investment Company Ltd</t>
        </is>
      </c>
      <c r="J273" t="inlineStr">
        <is>
          <t>AUD</t>
        </is>
      </c>
      <c r="K273" s="5" t="inlineStr">
        <is>
          <t>01a152b9-6ee2-7577-bddd-382bc3853fde</t>
        </is>
      </c>
      <c r="M273" t="inlineStr">
        <is>
          <t>COMPANY</t>
        </is>
      </c>
      <c r="N273" t="inlineStr">
        <is>
          <t>SUGGESTED</t>
        </is>
      </c>
      <c r="Q273" t="n">
        <v>0</v>
      </c>
      <c r="R273" t="inlineStr">
        <is>
          <t>AUD</t>
        </is>
      </c>
      <c r="S273" t="n">
        <v>0</v>
      </c>
      <c r="T273" t="inlineStr">
        <is>
          <t>AUD</t>
        </is>
      </c>
      <c r="U273" t="n">
        <v>0</v>
      </c>
    </row>
    <row r="274">
      <c r="A274" s="5" t="inlineStr">
        <is>
          <t>01a152b9-7560-7107-a40d-4592d3fa8495</t>
        </is>
      </c>
      <c r="C274" s="5" t="inlineStr">
        <is>
          <t>01a152b9-6e67-75da-8adb-b03e5d07fd21</t>
        </is>
      </c>
      <c r="D274" s="4" t="n">
        <v>46314.2459300045</v>
      </c>
      <c r="E274" s="4" t="n">
        <v>46314.24593000464</v>
      </c>
      <c r="F274" t="b">
        <v>1</v>
      </c>
      <c r="G274" t="n">
        <v/>
      </c>
      <c r="H274" t="inlineStr">
        <is>
          <t>NUF</t>
        </is>
      </c>
      <c r="I274" t="inlineStr">
        <is>
          <t>Nufarm Ltd</t>
        </is>
      </c>
      <c r="J274" t="inlineStr">
        <is>
          <t>AUD</t>
        </is>
      </c>
      <c r="K274" s="5" t="inlineStr">
        <is>
          <t>01a152b9-6ee2-7577-bddd-382bc3853fde</t>
        </is>
      </c>
      <c r="M274" t="inlineStr">
        <is>
          <t>UNKNOWN</t>
        </is>
      </c>
      <c r="N274" t="inlineStr">
        <is>
          <t>DEFAULT</t>
        </is>
      </c>
      <c r="Q274" t="n">
        <v>0</v>
      </c>
      <c r="R274" t="inlineStr">
        <is>
          <t>AUD</t>
        </is>
      </c>
      <c r="S274" t="n">
        <v>0</v>
      </c>
      <c r="T274" t="inlineStr">
        <is>
          <t>AUD</t>
        </is>
      </c>
      <c r="U274" t="n">
        <v>0</v>
      </c>
    </row>
    <row r="275">
      <c r="A275" s="5" t="inlineStr">
        <is>
          <t>01a152b9-7564-76a7-9208-bc2ffbc27319</t>
        </is>
      </c>
      <c r="C275" s="5" t="inlineStr">
        <is>
          <t>01a152b9-6e67-75da-8adb-b03e5d07fd21</t>
        </is>
      </c>
      <c r="D275" s="4" t="n">
        <v>46314.2459300496</v>
      </c>
      <c r="E275" s="4" t="n">
        <v>46314.24593004982</v>
      </c>
      <c r="F275" t="b">
        <v>1</v>
      </c>
      <c r="G275" t="n">
        <v/>
      </c>
      <c r="H275" t="inlineStr">
        <is>
          <t>CBAPG</t>
        </is>
      </c>
      <c r="I275" t="inlineStr">
        <is>
          <t>Commonwealth Bank of Australia</t>
        </is>
      </c>
      <c r="J275" t="inlineStr">
        <is>
          <t>AUD</t>
        </is>
      </c>
      <c r="K275" s="5" t="inlineStr">
        <is>
          <t>01a152b9-6ee2-7577-bddd-382bc3853fde</t>
        </is>
      </c>
      <c r="M275" t="inlineStr">
        <is>
          <t>UNKNOWN</t>
        </is>
      </c>
      <c r="N275" t="inlineStr">
        <is>
          <t>DEFAULT</t>
        </is>
      </c>
      <c r="Q275" t="n">
        <v>0</v>
      </c>
      <c r="R275" t="inlineStr">
        <is>
          <t>AUD</t>
        </is>
      </c>
      <c r="S275" t="n">
        <v>0</v>
      </c>
      <c r="T275" t="inlineStr">
        <is>
          <t>AUD</t>
        </is>
      </c>
      <c r="U275" t="n">
        <v>0</v>
      </c>
    </row>
    <row r="276">
      <c r="A276" s="5" t="inlineStr">
        <is>
          <t>01a152b9-7568-72b0-baf9-22371ec15b73</t>
        </is>
      </c>
      <c r="C276" s="5" t="inlineStr">
        <is>
          <t>01a152b9-6e67-75da-8adb-b03e5d07fd21</t>
        </is>
      </c>
      <c r="D276" s="4" t="n">
        <v>46314.24593009699</v>
      </c>
      <c r="E276" s="4" t="n">
        <v>46314.24593009713</v>
      </c>
      <c r="F276" t="b">
        <v>1</v>
      </c>
      <c r="G276" t="n">
        <v/>
      </c>
      <c r="H276" t="inlineStr">
        <is>
          <t>MP1</t>
        </is>
      </c>
      <c r="I276" t="inlineStr">
        <is>
          <t>Megaport Ltd</t>
        </is>
      </c>
      <c r="J276" t="inlineStr">
        <is>
          <t>AUD</t>
        </is>
      </c>
      <c r="K276" s="5" t="inlineStr">
        <is>
          <t>01a152b9-6ee2-7577-bddd-382bc3853fde</t>
        </is>
      </c>
      <c r="M276" t="inlineStr">
        <is>
          <t>UNKNOWN</t>
        </is>
      </c>
      <c r="N276" t="inlineStr">
        <is>
          <t>DEFAULT</t>
        </is>
      </c>
      <c r="Q276" t="n">
        <v>0</v>
      </c>
      <c r="R276" t="inlineStr">
        <is>
          <t>AUD</t>
        </is>
      </c>
      <c r="S276" t="n">
        <v>0</v>
      </c>
      <c r="T276" t="inlineStr">
        <is>
          <t>AUD</t>
        </is>
      </c>
      <c r="U276" t="n">
        <v>0</v>
      </c>
    </row>
    <row r="277">
      <c r="A277" s="5" t="inlineStr">
        <is>
          <t>01a152b9-756b-76ed-8afc-5f0bfe63a246</t>
        </is>
      </c>
      <c r="C277" s="5" t="inlineStr">
        <is>
          <t>01a152b9-6e67-75da-8adb-b03e5d07fd21</t>
        </is>
      </c>
      <c r="D277" s="4" t="n">
        <v>46314.24593014006</v>
      </c>
      <c r="E277" s="4" t="n">
        <v>46314.24593014022</v>
      </c>
      <c r="F277" t="b">
        <v>1</v>
      </c>
      <c r="G277" t="n">
        <v/>
      </c>
      <c r="H277" t="inlineStr">
        <is>
          <t>IPH</t>
        </is>
      </c>
      <c r="I277" t="inlineStr">
        <is>
          <t>IPH Ltd</t>
        </is>
      </c>
      <c r="J277" t="inlineStr">
        <is>
          <t>AUD</t>
        </is>
      </c>
      <c r="K277" s="5" t="inlineStr">
        <is>
          <t>01a152b9-6ee2-7577-bddd-382bc3853fde</t>
        </is>
      </c>
      <c r="M277" t="inlineStr">
        <is>
          <t>UNKNOWN</t>
        </is>
      </c>
      <c r="N277" t="inlineStr">
        <is>
          <t>DEFAULT</t>
        </is>
      </c>
      <c r="Q277" t="n">
        <v>0</v>
      </c>
      <c r="R277" t="inlineStr">
        <is>
          <t>AUD</t>
        </is>
      </c>
      <c r="S277" t="n">
        <v>0</v>
      </c>
      <c r="T277" t="inlineStr">
        <is>
          <t>AUD</t>
        </is>
      </c>
      <c r="U277" t="n">
        <v>0</v>
      </c>
    </row>
    <row r="278">
      <c r="A278" s="5" t="inlineStr">
        <is>
          <t>01a152b9-7570-7561-afdc-e27d5ccda322</t>
        </is>
      </c>
      <c r="C278" s="5" t="inlineStr">
        <is>
          <t>01a152b9-6e67-75da-8adb-b03e5d07fd21</t>
        </is>
      </c>
      <c r="D278" s="4" t="n">
        <v>46314.24593018949</v>
      </c>
      <c r="E278" s="4" t="n">
        <v>46314.24593018965</v>
      </c>
      <c r="F278" t="b">
        <v>1</v>
      </c>
      <c r="G278" t="n">
        <v/>
      </c>
      <c r="H278" t="inlineStr">
        <is>
          <t>AN3PJ</t>
        </is>
      </c>
      <c r="I278" t="inlineStr">
        <is>
          <t>Australia and New Zealand Banking Group Ltd</t>
        </is>
      </c>
      <c r="J278" t="inlineStr">
        <is>
          <t>AUD</t>
        </is>
      </c>
      <c r="K278" s="5" t="inlineStr">
        <is>
          <t>01a152b9-6ee2-7577-bddd-382bc3853fde</t>
        </is>
      </c>
      <c r="M278" t="inlineStr">
        <is>
          <t>UNKNOWN</t>
        </is>
      </c>
      <c r="N278" t="inlineStr">
        <is>
          <t>DEFAULT</t>
        </is>
      </c>
      <c r="Q278" t="n">
        <v>0</v>
      </c>
      <c r="R278" t="inlineStr">
        <is>
          <t>AUD</t>
        </is>
      </c>
      <c r="S278" t="n">
        <v>0</v>
      </c>
      <c r="T278" t="inlineStr">
        <is>
          <t>AUD</t>
        </is>
      </c>
      <c r="U278" t="n">
        <v>0</v>
      </c>
    </row>
    <row r="279">
      <c r="A279" s="5" t="inlineStr">
        <is>
          <t>01a152b9-7574-775f-b531-4ff4303d2a73</t>
        </is>
      </c>
      <c r="C279" s="5" t="inlineStr">
        <is>
          <t>01a152b9-6e67-75da-8adb-b03e5d07fd21</t>
        </is>
      </c>
      <c r="D279" s="4" t="n">
        <v>46314.24593023903</v>
      </c>
      <c r="E279" s="4" t="n">
        <v>46314.24593023919</v>
      </c>
      <c r="F279" t="b">
        <v>1</v>
      </c>
      <c r="G279" t="n">
        <v/>
      </c>
      <c r="H279" t="inlineStr">
        <is>
          <t>NCK</t>
        </is>
      </c>
      <c r="I279" t="inlineStr">
        <is>
          <t>Nick Scali Ltd</t>
        </is>
      </c>
      <c r="J279" t="inlineStr">
        <is>
          <t>AUD</t>
        </is>
      </c>
      <c r="K279" s="5" t="inlineStr">
        <is>
          <t>01a152b9-6ee2-7577-bddd-382bc3853fde</t>
        </is>
      </c>
      <c r="M279" t="inlineStr">
        <is>
          <t>UNKNOWN</t>
        </is>
      </c>
      <c r="N279" t="inlineStr">
        <is>
          <t>DEFAULT</t>
        </is>
      </c>
      <c r="Q279" t="n">
        <v>0</v>
      </c>
      <c r="R279" t="inlineStr">
        <is>
          <t>AUD</t>
        </is>
      </c>
      <c r="S279" t="n">
        <v>0</v>
      </c>
      <c r="T279" t="inlineStr">
        <is>
          <t>AUD</t>
        </is>
      </c>
      <c r="U279" t="n">
        <v>0</v>
      </c>
    </row>
    <row r="280">
      <c r="A280" s="5" t="inlineStr">
        <is>
          <t>01a152b9-7578-74b7-b0ee-943762419d71</t>
        </is>
      </c>
      <c r="C280" s="5" t="inlineStr">
        <is>
          <t>01a152b9-6e67-75da-8adb-b03e5d07fd21</t>
        </is>
      </c>
      <c r="D280" s="4" t="n">
        <v>46314.24593028251</v>
      </c>
      <c r="E280" s="4" t="n">
        <v>46314.24593028266</v>
      </c>
      <c r="F280" t="b">
        <v>1</v>
      </c>
      <c r="G280" t="n">
        <v/>
      </c>
      <c r="H280" t="inlineStr">
        <is>
          <t>ELD</t>
        </is>
      </c>
      <c r="I280" t="inlineStr">
        <is>
          <t>Elders Ltd</t>
        </is>
      </c>
      <c r="J280" t="inlineStr">
        <is>
          <t>AUD</t>
        </is>
      </c>
      <c r="K280" s="5" t="inlineStr">
        <is>
          <t>01a152b9-6ee2-7577-bddd-382bc3853fde</t>
        </is>
      </c>
      <c r="M280" t="inlineStr">
        <is>
          <t>UNKNOWN</t>
        </is>
      </c>
      <c r="N280" t="inlineStr">
        <is>
          <t>DEFAULT</t>
        </is>
      </c>
      <c r="Q280" t="n">
        <v>0</v>
      </c>
      <c r="R280" t="inlineStr">
        <is>
          <t>AUD</t>
        </is>
      </c>
      <c r="S280" t="n">
        <v>0</v>
      </c>
      <c r="T280" t="inlineStr">
        <is>
          <t>AUD</t>
        </is>
      </c>
      <c r="U280" t="n">
        <v>0</v>
      </c>
    </row>
    <row r="281">
      <c r="A281" s="5" t="inlineStr">
        <is>
          <t>01a152b9-757b-7597-bbeb-2654c45782ae</t>
        </is>
      </c>
      <c r="C281" s="5" t="inlineStr">
        <is>
          <t>01a152b9-6e67-75da-8adb-b03e5d07fd21</t>
        </is>
      </c>
      <c r="D281" s="4" t="n">
        <v>46314.24593032539</v>
      </c>
      <c r="E281" s="4" t="n">
        <v>46314.24593032555</v>
      </c>
      <c r="F281" t="b">
        <v>1</v>
      </c>
      <c r="G281" t="n">
        <v/>
      </c>
      <c r="H281" t="inlineStr">
        <is>
          <t>AX1</t>
        </is>
      </c>
      <c r="I281" t="inlineStr">
        <is>
          <t>Accent Group Ltd</t>
        </is>
      </c>
      <c r="J281" t="inlineStr">
        <is>
          <t>AUD</t>
        </is>
      </c>
      <c r="K281" s="5" t="inlineStr">
        <is>
          <t>01a152b9-6ee2-7577-bddd-382bc3853fde</t>
        </is>
      </c>
      <c r="M281" t="inlineStr">
        <is>
          <t>UNKNOWN</t>
        </is>
      </c>
      <c r="N281" t="inlineStr">
        <is>
          <t>DEFAULT</t>
        </is>
      </c>
      <c r="Q281" t="n">
        <v>0</v>
      </c>
      <c r="R281" t="inlineStr">
        <is>
          <t>AUD</t>
        </is>
      </c>
      <c r="S281" t="n">
        <v>0</v>
      </c>
      <c r="T281" t="inlineStr">
        <is>
          <t>AUD</t>
        </is>
      </c>
      <c r="U281" t="n">
        <v>0</v>
      </c>
    </row>
    <row r="282">
      <c r="A282" s="5" t="inlineStr">
        <is>
          <t>01a152b9-757f-7177-acde-025822e14de4</t>
        </is>
      </c>
      <c r="C282" s="5" t="inlineStr">
        <is>
          <t>01a152b9-6e67-75da-8adb-b03e5d07fd21</t>
        </is>
      </c>
      <c r="D282" s="4" t="n">
        <v>46314.24593037051</v>
      </c>
      <c r="E282" s="4" t="n">
        <v>46314.24593037063</v>
      </c>
      <c r="F282" t="b">
        <v>1</v>
      </c>
      <c r="G282" t="n">
        <v/>
      </c>
      <c r="H282" t="inlineStr">
        <is>
          <t>CU6</t>
        </is>
      </c>
      <c r="I282" t="inlineStr">
        <is>
          <t>Clarity Pharmaceuticals Ltd</t>
        </is>
      </c>
      <c r="J282" t="inlineStr">
        <is>
          <t>AUD</t>
        </is>
      </c>
      <c r="K282" s="5" t="inlineStr">
        <is>
          <t>01a152b9-6ee2-7577-bddd-382bc3853fde</t>
        </is>
      </c>
      <c r="M282" t="inlineStr">
        <is>
          <t>UNKNOWN</t>
        </is>
      </c>
      <c r="N282" t="inlineStr">
        <is>
          <t>DEFAULT</t>
        </is>
      </c>
      <c r="Q282" t="n">
        <v>0</v>
      </c>
      <c r="R282" t="inlineStr">
        <is>
          <t>AUD</t>
        </is>
      </c>
      <c r="S282" t="n">
        <v>0</v>
      </c>
      <c r="T282" t="inlineStr">
        <is>
          <t>AUD</t>
        </is>
      </c>
      <c r="U282" t="n">
        <v>0</v>
      </c>
    </row>
    <row r="283">
      <c r="A283" s="5" t="inlineStr">
        <is>
          <t>01a152b9-7583-7256-8bee-1a832833e498</t>
        </is>
      </c>
      <c r="C283" s="5" t="inlineStr">
        <is>
          <t>01a152b9-6e67-75da-8adb-b03e5d07fd21</t>
        </is>
      </c>
      <c r="D283" s="4" t="n">
        <v>46314.24593041166</v>
      </c>
      <c r="E283" s="4" t="n">
        <v>46314.24593041178</v>
      </c>
      <c r="F283" t="b">
        <v>1</v>
      </c>
      <c r="G283" t="n">
        <v/>
      </c>
      <c r="H283" t="inlineStr">
        <is>
          <t>AUI</t>
        </is>
      </c>
      <c r="I283" t="inlineStr">
        <is>
          <t>Australian United Investment Company Ltd</t>
        </is>
      </c>
      <c r="J283" t="inlineStr">
        <is>
          <t>AUD</t>
        </is>
      </c>
      <c r="K283" s="5" t="inlineStr">
        <is>
          <t>01a152b9-6ee2-7577-bddd-382bc3853fde</t>
        </is>
      </c>
      <c r="M283" t="inlineStr">
        <is>
          <t>COMPANY</t>
        </is>
      </c>
      <c r="N283" t="inlineStr">
        <is>
          <t>SUGGESTED</t>
        </is>
      </c>
      <c r="Q283" t="n">
        <v>0</v>
      </c>
      <c r="R283" t="inlineStr">
        <is>
          <t>AUD</t>
        </is>
      </c>
      <c r="S283" t="n">
        <v>0</v>
      </c>
      <c r="T283" t="inlineStr">
        <is>
          <t>AUD</t>
        </is>
      </c>
      <c r="U283" t="n">
        <v>0</v>
      </c>
    </row>
    <row r="284">
      <c r="A284" s="5" t="inlineStr">
        <is>
          <t>01a152b9-7587-7753-aed9-4a3631fafbcc</t>
        </is>
      </c>
      <c r="C284" s="5" t="inlineStr">
        <is>
          <t>01a152b9-6e67-75da-8adb-b03e5d07fd21</t>
        </is>
      </c>
      <c r="D284" s="4" t="n">
        <v>46314.24593045366</v>
      </c>
      <c r="E284" s="4" t="n">
        <v>46314.2459304538</v>
      </c>
      <c r="F284" t="b">
        <v>1</v>
      </c>
      <c r="G284" t="n">
        <v/>
      </c>
      <c r="H284" t="inlineStr">
        <is>
          <t>NABPJ</t>
        </is>
      </c>
      <c r="I284" t="inlineStr">
        <is>
          <t>National Australia Bank Ltd</t>
        </is>
      </c>
      <c r="J284" t="inlineStr">
        <is>
          <t>AUD</t>
        </is>
      </c>
      <c r="K284" s="5" t="inlineStr">
        <is>
          <t>01a152b9-6ee2-7577-bddd-382bc3853fde</t>
        </is>
      </c>
      <c r="M284" t="inlineStr">
        <is>
          <t>UNKNOWN</t>
        </is>
      </c>
      <c r="N284" t="inlineStr">
        <is>
          <t>DEFAULT</t>
        </is>
      </c>
      <c r="Q284" t="n">
        <v>0</v>
      </c>
      <c r="R284" t="inlineStr">
        <is>
          <t>AUD</t>
        </is>
      </c>
      <c r="S284" t="n">
        <v>0</v>
      </c>
      <c r="T284" t="inlineStr">
        <is>
          <t>AUD</t>
        </is>
      </c>
      <c r="U284" t="n">
        <v>0</v>
      </c>
    </row>
    <row r="285">
      <c r="A285" s="5" t="inlineStr">
        <is>
          <t>01a152b9-758a-72f8-8a4a-9fb9c2dba3d5</t>
        </is>
      </c>
      <c r="C285" s="5" t="inlineStr">
        <is>
          <t>01a152b9-6e67-75da-8adb-b03e5d07fd21</t>
        </is>
      </c>
      <c r="D285" s="4" t="n">
        <v>46314.24593049593</v>
      </c>
      <c r="E285" s="4" t="n">
        <v>46314.24593049605</v>
      </c>
      <c r="F285" t="b">
        <v>1</v>
      </c>
      <c r="G285" t="n">
        <v/>
      </c>
      <c r="H285" t="inlineStr">
        <is>
          <t>BOE</t>
        </is>
      </c>
      <c r="I285" t="inlineStr">
        <is>
          <t>Boss Energy Ltd</t>
        </is>
      </c>
      <c r="J285" t="inlineStr">
        <is>
          <t>AUD</t>
        </is>
      </c>
      <c r="K285" s="5" t="inlineStr">
        <is>
          <t>01a152b9-6ee2-7577-bddd-382bc3853fde</t>
        </is>
      </c>
      <c r="M285" t="inlineStr">
        <is>
          <t>UNKNOWN</t>
        </is>
      </c>
      <c r="N285" t="inlineStr">
        <is>
          <t>DEFAULT</t>
        </is>
      </c>
      <c r="Q285" t="n">
        <v>0</v>
      </c>
      <c r="R285" t="inlineStr">
        <is>
          <t>AUD</t>
        </is>
      </c>
      <c r="S285" t="n">
        <v>0</v>
      </c>
      <c r="T285" t="inlineStr">
        <is>
          <t>AUD</t>
        </is>
      </c>
      <c r="U285" t="n">
        <v>0</v>
      </c>
    </row>
    <row r="286">
      <c r="A286" s="5" t="inlineStr">
        <is>
          <t>01a152b9-758e-755f-8984-45ea052d4d15</t>
        </is>
      </c>
      <c r="C286" s="5" t="inlineStr">
        <is>
          <t>01a152b9-6e67-75da-8adb-b03e5d07fd21</t>
        </is>
      </c>
      <c r="D286" s="4" t="n">
        <v>46314.24593053632</v>
      </c>
      <c r="E286" s="4" t="n">
        <v>46314.24593053646</v>
      </c>
      <c r="F286" t="b">
        <v>1</v>
      </c>
      <c r="G286" t="n">
        <v/>
      </c>
      <c r="H286" t="inlineStr">
        <is>
          <t>RPL</t>
        </is>
      </c>
      <c r="I286" t="inlineStr">
        <is>
          <t>Regal Partners Ltd</t>
        </is>
      </c>
      <c r="J286" t="inlineStr">
        <is>
          <t>AUD</t>
        </is>
      </c>
      <c r="K286" s="5" t="inlineStr">
        <is>
          <t>01a152b9-6ee2-7577-bddd-382bc3853fde</t>
        </is>
      </c>
      <c r="M286" t="inlineStr">
        <is>
          <t>UNKNOWN</t>
        </is>
      </c>
      <c r="N286" t="inlineStr">
        <is>
          <t>DEFAULT</t>
        </is>
      </c>
      <c r="Q286" t="n">
        <v>0</v>
      </c>
      <c r="R286" t="inlineStr">
        <is>
          <t>AUD</t>
        </is>
      </c>
      <c r="S286" t="n">
        <v>0</v>
      </c>
      <c r="T286" t="inlineStr">
        <is>
          <t>AUD</t>
        </is>
      </c>
      <c r="U286" t="n">
        <v>0</v>
      </c>
    </row>
    <row r="287">
      <c r="A287" s="5" t="inlineStr">
        <is>
          <t>01a152b9-7592-76c3-9c1c-fe86af006cce</t>
        </is>
      </c>
      <c r="C287" s="5" t="inlineStr">
        <is>
          <t>01a152b9-6e67-75da-8adb-b03e5d07fd21</t>
        </is>
      </c>
      <c r="D287" s="4" t="n">
        <v>46314.24593058111</v>
      </c>
      <c r="E287" s="4" t="n">
        <v>46314.24593058122</v>
      </c>
      <c r="F287" t="b">
        <v>1</v>
      </c>
      <c r="G287" t="n">
        <v/>
      </c>
      <c r="H287" t="inlineStr">
        <is>
          <t>HLI</t>
        </is>
      </c>
      <c r="I287" t="inlineStr">
        <is>
          <t>Helia Group Ltd</t>
        </is>
      </c>
      <c r="J287" t="inlineStr">
        <is>
          <t>AUD</t>
        </is>
      </c>
      <c r="K287" s="5" t="inlineStr">
        <is>
          <t>01a152b9-6ee2-7577-bddd-382bc3853fde</t>
        </is>
      </c>
      <c r="M287" t="inlineStr">
        <is>
          <t>UNKNOWN</t>
        </is>
      </c>
      <c r="N287" t="inlineStr">
        <is>
          <t>DEFAULT</t>
        </is>
      </c>
      <c r="Q287" t="n">
        <v>0</v>
      </c>
      <c r="R287" t="inlineStr">
        <is>
          <t>AUD</t>
        </is>
      </c>
      <c r="S287" t="n">
        <v>0</v>
      </c>
      <c r="T287" t="inlineStr">
        <is>
          <t>AUD</t>
        </is>
      </c>
      <c r="U287" t="n">
        <v>0</v>
      </c>
    </row>
    <row r="288">
      <c r="A288" s="5" t="inlineStr">
        <is>
          <t>01a152b9-7595-7798-a584-593249ee0e20</t>
        </is>
      </c>
      <c r="C288" s="5" t="inlineStr">
        <is>
          <t>01a152b9-6e67-75da-8adb-b03e5d07fd21</t>
        </is>
      </c>
      <c r="D288" s="4" t="n">
        <v>46314.24593062339</v>
      </c>
      <c r="E288" s="4" t="n">
        <v>46314.24593062352</v>
      </c>
      <c r="F288" t="b">
        <v>1</v>
      </c>
      <c r="G288" t="n">
        <v/>
      </c>
      <c r="H288" t="inlineStr">
        <is>
          <t>GDG</t>
        </is>
      </c>
      <c r="I288" t="inlineStr">
        <is>
          <t>Generation Development Group Ltd</t>
        </is>
      </c>
      <c r="J288" t="inlineStr">
        <is>
          <t>AUD</t>
        </is>
      </c>
      <c r="K288" s="5" t="inlineStr">
        <is>
          <t>01a152b9-6ee2-7577-bddd-382bc3853fde</t>
        </is>
      </c>
      <c r="M288" t="inlineStr">
        <is>
          <t>UNKNOWN</t>
        </is>
      </c>
      <c r="N288" t="inlineStr">
        <is>
          <t>DEFAULT</t>
        </is>
      </c>
      <c r="Q288" t="n">
        <v>0</v>
      </c>
      <c r="R288" t="inlineStr">
        <is>
          <t>AUD</t>
        </is>
      </c>
      <c r="S288" t="n">
        <v>0</v>
      </c>
      <c r="T288" t="inlineStr">
        <is>
          <t>AUD</t>
        </is>
      </c>
      <c r="U288" t="n">
        <v>0</v>
      </c>
    </row>
    <row r="289">
      <c r="A289" s="5" t="inlineStr">
        <is>
          <t>01a152b9-7599-7595-94aa-2be3a7f6a2d2</t>
        </is>
      </c>
      <c r="C289" s="5" t="inlineStr">
        <is>
          <t>01a152b9-6e67-75da-8adb-b03e5d07fd21</t>
        </is>
      </c>
      <c r="D289" s="4" t="n">
        <v>46314.24593066944</v>
      </c>
      <c r="E289" s="4" t="n">
        <v>46314.24593066954</v>
      </c>
      <c r="F289" t="b">
        <v>1</v>
      </c>
      <c r="G289" t="n">
        <v/>
      </c>
      <c r="H289" t="inlineStr">
        <is>
          <t>ZIM</t>
        </is>
      </c>
      <c r="I289" t="inlineStr">
        <is>
          <t>Zimplats Holdings Ltd</t>
        </is>
      </c>
      <c r="J289" t="inlineStr">
        <is>
          <t>AUD</t>
        </is>
      </c>
      <c r="K289" s="5" t="inlineStr">
        <is>
          <t>01a152b9-6ee2-7577-bddd-382bc3853fde</t>
        </is>
      </c>
      <c r="M289" t="inlineStr">
        <is>
          <t>UNKNOWN</t>
        </is>
      </c>
      <c r="N289" t="inlineStr">
        <is>
          <t>DEFAULT</t>
        </is>
      </c>
      <c r="Q289" t="n">
        <v>0</v>
      </c>
      <c r="R289" t="inlineStr">
        <is>
          <t>AUD</t>
        </is>
      </c>
      <c r="S289" t="n">
        <v>0</v>
      </c>
      <c r="T289" t="inlineStr">
        <is>
          <t>AUD</t>
        </is>
      </c>
      <c r="U289" t="n">
        <v>0</v>
      </c>
    </row>
    <row r="290">
      <c r="A290" s="5" t="inlineStr">
        <is>
          <t>01a152b9-759d-73db-b8b3-1f247b5b81f8</t>
        </is>
      </c>
      <c r="C290" s="5" t="inlineStr">
        <is>
          <t>01a152b9-6e67-75da-8adb-b03e5d07fd21</t>
        </is>
      </c>
      <c r="D290" s="4" t="n">
        <v>46314.24593071868</v>
      </c>
      <c r="E290" s="4" t="n">
        <v>46314.2459307188</v>
      </c>
      <c r="F290" t="b">
        <v>1</v>
      </c>
      <c r="G290" t="n">
        <v/>
      </c>
      <c r="H290" t="inlineStr">
        <is>
          <t>IMD</t>
        </is>
      </c>
      <c r="I290" t="inlineStr">
        <is>
          <t>IMDEX Ltd</t>
        </is>
      </c>
      <c r="J290" t="inlineStr">
        <is>
          <t>AUD</t>
        </is>
      </c>
      <c r="K290" s="5" t="inlineStr">
        <is>
          <t>01a152b9-6ee2-7577-bddd-382bc3853fde</t>
        </is>
      </c>
      <c r="M290" t="inlineStr">
        <is>
          <t>UNKNOWN</t>
        </is>
      </c>
      <c r="N290" t="inlineStr">
        <is>
          <t>DEFAULT</t>
        </is>
      </c>
      <c r="Q290" t="n">
        <v>0</v>
      </c>
      <c r="R290" t="inlineStr">
        <is>
          <t>AUD</t>
        </is>
      </c>
      <c r="S290" t="n">
        <v>0</v>
      </c>
      <c r="T290" t="inlineStr">
        <is>
          <t>AUD</t>
        </is>
      </c>
      <c r="U290" t="n">
        <v>0</v>
      </c>
    </row>
    <row r="291">
      <c r="A291" s="5" t="inlineStr">
        <is>
          <t>01a152b9-75a2-722c-814f-56c2b9353af0</t>
        </is>
      </c>
      <c r="C291" s="5" t="inlineStr">
        <is>
          <t>01a152b9-6e67-75da-8adb-b03e5d07fd21</t>
        </is>
      </c>
      <c r="D291" s="4" t="n">
        <v>46314.24593076674</v>
      </c>
      <c r="E291" s="4" t="n">
        <v>46314.24593076688</v>
      </c>
      <c r="F291" t="b">
        <v>1</v>
      </c>
      <c r="G291" t="n">
        <v/>
      </c>
      <c r="H291" t="inlineStr">
        <is>
          <t>IEM</t>
        </is>
      </c>
      <c r="I291" t="inlineStr">
        <is>
          <t>Ishares MSCI Emerging Markets ETF</t>
        </is>
      </c>
      <c r="J291" t="inlineStr">
        <is>
          <t>AUD</t>
        </is>
      </c>
      <c r="K291" s="5" t="inlineStr">
        <is>
          <t>01a152b9-6ee2-7577-bddd-382bc3853fde</t>
        </is>
      </c>
      <c r="M291" t="inlineStr">
        <is>
          <t>UNIT_TRUST</t>
        </is>
      </c>
      <c r="N291" t="inlineStr">
        <is>
          <t>SUGGESTED</t>
        </is>
      </c>
      <c r="Q291" t="n">
        <v>0</v>
      </c>
      <c r="R291" t="inlineStr">
        <is>
          <t>AUD</t>
        </is>
      </c>
      <c r="S291" t="n">
        <v>0</v>
      </c>
      <c r="T291" t="inlineStr">
        <is>
          <t>AUD</t>
        </is>
      </c>
      <c r="U291" t="n">
        <v>0</v>
      </c>
    </row>
    <row r="292">
      <c r="A292" s="5" t="inlineStr">
        <is>
          <t>01a152b9-75a6-70d8-9b03-c96ee6488f0c</t>
        </is>
      </c>
      <c r="C292" s="5" t="inlineStr">
        <is>
          <t>01a152b9-6e67-75da-8adb-b03e5d07fd21</t>
        </is>
      </c>
      <c r="D292" s="4" t="n">
        <v>46314.24593081635</v>
      </c>
      <c r="E292" s="4" t="n">
        <v>46314.24593081647</v>
      </c>
      <c r="F292" t="b">
        <v>1</v>
      </c>
      <c r="G292" t="n">
        <v/>
      </c>
      <c r="H292" t="inlineStr">
        <is>
          <t>ASB</t>
        </is>
      </c>
      <c r="I292" t="inlineStr">
        <is>
          <t>Austal Ltd</t>
        </is>
      </c>
      <c r="J292" t="inlineStr">
        <is>
          <t>AUD</t>
        </is>
      </c>
      <c r="K292" s="5" t="inlineStr">
        <is>
          <t>01a152b9-6ee2-7577-bddd-382bc3853fde</t>
        </is>
      </c>
      <c r="M292" t="inlineStr">
        <is>
          <t>UNKNOWN</t>
        </is>
      </c>
      <c r="N292" t="inlineStr">
        <is>
          <t>DEFAULT</t>
        </is>
      </c>
      <c r="Q292" t="n">
        <v>0</v>
      </c>
      <c r="R292" t="inlineStr">
        <is>
          <t>AUD</t>
        </is>
      </c>
      <c r="S292" t="n">
        <v>0</v>
      </c>
      <c r="T292" t="inlineStr">
        <is>
          <t>AUD</t>
        </is>
      </c>
      <c r="U292" t="n">
        <v>0</v>
      </c>
    </row>
    <row r="293">
      <c r="A293" s="5" t="inlineStr">
        <is>
          <t>01a152b9-75aa-7325-a8c6-d8c6d1024eb0</t>
        </is>
      </c>
      <c r="C293" s="5" t="inlineStr">
        <is>
          <t>01a152b9-6e67-75da-8adb-b03e5d07fd21</t>
        </is>
      </c>
      <c r="D293" s="4" t="n">
        <v>46314.24593085955</v>
      </c>
      <c r="E293" s="4" t="n">
        <v>46314.24593085965</v>
      </c>
      <c r="F293" t="b">
        <v>1</v>
      </c>
      <c r="G293" t="n">
        <v/>
      </c>
      <c r="H293" t="inlineStr">
        <is>
          <t>PRN</t>
        </is>
      </c>
      <c r="I293" t="inlineStr">
        <is>
          <t>Perenti Ltd</t>
        </is>
      </c>
      <c r="J293" t="inlineStr">
        <is>
          <t>AUD</t>
        </is>
      </c>
      <c r="K293" s="5" t="inlineStr">
        <is>
          <t>01a152b9-6ee2-7577-bddd-382bc3853fde</t>
        </is>
      </c>
      <c r="M293" t="inlineStr">
        <is>
          <t>UNKNOWN</t>
        </is>
      </c>
      <c r="N293" t="inlineStr">
        <is>
          <t>DEFAULT</t>
        </is>
      </c>
      <c r="Q293" t="n">
        <v>0</v>
      </c>
      <c r="R293" t="inlineStr">
        <is>
          <t>AUD</t>
        </is>
      </c>
      <c r="S293" t="n">
        <v>0</v>
      </c>
      <c r="T293" t="inlineStr">
        <is>
          <t>AUD</t>
        </is>
      </c>
      <c r="U293" t="n">
        <v>0</v>
      </c>
    </row>
    <row r="294">
      <c r="A294" s="5" t="inlineStr">
        <is>
          <t>01a152b9-75ad-7732-aa31-b7aa756cd188</t>
        </is>
      </c>
      <c r="C294" s="5" t="inlineStr">
        <is>
          <t>01a152b9-6e67-75da-8adb-b03e5d07fd21</t>
        </is>
      </c>
      <c r="D294" s="4" t="n">
        <v>46314.24593089519</v>
      </c>
      <c r="E294" s="4" t="n">
        <v>46314.24593089529</v>
      </c>
      <c r="F294" t="b">
        <v>1</v>
      </c>
      <c r="G294" t="n">
        <v/>
      </c>
      <c r="H294" t="inlineStr">
        <is>
          <t>IPX</t>
        </is>
      </c>
      <c r="I294" t="inlineStr">
        <is>
          <t>Iperionx Ltd</t>
        </is>
      </c>
      <c r="J294" t="inlineStr">
        <is>
          <t>AUD</t>
        </is>
      </c>
      <c r="K294" s="5" t="inlineStr">
        <is>
          <t>01a152b9-6ee2-7577-bddd-382bc3853fde</t>
        </is>
      </c>
      <c r="M294" t="inlineStr">
        <is>
          <t>UNKNOWN</t>
        </is>
      </c>
      <c r="N294" t="inlineStr">
        <is>
          <t>DEFAULT</t>
        </is>
      </c>
      <c r="Q294" t="n">
        <v>0</v>
      </c>
      <c r="R294" t="inlineStr">
        <is>
          <t>AUD</t>
        </is>
      </c>
      <c r="S294" t="n">
        <v>0</v>
      </c>
      <c r="T294" t="inlineStr">
        <is>
          <t>AUD</t>
        </is>
      </c>
      <c r="U294" t="n">
        <v>0</v>
      </c>
    </row>
    <row r="295">
      <c r="A295" s="5" t="inlineStr">
        <is>
          <t>01a152b9-75b0-7101-9ff2-bf87f0630ecb</t>
        </is>
      </c>
      <c r="C295" s="5" t="inlineStr">
        <is>
          <t>01a152b9-6e67-75da-8adb-b03e5d07fd21</t>
        </is>
      </c>
      <c r="D295" s="4" t="n">
        <v>46314.24593092963</v>
      </c>
      <c r="E295" s="4" t="n">
        <v>46314.24593092972</v>
      </c>
      <c r="F295" t="b">
        <v>1</v>
      </c>
      <c r="G295" t="n">
        <v/>
      </c>
      <c r="H295" t="inlineStr">
        <is>
          <t>IFRA</t>
        </is>
      </c>
      <c r="I295" t="inlineStr">
        <is>
          <t>Vaneck Ftse Global Infrastructure (Aud Hedged) ETF</t>
        </is>
      </c>
      <c r="J295" t="inlineStr">
        <is>
          <t>AUD</t>
        </is>
      </c>
      <c r="K295" s="5" t="inlineStr">
        <is>
          <t>01a152b9-6ee2-7577-bddd-382bc3853fde</t>
        </is>
      </c>
      <c r="M295" t="inlineStr">
        <is>
          <t>UNKNOWN</t>
        </is>
      </c>
      <c r="N295" t="inlineStr">
        <is>
          <t>DEFAULT</t>
        </is>
      </c>
      <c r="Q295" t="n">
        <v>0</v>
      </c>
      <c r="R295" t="inlineStr">
        <is>
          <t>AUD</t>
        </is>
      </c>
      <c r="S295" t="n">
        <v>0</v>
      </c>
      <c r="T295" t="inlineStr">
        <is>
          <t>AUD</t>
        </is>
      </c>
      <c r="U295" t="n">
        <v>0</v>
      </c>
    </row>
    <row r="296">
      <c r="A296" s="5" t="inlineStr">
        <is>
          <t>01a152b9-75b3-7448-ac3b-dfea10cdb664</t>
        </is>
      </c>
      <c r="C296" s="5" t="inlineStr">
        <is>
          <t>01a152b9-6e67-75da-8adb-b03e5d07fd21</t>
        </is>
      </c>
      <c r="D296" s="4" t="n">
        <v>46314.24593097178</v>
      </c>
      <c r="E296" s="4" t="n">
        <v>46314.24593097188</v>
      </c>
      <c r="F296" t="b">
        <v>1</v>
      </c>
      <c r="G296" t="n">
        <v/>
      </c>
      <c r="H296" t="inlineStr">
        <is>
          <t>MAD</t>
        </is>
      </c>
      <c r="I296" t="inlineStr">
        <is>
          <t>Mader Group Ltd</t>
        </is>
      </c>
      <c r="J296" t="inlineStr">
        <is>
          <t>AUD</t>
        </is>
      </c>
      <c r="K296" s="5" t="inlineStr">
        <is>
          <t>01a152b9-6ee2-7577-bddd-382bc3853fde</t>
        </is>
      </c>
      <c r="M296" t="inlineStr">
        <is>
          <t>UNKNOWN</t>
        </is>
      </c>
      <c r="N296" t="inlineStr">
        <is>
          <t>DEFAULT</t>
        </is>
      </c>
      <c r="Q296" t="n">
        <v>0</v>
      </c>
      <c r="R296" t="inlineStr">
        <is>
          <t>AUD</t>
        </is>
      </c>
      <c r="S296" t="n">
        <v>0</v>
      </c>
      <c r="T296" t="inlineStr">
        <is>
          <t>AUD</t>
        </is>
      </c>
      <c r="U296" t="n">
        <v>0</v>
      </c>
    </row>
    <row r="297">
      <c r="A297" s="5" t="inlineStr">
        <is>
          <t>01a152b9-75b6-7654-9804-570a8f945d27</t>
        </is>
      </c>
      <c r="C297" s="5" t="inlineStr">
        <is>
          <t>01a152b9-6e67-75da-8adb-b03e5d07fd21</t>
        </is>
      </c>
      <c r="D297" s="4" t="n">
        <v>46314.24593100668</v>
      </c>
      <c r="E297" s="4" t="n">
        <v>46314.24593100677</v>
      </c>
      <c r="F297" t="b">
        <v>1</v>
      </c>
      <c r="G297" t="n">
        <v/>
      </c>
      <c r="H297" t="inlineStr">
        <is>
          <t>CBAPJ</t>
        </is>
      </c>
      <c r="I297" t="inlineStr">
        <is>
          <t>Commonwealth Bank of Australia</t>
        </is>
      </c>
      <c r="J297" t="inlineStr">
        <is>
          <t>AUD</t>
        </is>
      </c>
      <c r="K297" s="5" t="inlineStr">
        <is>
          <t>01a152b9-6ee2-7577-bddd-382bc3853fde</t>
        </is>
      </c>
      <c r="M297" t="inlineStr">
        <is>
          <t>UNKNOWN</t>
        </is>
      </c>
      <c r="N297" t="inlineStr">
        <is>
          <t>DEFAULT</t>
        </is>
      </c>
      <c r="Q297" t="n">
        <v>0</v>
      </c>
      <c r="R297" t="inlineStr">
        <is>
          <t>AUD</t>
        </is>
      </c>
      <c r="S297" t="n">
        <v>0</v>
      </c>
      <c r="T297" t="inlineStr">
        <is>
          <t>AUD</t>
        </is>
      </c>
      <c r="U297" t="n">
        <v>0</v>
      </c>
    </row>
    <row r="298">
      <c r="A298" s="5" t="inlineStr">
        <is>
          <t>01a152b9-75ba-7706-9ccb-d71df3f86f94</t>
        </is>
      </c>
      <c r="C298" s="5" t="inlineStr">
        <is>
          <t>01a152b9-6e67-75da-8adb-b03e5d07fd21</t>
        </is>
      </c>
      <c r="D298" s="4" t="n">
        <v>46314.2459310444</v>
      </c>
      <c r="E298" s="4" t="n">
        <v>46314.24593104451</v>
      </c>
      <c r="F298" t="b">
        <v>1</v>
      </c>
      <c r="G298" t="n">
        <v/>
      </c>
      <c r="H298" t="inlineStr">
        <is>
          <t>OPT</t>
        </is>
      </c>
      <c r="I298" t="inlineStr">
        <is>
          <t>Opthea Ltd</t>
        </is>
      </c>
      <c r="J298" t="inlineStr">
        <is>
          <t>AUD</t>
        </is>
      </c>
      <c r="K298" s="5" t="inlineStr">
        <is>
          <t>01a152b9-6ee2-7577-bddd-382bc3853fde</t>
        </is>
      </c>
      <c r="M298" t="inlineStr">
        <is>
          <t>UNKNOWN</t>
        </is>
      </c>
      <c r="N298" t="inlineStr">
        <is>
          <t>DEFAULT</t>
        </is>
      </c>
      <c r="Q298" t="n">
        <v>0</v>
      </c>
      <c r="R298" t="inlineStr">
        <is>
          <t>AUD</t>
        </is>
      </c>
      <c r="S298" t="n">
        <v>0</v>
      </c>
      <c r="T298" t="inlineStr">
        <is>
          <t>AUD</t>
        </is>
      </c>
      <c r="U298" t="n">
        <v>0</v>
      </c>
    </row>
    <row r="299">
      <c r="A299" s="5" t="inlineStr">
        <is>
          <t>01a152b9-75bd-71a2-97f1-32dc1b7f81da</t>
        </is>
      </c>
      <c r="C299" s="5" t="inlineStr">
        <is>
          <t>01a152b9-6e67-75da-8adb-b03e5d07fd21</t>
        </is>
      </c>
      <c r="D299" s="4" t="n">
        <v>46314.24593108005</v>
      </c>
      <c r="E299" s="4" t="n">
        <v>46314.24593108016</v>
      </c>
      <c r="F299" t="b">
        <v>1</v>
      </c>
      <c r="G299" t="n">
        <v/>
      </c>
      <c r="H299" t="inlineStr">
        <is>
          <t>LFS</t>
        </is>
      </c>
      <c r="I299" t="inlineStr">
        <is>
          <t>Latitude Group Holdings Ltd</t>
        </is>
      </c>
      <c r="J299" t="inlineStr">
        <is>
          <t>AUD</t>
        </is>
      </c>
      <c r="K299" s="5" t="inlineStr">
        <is>
          <t>01a152b9-6ee2-7577-bddd-382bc3853fde</t>
        </is>
      </c>
      <c r="M299" t="inlineStr">
        <is>
          <t>UNKNOWN</t>
        </is>
      </c>
      <c r="N299" t="inlineStr">
        <is>
          <t>DEFAULT</t>
        </is>
      </c>
      <c r="Q299" t="n">
        <v>0</v>
      </c>
      <c r="R299" t="inlineStr">
        <is>
          <t>AUD</t>
        </is>
      </c>
      <c r="S299" t="n">
        <v>0</v>
      </c>
      <c r="T299" t="inlineStr">
        <is>
          <t>AUD</t>
        </is>
      </c>
      <c r="U299" t="n">
        <v>0</v>
      </c>
    </row>
    <row r="300">
      <c r="A300" s="5" t="inlineStr">
        <is>
          <t>01a152b9-75c1-707e-a224-52efc3a49850</t>
        </is>
      </c>
      <c r="C300" s="5" t="inlineStr">
        <is>
          <t>01a152b9-6e67-75da-8adb-b03e5d07fd21</t>
        </is>
      </c>
      <c r="D300" s="4" t="n">
        <v>46314.24593112768</v>
      </c>
      <c r="E300" s="4" t="n">
        <v>46314.2459311278</v>
      </c>
      <c r="F300" t="b">
        <v>1</v>
      </c>
      <c r="G300" t="n">
        <v/>
      </c>
      <c r="H300" t="inlineStr">
        <is>
          <t>MAF</t>
        </is>
      </c>
      <c r="I300" t="inlineStr">
        <is>
          <t>MA Financial Group Ltd</t>
        </is>
      </c>
      <c r="J300" t="inlineStr">
        <is>
          <t>AUD</t>
        </is>
      </c>
      <c r="K300" s="5" t="inlineStr">
        <is>
          <t>01a152b9-6ee2-7577-bddd-382bc3853fde</t>
        </is>
      </c>
      <c r="M300" t="inlineStr">
        <is>
          <t>UNKNOWN</t>
        </is>
      </c>
      <c r="N300" t="inlineStr">
        <is>
          <t>DEFAULT</t>
        </is>
      </c>
      <c r="Q300" t="n">
        <v>0</v>
      </c>
      <c r="R300" t="inlineStr">
        <is>
          <t>AUD</t>
        </is>
      </c>
      <c r="S300" t="n">
        <v>0</v>
      </c>
      <c r="T300" t="inlineStr">
        <is>
          <t>AUD</t>
        </is>
      </c>
      <c r="U300" t="n">
        <v>0</v>
      </c>
    </row>
    <row r="301">
      <c r="A301" s="5" t="inlineStr">
        <is>
          <t>01a152b9-75c4-7239-a850-6ea776e662ba</t>
        </is>
      </c>
      <c r="C301" s="5" t="inlineStr">
        <is>
          <t>01a152b9-6e67-75da-8adb-b03e5d07fd21</t>
        </is>
      </c>
      <c r="D301" s="4" t="n">
        <v>46314.24593116828</v>
      </c>
      <c r="E301" s="4" t="n">
        <v>46314.24593116839</v>
      </c>
      <c r="F301" t="b">
        <v>1</v>
      </c>
      <c r="G301" t="n">
        <v/>
      </c>
      <c r="H301" t="inlineStr">
        <is>
          <t>VESG</t>
        </is>
      </c>
      <c r="I301" t="inlineStr">
        <is>
          <t>Vanguard Ethically Conscious International Shares INDEX ETF</t>
        </is>
      </c>
      <c r="J301" t="inlineStr">
        <is>
          <t>AUD</t>
        </is>
      </c>
      <c r="K301" s="5" t="inlineStr">
        <is>
          <t>01a152b9-6ee2-7577-bddd-382bc3853fde</t>
        </is>
      </c>
      <c r="M301" t="inlineStr">
        <is>
          <t>UNKNOWN</t>
        </is>
      </c>
      <c r="N301" t="inlineStr">
        <is>
          <t>DEFAULT</t>
        </is>
      </c>
      <c r="Q301" t="n">
        <v>0</v>
      </c>
      <c r="R301" t="inlineStr">
        <is>
          <t>AUD</t>
        </is>
      </c>
      <c r="S301" t="n">
        <v>0</v>
      </c>
      <c r="T301" t="inlineStr">
        <is>
          <t>AUD</t>
        </is>
      </c>
      <c r="U301" t="n">
        <v>0</v>
      </c>
    </row>
    <row r="302">
      <c r="A302" s="5" t="inlineStr">
        <is>
          <t>01a152b9-75c8-745e-be1e-8000f6080ed5</t>
        </is>
      </c>
      <c r="C302" s="5" t="inlineStr">
        <is>
          <t>01a152b9-6e67-75da-8adb-b03e5d07fd21</t>
        </is>
      </c>
      <c r="D302" s="4" t="n">
        <v>46314.24593121309</v>
      </c>
      <c r="E302" s="4" t="n">
        <v>46314.2459312132</v>
      </c>
      <c r="F302" t="b">
        <v>1</v>
      </c>
      <c r="G302" t="n">
        <v/>
      </c>
      <c r="H302" t="inlineStr">
        <is>
          <t>ADT</t>
        </is>
      </c>
      <c r="I302" t="inlineStr">
        <is>
          <t>Adriatic Metals Plc</t>
        </is>
      </c>
      <c r="J302" t="inlineStr">
        <is>
          <t>AUD</t>
        </is>
      </c>
      <c r="K302" s="5" t="inlineStr">
        <is>
          <t>01a152b9-6ee2-7577-bddd-382bc3853fde</t>
        </is>
      </c>
      <c r="M302" t="inlineStr">
        <is>
          <t>UNKNOWN</t>
        </is>
      </c>
      <c r="N302" t="inlineStr">
        <is>
          <t>DEFAULT</t>
        </is>
      </c>
      <c r="Q302" t="n">
        <v>0</v>
      </c>
      <c r="R302" t="inlineStr">
        <is>
          <t>AUD</t>
        </is>
      </c>
      <c r="S302" t="n">
        <v>0</v>
      </c>
      <c r="T302" t="inlineStr">
        <is>
          <t>AUD</t>
        </is>
      </c>
      <c r="U302" t="n">
        <v>0</v>
      </c>
    </row>
    <row r="303">
      <c r="A303" s="5" t="inlineStr">
        <is>
          <t>01a152b9-75cb-72c0-99b5-e0ae87ba12ae</t>
        </is>
      </c>
      <c r="C303" s="5" t="inlineStr">
        <is>
          <t>01a152b9-6e67-75da-8adb-b03e5d07fd21</t>
        </is>
      </c>
      <c r="D303" s="4" t="n">
        <v>46314.24593125075</v>
      </c>
      <c r="E303" s="4" t="n">
        <v>46314.24593125088</v>
      </c>
      <c r="F303" t="b">
        <v>1</v>
      </c>
      <c r="G303" t="n">
        <v/>
      </c>
      <c r="H303" t="inlineStr">
        <is>
          <t>CCP</t>
        </is>
      </c>
      <c r="I303" t="inlineStr">
        <is>
          <t>Credit Corp Group Ltd</t>
        </is>
      </c>
      <c r="J303" t="inlineStr">
        <is>
          <t>AUD</t>
        </is>
      </c>
      <c r="K303" s="5" t="inlineStr">
        <is>
          <t>01a152b9-6ee2-7577-bddd-382bc3853fde</t>
        </is>
      </c>
      <c r="M303" t="inlineStr">
        <is>
          <t>UNKNOWN</t>
        </is>
      </c>
      <c r="N303" t="inlineStr">
        <is>
          <t>DEFAULT</t>
        </is>
      </c>
      <c r="Q303" t="n">
        <v>0</v>
      </c>
      <c r="R303" t="inlineStr">
        <is>
          <t>AUD</t>
        </is>
      </c>
      <c r="S303" t="n">
        <v>0</v>
      </c>
      <c r="T303" t="inlineStr">
        <is>
          <t>AUD</t>
        </is>
      </c>
      <c r="U303" t="n">
        <v>0</v>
      </c>
    </row>
    <row r="304">
      <c r="A304" s="5" t="inlineStr">
        <is>
          <t>01a152b9-75cf-7291-a470-45156ab15d9f</t>
        </is>
      </c>
      <c r="C304" s="5" t="inlineStr">
        <is>
          <t>01a152b9-6e67-75da-8adb-b03e5d07fd21</t>
        </is>
      </c>
      <c r="D304" s="4" t="n">
        <v>46314.24593128664</v>
      </c>
      <c r="E304" s="4" t="n">
        <v>46314.24593128675</v>
      </c>
      <c r="F304" t="b">
        <v>1</v>
      </c>
      <c r="G304" t="n">
        <v/>
      </c>
      <c r="H304" t="inlineStr">
        <is>
          <t>HACK</t>
        </is>
      </c>
      <c r="I304" t="inlineStr">
        <is>
          <t>Betashares Global Cybersecurity ETF</t>
        </is>
      </c>
      <c r="J304" t="inlineStr">
        <is>
          <t>AUD</t>
        </is>
      </c>
      <c r="K304" s="5" t="inlineStr">
        <is>
          <t>01a152b9-6ee2-7577-bddd-382bc3853fde</t>
        </is>
      </c>
      <c r="M304" t="inlineStr">
        <is>
          <t>UNIT_TRUST</t>
        </is>
      </c>
      <c r="N304" t="inlineStr">
        <is>
          <t>SUGGESTED</t>
        </is>
      </c>
      <c r="Q304" t="n">
        <v>0</v>
      </c>
      <c r="R304" t="inlineStr">
        <is>
          <t>AUD</t>
        </is>
      </c>
      <c r="S304" t="n">
        <v>0</v>
      </c>
      <c r="T304" t="inlineStr">
        <is>
          <t>AUD</t>
        </is>
      </c>
      <c r="U304" t="n">
        <v>0</v>
      </c>
    </row>
    <row r="305">
      <c r="A305" s="5" t="inlineStr">
        <is>
          <t>01a152b9-75d2-71d4-af0d-e0a197abd976</t>
        </is>
      </c>
      <c r="C305" s="5" t="inlineStr">
        <is>
          <t>01a152b9-6e67-75da-8adb-b03e5d07fd21</t>
        </is>
      </c>
      <c r="D305" s="4" t="n">
        <v>46314.24593133109</v>
      </c>
      <c r="E305" s="4" t="n">
        <v>46314.24593133119</v>
      </c>
      <c r="F305" t="b">
        <v>1</v>
      </c>
      <c r="G305" t="n">
        <v/>
      </c>
      <c r="H305" t="inlineStr">
        <is>
          <t>SGF</t>
        </is>
      </c>
      <c r="I305" t="inlineStr">
        <is>
          <t>SG Fleet Group Ltd</t>
        </is>
      </c>
      <c r="J305" t="inlineStr">
        <is>
          <t>AUD</t>
        </is>
      </c>
      <c r="K305" s="5" t="inlineStr">
        <is>
          <t>01a152b9-6ee2-7577-bddd-382bc3853fde</t>
        </is>
      </c>
      <c r="M305" t="inlineStr">
        <is>
          <t>UNKNOWN</t>
        </is>
      </c>
      <c r="N305" t="inlineStr">
        <is>
          <t>DEFAULT</t>
        </is>
      </c>
      <c r="Q305" t="n">
        <v>0</v>
      </c>
      <c r="R305" t="inlineStr">
        <is>
          <t>AUD</t>
        </is>
      </c>
      <c r="S305" t="n">
        <v>0</v>
      </c>
      <c r="T305" t="inlineStr">
        <is>
          <t>AUD</t>
        </is>
      </c>
      <c r="U305" t="n">
        <v>0</v>
      </c>
    </row>
    <row r="306">
      <c r="A306" s="5" t="inlineStr">
        <is>
          <t>01a152b9-75d6-7203-97da-c024b548a132</t>
        </is>
      </c>
      <c r="C306" s="5" t="inlineStr">
        <is>
          <t>01a152b9-6e67-75da-8adb-b03e5d07fd21</t>
        </is>
      </c>
      <c r="D306" s="4" t="n">
        <v>46314.24593136815</v>
      </c>
      <c r="E306" s="4" t="n">
        <v>46314.24593136824</v>
      </c>
      <c r="F306" t="b">
        <v>1</v>
      </c>
      <c r="G306" t="n">
        <v/>
      </c>
      <c r="H306" t="inlineStr">
        <is>
          <t>GTK</t>
        </is>
      </c>
      <c r="I306" t="inlineStr">
        <is>
          <t>Gentrack Group Ltd</t>
        </is>
      </c>
      <c r="J306" t="inlineStr">
        <is>
          <t>AUD</t>
        </is>
      </c>
      <c r="K306" s="5" t="inlineStr">
        <is>
          <t>01a152b9-6ee2-7577-bddd-382bc3853fde</t>
        </is>
      </c>
      <c r="M306" t="inlineStr">
        <is>
          <t>UNKNOWN</t>
        </is>
      </c>
      <c r="N306" t="inlineStr">
        <is>
          <t>DEFAULT</t>
        </is>
      </c>
      <c r="Q306" t="n">
        <v>0</v>
      </c>
      <c r="R306" t="inlineStr">
        <is>
          <t>AUD</t>
        </is>
      </c>
      <c r="S306" t="n">
        <v>0</v>
      </c>
      <c r="T306" t="inlineStr">
        <is>
          <t>AUD</t>
        </is>
      </c>
      <c r="U306" t="n">
        <v>0</v>
      </c>
    </row>
    <row r="307">
      <c r="A307" s="5" t="inlineStr">
        <is>
          <t>01a152b9-75d9-7563-b63f-be1b5a1f7b14</t>
        </is>
      </c>
      <c r="C307" s="5" t="inlineStr">
        <is>
          <t>01a152b9-6e67-75da-8adb-b03e5d07fd21</t>
        </is>
      </c>
      <c r="D307" s="4" t="n">
        <v>46314.24593140309</v>
      </c>
      <c r="E307" s="4" t="n">
        <v>46314.24593140318</v>
      </c>
      <c r="F307" t="b">
        <v>1</v>
      </c>
      <c r="G307" t="n">
        <v/>
      </c>
      <c r="H307" t="inlineStr">
        <is>
          <t>ING</t>
        </is>
      </c>
      <c r="I307" t="inlineStr">
        <is>
          <t>Inghams Group Ltd</t>
        </is>
      </c>
      <c r="J307" t="inlineStr">
        <is>
          <t>AUD</t>
        </is>
      </c>
      <c r="K307" s="5" t="inlineStr">
        <is>
          <t>01a152b9-6ee2-7577-bddd-382bc3853fde</t>
        </is>
      </c>
      <c r="M307" t="inlineStr">
        <is>
          <t>UNKNOWN</t>
        </is>
      </c>
      <c r="N307" t="inlineStr">
        <is>
          <t>DEFAULT</t>
        </is>
      </c>
      <c r="Q307" t="n">
        <v>0</v>
      </c>
      <c r="R307" t="inlineStr">
        <is>
          <t>AUD</t>
        </is>
      </c>
      <c r="S307" t="n">
        <v>0</v>
      </c>
      <c r="T307" t="inlineStr">
        <is>
          <t>AUD</t>
        </is>
      </c>
      <c r="U307" t="n">
        <v>0</v>
      </c>
    </row>
    <row r="308">
      <c r="A308" s="5" t="inlineStr">
        <is>
          <t>01a152b9-75dc-76e0-a14f-f6a3cfa913be</t>
        </is>
      </c>
      <c r="C308" s="5" t="inlineStr">
        <is>
          <t>01a152b9-6e67-75da-8adb-b03e5d07fd21</t>
        </is>
      </c>
      <c r="D308" s="4" t="n">
        <v>46314.24593144089</v>
      </c>
      <c r="E308" s="4" t="n">
        <v>46314.24593144101</v>
      </c>
      <c r="F308" t="b">
        <v>1</v>
      </c>
      <c r="G308" t="n">
        <v/>
      </c>
      <c r="H308" t="inlineStr">
        <is>
          <t>IWLD</t>
        </is>
      </c>
      <c r="I308" t="inlineStr">
        <is>
          <t>Ishares Core MSCI World Ex Australia Esg ETF</t>
        </is>
      </c>
      <c r="J308" t="inlineStr">
        <is>
          <t>AUD</t>
        </is>
      </c>
      <c r="K308" s="5" t="inlineStr">
        <is>
          <t>01a152b9-6ee2-7577-bddd-382bc3853fde</t>
        </is>
      </c>
      <c r="M308" t="inlineStr">
        <is>
          <t>UNKNOWN</t>
        </is>
      </c>
      <c r="N308" t="inlineStr">
        <is>
          <t>DEFAULT</t>
        </is>
      </c>
      <c r="Q308" t="n">
        <v>0</v>
      </c>
      <c r="R308" t="inlineStr">
        <is>
          <t>AUD</t>
        </is>
      </c>
      <c r="S308" t="n">
        <v>0</v>
      </c>
      <c r="T308" t="inlineStr">
        <is>
          <t>AUD</t>
        </is>
      </c>
      <c r="U308" t="n">
        <v>0</v>
      </c>
    </row>
    <row r="309">
      <c r="A309" s="5" t="inlineStr">
        <is>
          <t>01a152b9-75e0-75e2-bad0-13fd793da281</t>
        </is>
      </c>
      <c r="C309" s="5" t="inlineStr">
        <is>
          <t>01a152b9-6e67-75da-8adb-b03e5d07fd21</t>
        </is>
      </c>
      <c r="D309" s="4" t="n">
        <v>46314.24593148725</v>
      </c>
      <c r="E309" s="4" t="n">
        <v>46314.24593148737</v>
      </c>
      <c r="F309" t="b">
        <v>1</v>
      </c>
      <c r="G309" t="n">
        <v/>
      </c>
      <c r="H309" t="inlineStr">
        <is>
          <t>LIC</t>
        </is>
      </c>
      <c r="I309" t="inlineStr">
        <is>
          <t>Lifestyle Communities Ltd</t>
        </is>
      </c>
      <c r="J309" t="inlineStr">
        <is>
          <t>AUD</t>
        </is>
      </c>
      <c r="K309" s="5" t="inlineStr">
        <is>
          <t>01a152b9-6ee2-7577-bddd-382bc3853fde</t>
        </is>
      </c>
      <c r="M309" t="inlineStr">
        <is>
          <t>UNKNOWN</t>
        </is>
      </c>
      <c r="N309" t="inlineStr">
        <is>
          <t>DEFAULT</t>
        </is>
      </c>
      <c r="Q309" t="n">
        <v>0</v>
      </c>
      <c r="R309" t="inlineStr">
        <is>
          <t>AUD</t>
        </is>
      </c>
      <c r="S309" t="n">
        <v>0</v>
      </c>
      <c r="T309" t="inlineStr">
        <is>
          <t>AUD</t>
        </is>
      </c>
      <c r="U309" t="n">
        <v>0</v>
      </c>
    </row>
    <row r="310">
      <c r="A310" s="5" t="inlineStr">
        <is>
          <t>01a152b9-75e4-72aa-b262-5b77c985201b</t>
        </is>
      </c>
      <c r="C310" s="5" t="inlineStr">
        <is>
          <t>01a152b9-6e67-75da-8adb-b03e5d07fd21</t>
        </is>
      </c>
      <c r="D310" s="4" t="n">
        <v>46314.24593153198</v>
      </c>
      <c r="E310" s="4" t="n">
        <v>46314.24593153208</v>
      </c>
      <c r="F310" t="b">
        <v>1</v>
      </c>
      <c r="G310" t="n">
        <v/>
      </c>
      <c r="H310" t="inlineStr">
        <is>
          <t>PGF</t>
        </is>
      </c>
      <c r="I310" t="inlineStr">
        <is>
          <t>PM Capital Global Opportunities Fund Ltd</t>
        </is>
      </c>
      <c r="J310" t="inlineStr">
        <is>
          <t>AUD</t>
        </is>
      </c>
      <c r="K310" s="5" t="inlineStr">
        <is>
          <t>01a152b9-6ee2-7577-bddd-382bc3853fde</t>
        </is>
      </c>
      <c r="M310" t="inlineStr">
        <is>
          <t>UNKNOWN</t>
        </is>
      </c>
      <c r="N310" t="inlineStr">
        <is>
          <t>DEFAULT</t>
        </is>
      </c>
      <c r="Q310" t="n">
        <v>0</v>
      </c>
      <c r="R310" t="inlineStr">
        <is>
          <t>AUD</t>
        </is>
      </c>
      <c r="S310" t="n">
        <v>0</v>
      </c>
      <c r="T310" t="inlineStr">
        <is>
          <t>AUD</t>
        </is>
      </c>
      <c r="U310" t="n">
        <v>0</v>
      </c>
    </row>
    <row r="311">
      <c r="A311" s="5" t="inlineStr">
        <is>
          <t>01a152b9-75e7-7256-b874-9979baba1024</t>
        </is>
      </c>
      <c r="C311" s="5" t="inlineStr">
        <is>
          <t>01a152b9-6e67-75da-8adb-b03e5d07fd21</t>
        </is>
      </c>
      <c r="D311" s="4" t="n">
        <v>46314.24593157297</v>
      </c>
      <c r="E311" s="4" t="n">
        <v>46314.24593157308</v>
      </c>
      <c r="F311" t="b">
        <v>1</v>
      </c>
      <c r="G311" t="n">
        <v/>
      </c>
      <c r="H311" t="inlineStr">
        <is>
          <t>FAIR</t>
        </is>
      </c>
      <c r="I311" t="inlineStr">
        <is>
          <t>Betashares Australian Sustainability Leaders ETF</t>
        </is>
      </c>
      <c r="J311" t="inlineStr">
        <is>
          <t>AUD</t>
        </is>
      </c>
      <c r="K311" s="5" t="inlineStr">
        <is>
          <t>01a152b9-6ee2-7577-bddd-382bc3853fde</t>
        </is>
      </c>
      <c r="M311" t="inlineStr">
        <is>
          <t>UNIT_TRUST</t>
        </is>
      </c>
      <c r="N311" t="inlineStr">
        <is>
          <t>SUGGESTED</t>
        </is>
      </c>
      <c r="Q311" t="n">
        <v>0</v>
      </c>
      <c r="R311" t="inlineStr">
        <is>
          <t>AUD</t>
        </is>
      </c>
      <c r="S311" t="n">
        <v>0</v>
      </c>
      <c r="T311" t="inlineStr">
        <is>
          <t>AUD</t>
        </is>
      </c>
      <c r="U311" t="n">
        <v>0</v>
      </c>
    </row>
    <row r="312">
      <c r="A312" s="5" t="inlineStr">
        <is>
          <t>01a152b9-75eb-747a-b8ff-ec7daa0cefa8</t>
        </is>
      </c>
      <c r="C312" s="5" t="inlineStr">
        <is>
          <t>01a152b9-6e67-75da-8adb-b03e5d07fd21</t>
        </is>
      </c>
      <c r="D312" s="4" t="n">
        <v>46314.24593161689</v>
      </c>
      <c r="E312" s="4" t="n">
        <v>46314.24593161701</v>
      </c>
      <c r="F312" t="b">
        <v>1</v>
      </c>
      <c r="G312" t="n">
        <v/>
      </c>
      <c r="H312" t="inlineStr">
        <is>
          <t>NXG</t>
        </is>
      </c>
      <c r="I312" t="inlineStr">
        <is>
          <t>Nexgen Energy (Canada) Ltd</t>
        </is>
      </c>
      <c r="J312" t="inlineStr">
        <is>
          <t>AUD</t>
        </is>
      </c>
      <c r="K312" s="5" t="inlineStr">
        <is>
          <t>01a152b9-6ee2-7577-bddd-382bc3853fde</t>
        </is>
      </c>
      <c r="M312" t="inlineStr">
        <is>
          <t>UNKNOWN</t>
        </is>
      </c>
      <c r="N312" t="inlineStr">
        <is>
          <t>DEFAULT</t>
        </is>
      </c>
      <c r="Q312" t="n">
        <v>0</v>
      </c>
      <c r="R312" t="inlineStr">
        <is>
          <t>AUD</t>
        </is>
      </c>
      <c r="S312" t="n">
        <v>0</v>
      </c>
      <c r="T312" t="inlineStr">
        <is>
          <t>AUD</t>
        </is>
      </c>
      <c r="U312" t="n">
        <v>0</v>
      </c>
    </row>
    <row r="313">
      <c r="A313" s="5" t="inlineStr">
        <is>
          <t>01a152b9-75ef-7705-b77e-14fcb1ee2e2e</t>
        </is>
      </c>
      <c r="C313" s="5" t="inlineStr">
        <is>
          <t>01a152b9-6e67-75da-8adb-b03e5d07fd21</t>
        </is>
      </c>
      <c r="D313" s="4" t="n">
        <v>46314.24593165734</v>
      </c>
      <c r="E313" s="4" t="n">
        <v>46314.24593165744</v>
      </c>
      <c r="F313" t="b">
        <v>1</v>
      </c>
      <c r="G313" t="n">
        <v/>
      </c>
      <c r="H313" t="inlineStr">
        <is>
          <t>VGE</t>
        </is>
      </c>
      <c r="I313" t="inlineStr">
        <is>
          <t>Vanguard Ftse Emerging Markets Shares ETF</t>
        </is>
      </c>
      <c r="J313" t="inlineStr">
        <is>
          <t>AUD</t>
        </is>
      </c>
      <c r="K313" s="5" t="inlineStr">
        <is>
          <t>01a152b9-6ee2-7577-bddd-382bc3853fde</t>
        </is>
      </c>
      <c r="M313" t="inlineStr">
        <is>
          <t>UNIT_TRUST</t>
        </is>
      </c>
      <c r="N313" t="inlineStr">
        <is>
          <t>SUGGESTED</t>
        </is>
      </c>
      <c r="Q313" t="n">
        <v>0</v>
      </c>
      <c r="R313" t="inlineStr">
        <is>
          <t>AUD</t>
        </is>
      </c>
      <c r="S313" t="n">
        <v>0</v>
      </c>
      <c r="T313" t="inlineStr">
        <is>
          <t>AUD</t>
        </is>
      </c>
      <c r="U313" t="n">
        <v>0</v>
      </c>
    </row>
    <row r="314">
      <c r="A314" s="5" t="inlineStr">
        <is>
          <t>01a152b9-75f3-755d-bed5-ab2c2876aac4</t>
        </is>
      </c>
      <c r="C314" s="5" t="inlineStr">
        <is>
          <t>01a152b9-6e67-75da-8adb-b03e5d07fd21</t>
        </is>
      </c>
      <c r="D314" s="4" t="n">
        <v>46314.24593170339</v>
      </c>
      <c r="E314" s="4" t="n">
        <v>46314.2459317035</v>
      </c>
      <c r="F314" t="b">
        <v>1</v>
      </c>
      <c r="G314" t="n">
        <v/>
      </c>
      <c r="H314" t="inlineStr">
        <is>
          <t>DUI</t>
        </is>
      </c>
      <c r="I314" t="inlineStr">
        <is>
          <t>Diversified United Investment Ltd</t>
        </is>
      </c>
      <c r="J314" t="inlineStr">
        <is>
          <t>AUD</t>
        </is>
      </c>
      <c r="K314" s="5" t="inlineStr">
        <is>
          <t>01a152b9-6ee2-7577-bddd-382bc3853fde</t>
        </is>
      </c>
      <c r="M314" t="inlineStr">
        <is>
          <t>COMPANY</t>
        </is>
      </c>
      <c r="N314" t="inlineStr">
        <is>
          <t>SUGGESTED</t>
        </is>
      </c>
      <c r="Q314" t="n">
        <v>0</v>
      </c>
      <c r="R314" t="inlineStr">
        <is>
          <t>AUD</t>
        </is>
      </c>
      <c r="S314" t="n">
        <v>0</v>
      </c>
      <c r="T314" t="inlineStr">
        <is>
          <t>AUD</t>
        </is>
      </c>
      <c r="U314" t="n">
        <v>0</v>
      </c>
    </row>
    <row r="315">
      <c r="A315" s="5" t="inlineStr">
        <is>
          <t>01a152b9-75f6-76e2-85b4-6d0fb16221af</t>
        </is>
      </c>
      <c r="C315" s="5" t="inlineStr">
        <is>
          <t>01a152b9-6e67-75da-8adb-b03e5d07fd21</t>
        </is>
      </c>
      <c r="D315" s="4" t="n">
        <v>46314.24593174846</v>
      </c>
      <c r="E315" s="4" t="n">
        <v>46314.24593174856</v>
      </c>
      <c r="F315" t="b">
        <v>1</v>
      </c>
      <c r="G315" t="n">
        <v/>
      </c>
      <c r="H315" t="inlineStr">
        <is>
          <t>HGBL</t>
        </is>
      </c>
      <c r="I315" t="inlineStr">
        <is>
          <t>Betashares Global Shares ETF - Currency Hedged</t>
        </is>
      </c>
      <c r="J315" t="inlineStr">
        <is>
          <t>AUD</t>
        </is>
      </c>
      <c r="K315" s="5" t="inlineStr">
        <is>
          <t>01a152b9-6ee2-7577-bddd-382bc3853fde</t>
        </is>
      </c>
      <c r="M315" t="inlineStr">
        <is>
          <t>UNKNOWN</t>
        </is>
      </c>
      <c r="N315" t="inlineStr">
        <is>
          <t>DEFAULT</t>
        </is>
      </c>
      <c r="Q315" t="n">
        <v>0</v>
      </c>
      <c r="R315" t="inlineStr">
        <is>
          <t>AUD</t>
        </is>
      </c>
      <c r="S315" t="n">
        <v>0</v>
      </c>
      <c r="T315" t="inlineStr">
        <is>
          <t>AUD</t>
        </is>
      </c>
      <c r="U315" t="n">
        <v>0</v>
      </c>
    </row>
    <row r="316">
      <c r="A316" s="5" t="inlineStr">
        <is>
          <t>01a152b9-75fa-7230-acb9-0ee13c7746b3</t>
        </is>
      </c>
      <c r="C316" s="5" t="inlineStr">
        <is>
          <t>01a152b9-6e67-75da-8adb-b03e5d07fd21</t>
        </is>
      </c>
      <c r="D316" s="4" t="n">
        <v>46314.24593179041</v>
      </c>
      <c r="E316" s="4" t="n">
        <v>46314.24593179052</v>
      </c>
      <c r="F316" t="b">
        <v>1</v>
      </c>
      <c r="G316" t="n">
        <v/>
      </c>
      <c r="H316" t="inlineStr">
        <is>
          <t>VUL</t>
        </is>
      </c>
      <c r="I316" t="inlineStr">
        <is>
          <t>Vulcan Energy Resources Ltd</t>
        </is>
      </c>
      <c r="J316" t="inlineStr">
        <is>
          <t>AUD</t>
        </is>
      </c>
      <c r="K316" s="5" t="inlineStr">
        <is>
          <t>01a152b9-6ee2-7577-bddd-382bc3853fde</t>
        </is>
      </c>
      <c r="M316" t="inlineStr">
        <is>
          <t>UNKNOWN</t>
        </is>
      </c>
      <c r="N316" t="inlineStr">
        <is>
          <t>DEFAULT</t>
        </is>
      </c>
      <c r="Q316" t="n">
        <v>0</v>
      </c>
      <c r="R316" t="inlineStr">
        <is>
          <t>AUD</t>
        </is>
      </c>
      <c r="S316" t="n">
        <v>0</v>
      </c>
      <c r="T316" t="inlineStr">
        <is>
          <t>AUD</t>
        </is>
      </c>
      <c r="U316" t="n">
        <v>0</v>
      </c>
    </row>
    <row r="317">
      <c r="A317" s="5" t="inlineStr">
        <is>
          <t>01a152b9-75fe-7640-acf0-1dba599d76a5</t>
        </is>
      </c>
      <c r="C317" s="5" t="inlineStr">
        <is>
          <t>01a152b9-6e67-75da-8adb-b03e5d07fd21</t>
        </is>
      </c>
      <c r="D317" s="4" t="n">
        <v>46314.24593183804</v>
      </c>
      <c r="E317" s="4" t="n">
        <v>46314.24593183814</v>
      </c>
      <c r="F317" t="b">
        <v>1</v>
      </c>
      <c r="G317" t="n">
        <v/>
      </c>
      <c r="H317" t="inlineStr">
        <is>
          <t>CRN</t>
        </is>
      </c>
      <c r="I317" t="inlineStr">
        <is>
          <t>Coronado Global Resources Inc</t>
        </is>
      </c>
      <c r="J317" t="inlineStr">
        <is>
          <t>AUD</t>
        </is>
      </c>
      <c r="K317" s="5" t="inlineStr">
        <is>
          <t>01a152b9-6ee2-7577-bddd-382bc3853fde</t>
        </is>
      </c>
      <c r="M317" t="inlineStr">
        <is>
          <t>UNKNOWN</t>
        </is>
      </c>
      <c r="N317" t="inlineStr">
        <is>
          <t>DEFAULT</t>
        </is>
      </c>
      <c r="Q317" t="n">
        <v>0</v>
      </c>
      <c r="R317" t="inlineStr">
        <is>
          <t>AUD</t>
        </is>
      </c>
      <c r="S317" t="n">
        <v>0</v>
      </c>
      <c r="T317" t="inlineStr">
        <is>
          <t>AUD</t>
        </is>
      </c>
      <c r="U317" t="n">
        <v>0</v>
      </c>
    </row>
    <row r="318">
      <c r="A318" s="5" t="inlineStr">
        <is>
          <t>01a152b9-7602-72d3-9073-7db88c58de1c</t>
        </is>
      </c>
      <c r="C318" s="5" t="inlineStr">
        <is>
          <t>01a152b9-6e67-75da-8adb-b03e5d07fd21</t>
        </is>
      </c>
      <c r="D318" s="4" t="n">
        <v>46314.24593187773</v>
      </c>
      <c r="E318" s="4" t="n">
        <v>46314.24593187783</v>
      </c>
      <c r="F318" t="b">
        <v>1</v>
      </c>
      <c r="G318" t="n">
        <v/>
      </c>
      <c r="H318" t="inlineStr">
        <is>
          <t>NAN</t>
        </is>
      </c>
      <c r="I318" t="inlineStr">
        <is>
          <t>Nanosonics Ltd</t>
        </is>
      </c>
      <c r="J318" t="inlineStr">
        <is>
          <t>AUD</t>
        </is>
      </c>
      <c r="K318" s="5" t="inlineStr">
        <is>
          <t>01a152b9-6ee2-7577-bddd-382bc3853fde</t>
        </is>
      </c>
      <c r="M318" t="inlineStr">
        <is>
          <t>UNKNOWN</t>
        </is>
      </c>
      <c r="N318" t="inlineStr">
        <is>
          <t>DEFAULT</t>
        </is>
      </c>
      <c r="Q318" t="n">
        <v>0</v>
      </c>
      <c r="R318" t="inlineStr">
        <is>
          <t>AUD</t>
        </is>
      </c>
      <c r="S318" t="n">
        <v>0</v>
      </c>
      <c r="T318" t="inlineStr">
        <is>
          <t>AUD</t>
        </is>
      </c>
      <c r="U318" t="n">
        <v>0</v>
      </c>
    </row>
    <row r="319">
      <c r="A319" s="5" t="inlineStr">
        <is>
          <t>01a152b9-7605-73fd-bdbb-7b72e3175144</t>
        </is>
      </c>
      <c r="C319" s="5" t="inlineStr">
        <is>
          <t>01a152b9-6e67-75da-8adb-b03e5d07fd21</t>
        </is>
      </c>
      <c r="D319" s="4" t="n">
        <v>46314.24593192051</v>
      </c>
      <c r="E319" s="4" t="n">
        <v>46314.24593192064</v>
      </c>
      <c r="F319" t="b">
        <v>1</v>
      </c>
      <c r="G319" t="n">
        <v/>
      </c>
      <c r="H319" t="inlineStr">
        <is>
          <t>DAVA</t>
        </is>
      </c>
      <c r="I319" t="inlineStr">
        <is>
          <t>Dimensional Australian Value Trust - Active ETF</t>
        </is>
      </c>
      <c r="J319" t="inlineStr">
        <is>
          <t>AUD</t>
        </is>
      </c>
      <c r="K319" s="5" t="inlineStr">
        <is>
          <t>01a152b9-6ee2-7577-bddd-382bc3853fde</t>
        </is>
      </c>
      <c r="M319" t="inlineStr">
        <is>
          <t>UNKNOWN</t>
        </is>
      </c>
      <c r="N319" t="inlineStr">
        <is>
          <t>DEFAULT</t>
        </is>
      </c>
      <c r="Q319" t="n">
        <v>0</v>
      </c>
      <c r="R319" t="inlineStr">
        <is>
          <t>AUD</t>
        </is>
      </c>
      <c r="S319" t="n">
        <v>0</v>
      </c>
      <c r="T319" t="inlineStr">
        <is>
          <t>AUD</t>
        </is>
      </c>
      <c r="U319" t="n">
        <v>0</v>
      </c>
    </row>
    <row r="320">
      <c r="A320" s="5" t="inlineStr">
        <is>
          <t>01a152b9-7609-7571-93d4-0dd6d401864d</t>
        </is>
      </c>
      <c r="C320" s="5" t="inlineStr">
        <is>
          <t>01a152b9-6e67-75da-8adb-b03e5d07fd21</t>
        </is>
      </c>
      <c r="D320" s="4" t="n">
        <v>46314.2459319593</v>
      </c>
      <c r="E320" s="4" t="n">
        <v>46314.2459319594</v>
      </c>
      <c r="F320" t="b">
        <v>1</v>
      </c>
      <c r="G320" t="n">
        <v/>
      </c>
      <c r="H320" t="inlineStr">
        <is>
          <t>FANG</t>
        </is>
      </c>
      <c r="I320" t="inlineStr">
        <is>
          <t>Global X Fang+ ETF</t>
        </is>
      </c>
      <c r="J320" t="inlineStr">
        <is>
          <t>AUD</t>
        </is>
      </c>
      <c r="K320" s="5" t="inlineStr">
        <is>
          <t>01a152b9-6ee2-7577-bddd-382bc3853fde</t>
        </is>
      </c>
      <c r="M320" t="inlineStr">
        <is>
          <t>UNKNOWN</t>
        </is>
      </c>
      <c r="N320" t="inlineStr">
        <is>
          <t>DEFAULT</t>
        </is>
      </c>
      <c r="Q320" t="n">
        <v>0</v>
      </c>
      <c r="R320" t="inlineStr">
        <is>
          <t>AUD</t>
        </is>
      </c>
      <c r="S320" t="n">
        <v>0</v>
      </c>
      <c r="T320" t="inlineStr">
        <is>
          <t>AUD</t>
        </is>
      </c>
      <c r="U320" t="n">
        <v>0</v>
      </c>
    </row>
    <row r="321">
      <c r="A321" s="5" t="inlineStr">
        <is>
          <t>01a152b9-760c-776f-be20-e751e058dba4</t>
        </is>
      </c>
      <c r="C321" s="5" t="inlineStr">
        <is>
          <t>01a152b9-6e67-75da-8adb-b03e5d07fd21</t>
        </is>
      </c>
      <c r="D321" s="4" t="n">
        <v>46314.24593200087</v>
      </c>
      <c r="E321" s="4" t="n">
        <v>46314.24593200098</v>
      </c>
      <c r="F321" t="b">
        <v>1</v>
      </c>
      <c r="G321" t="n">
        <v/>
      </c>
      <c r="H321" t="inlineStr">
        <is>
          <t>LFG</t>
        </is>
      </c>
      <c r="I321" t="inlineStr">
        <is>
          <t>Liberty Financial Group</t>
        </is>
      </c>
      <c r="J321" t="inlineStr">
        <is>
          <t>AUD</t>
        </is>
      </c>
      <c r="K321" s="5" t="inlineStr">
        <is>
          <t>01a152b9-6ee2-7577-bddd-382bc3853fde</t>
        </is>
      </c>
      <c r="M321" t="inlineStr">
        <is>
          <t>UNKNOWN</t>
        </is>
      </c>
      <c r="N321" t="inlineStr">
        <is>
          <t>DEFAULT</t>
        </is>
      </c>
      <c r="Q321" t="n">
        <v>0</v>
      </c>
      <c r="R321" t="inlineStr">
        <is>
          <t>AUD</t>
        </is>
      </c>
      <c r="S321" t="n">
        <v>0</v>
      </c>
      <c r="T321" t="inlineStr">
        <is>
          <t>AUD</t>
        </is>
      </c>
      <c r="U321" t="n">
        <v>0</v>
      </c>
    </row>
    <row r="322">
      <c r="A322" s="5" t="inlineStr">
        <is>
          <t>01a152b9-7610-74fd-831b-83405ed41a7a</t>
        </is>
      </c>
      <c r="C322" s="5" t="inlineStr">
        <is>
          <t>01a152b9-6e67-75da-8adb-b03e5d07fd21</t>
        </is>
      </c>
      <c r="D322" s="4" t="n">
        <v>46314.24593204899</v>
      </c>
      <c r="E322" s="4" t="n">
        <v>46314.2459320491</v>
      </c>
      <c r="F322" t="b">
        <v>1</v>
      </c>
      <c r="G322" t="n">
        <v/>
      </c>
      <c r="H322" t="inlineStr">
        <is>
          <t>IDX</t>
        </is>
      </c>
      <c r="I322" t="inlineStr">
        <is>
          <t>Integral Diagnostics Ltd</t>
        </is>
      </c>
      <c r="J322" t="inlineStr">
        <is>
          <t>AUD</t>
        </is>
      </c>
      <c r="K322" s="5" t="inlineStr">
        <is>
          <t>01a152b9-6ee2-7577-bddd-382bc3853fde</t>
        </is>
      </c>
      <c r="M322" t="inlineStr">
        <is>
          <t>UNKNOWN</t>
        </is>
      </c>
      <c r="N322" t="inlineStr">
        <is>
          <t>DEFAULT</t>
        </is>
      </c>
      <c r="Q322" t="n">
        <v>0</v>
      </c>
      <c r="R322" t="inlineStr">
        <is>
          <t>AUD</t>
        </is>
      </c>
      <c r="S322" t="n">
        <v>0</v>
      </c>
      <c r="T322" t="inlineStr">
        <is>
          <t>AUD</t>
        </is>
      </c>
      <c r="U322" t="n">
        <v>0</v>
      </c>
    </row>
    <row r="323">
      <c r="A323" s="5" t="inlineStr">
        <is>
          <t>01a152b9-7615-76a6-b97d-2c7c6a0addb6</t>
        </is>
      </c>
      <c r="C323" s="5" t="inlineStr">
        <is>
          <t>01a152b9-6e67-75da-8adb-b03e5d07fd21</t>
        </is>
      </c>
      <c r="D323" s="4" t="n">
        <v>46314.24593209744</v>
      </c>
      <c r="E323" s="4" t="n">
        <v>46314.24593209766</v>
      </c>
      <c r="F323" t="b">
        <v>1</v>
      </c>
      <c r="G323" t="n">
        <v/>
      </c>
      <c r="H323" t="inlineStr">
        <is>
          <t>GEM</t>
        </is>
      </c>
      <c r="I323" t="inlineStr">
        <is>
          <t>G8 Education Ltd</t>
        </is>
      </c>
      <c r="J323" t="inlineStr">
        <is>
          <t>AUD</t>
        </is>
      </c>
      <c r="K323" s="5" t="inlineStr">
        <is>
          <t>01a152b9-6ee2-7577-bddd-382bc3853fde</t>
        </is>
      </c>
      <c r="M323" t="inlineStr">
        <is>
          <t>UNKNOWN</t>
        </is>
      </c>
      <c r="N323" t="inlineStr">
        <is>
          <t>DEFAULT</t>
        </is>
      </c>
      <c r="Q323" t="n">
        <v>0</v>
      </c>
      <c r="R323" t="inlineStr">
        <is>
          <t>AUD</t>
        </is>
      </c>
      <c r="S323" t="n">
        <v>0</v>
      </c>
      <c r="T323" t="inlineStr">
        <is>
          <t>AUD</t>
        </is>
      </c>
      <c r="U323" t="n">
        <v>0</v>
      </c>
    </row>
    <row r="324">
      <c r="A324" s="5" t="inlineStr">
        <is>
          <t>01a152b9-7618-70dc-b140-93ad46dfc976</t>
        </is>
      </c>
      <c r="C324" s="5" t="inlineStr">
        <is>
          <t>01a152b9-6e67-75da-8adb-b03e5d07fd21</t>
        </is>
      </c>
      <c r="D324" s="4" t="n">
        <v>46314.24593214208</v>
      </c>
      <c r="E324" s="4" t="n">
        <v>46314.2459321422</v>
      </c>
      <c r="F324" t="b">
        <v>1</v>
      </c>
      <c r="G324" t="n">
        <v/>
      </c>
      <c r="H324" t="inlineStr">
        <is>
          <t>MOAT</t>
        </is>
      </c>
      <c r="I324" t="inlineStr">
        <is>
          <t>Vaneck Morningstar Wide Moat ETF</t>
        </is>
      </c>
      <c r="J324" t="inlineStr">
        <is>
          <t>AUD</t>
        </is>
      </c>
      <c r="K324" s="5" t="inlineStr">
        <is>
          <t>01a152b9-6ee2-7577-bddd-382bc3853fde</t>
        </is>
      </c>
      <c r="M324" t="inlineStr">
        <is>
          <t>UNKNOWN</t>
        </is>
      </c>
      <c r="N324" t="inlineStr">
        <is>
          <t>DEFAULT</t>
        </is>
      </c>
      <c r="Q324" t="n">
        <v>0</v>
      </c>
      <c r="R324" t="inlineStr">
        <is>
          <t>AUD</t>
        </is>
      </c>
      <c r="S324" t="n">
        <v>0</v>
      </c>
      <c r="T324" t="inlineStr">
        <is>
          <t>AUD</t>
        </is>
      </c>
      <c r="U324" t="n">
        <v>0</v>
      </c>
    </row>
    <row r="325">
      <c r="A325" s="5" t="inlineStr">
        <is>
          <t>01a152b9-761c-70c6-93dc-1ef3a5488c05</t>
        </is>
      </c>
      <c r="C325" s="5" t="inlineStr">
        <is>
          <t>01a152b9-6e67-75da-8adb-b03e5d07fd21</t>
        </is>
      </c>
      <c r="D325" s="4" t="n">
        <v>46314.24593218763</v>
      </c>
      <c r="E325" s="4" t="n">
        <v>46314.24593218774</v>
      </c>
      <c r="F325" t="b">
        <v>1</v>
      </c>
      <c r="G325" t="n">
        <v/>
      </c>
      <c r="H325" t="inlineStr">
        <is>
          <t>ABB</t>
        </is>
      </c>
      <c r="I325" t="inlineStr">
        <is>
          <t>Aussie Broadband Ltd</t>
        </is>
      </c>
      <c r="J325" t="inlineStr">
        <is>
          <t>AUD</t>
        </is>
      </c>
      <c r="K325" s="5" t="inlineStr">
        <is>
          <t>01a152b9-6ee2-7577-bddd-382bc3853fde</t>
        </is>
      </c>
      <c r="M325" t="inlineStr">
        <is>
          <t>UNKNOWN</t>
        </is>
      </c>
      <c r="N325" t="inlineStr">
        <is>
          <t>DEFAULT</t>
        </is>
      </c>
      <c r="Q325" t="n">
        <v>0</v>
      </c>
      <c r="R325" t="inlineStr">
        <is>
          <t>AUD</t>
        </is>
      </c>
      <c r="S325" t="n">
        <v>0</v>
      </c>
      <c r="T325" t="inlineStr">
        <is>
          <t>AUD</t>
        </is>
      </c>
      <c r="U325" t="n">
        <v>0</v>
      </c>
    </row>
    <row r="326">
      <c r="A326" s="5" t="inlineStr">
        <is>
          <t>01a152b9-7620-7068-9f5f-e8184a5c5db5</t>
        </is>
      </c>
      <c r="C326" s="5" t="inlineStr">
        <is>
          <t>01a152b9-6e67-75da-8adb-b03e5d07fd21</t>
        </is>
      </c>
      <c r="D326" s="4" t="n">
        <v>46314.24593223118</v>
      </c>
      <c r="E326" s="4" t="n">
        <v>46314.24593223134</v>
      </c>
      <c r="F326" t="b">
        <v>1</v>
      </c>
      <c r="G326" t="n">
        <v/>
      </c>
      <c r="H326" t="inlineStr">
        <is>
          <t>SLC</t>
        </is>
      </c>
      <c r="I326" t="inlineStr">
        <is>
          <t>Superloop Ltd</t>
        </is>
      </c>
      <c r="J326" t="inlineStr">
        <is>
          <t>AUD</t>
        </is>
      </c>
      <c r="K326" s="5" t="inlineStr">
        <is>
          <t>01a152b9-6ee2-7577-bddd-382bc3853fde</t>
        </is>
      </c>
      <c r="M326" t="inlineStr">
        <is>
          <t>UNKNOWN</t>
        </is>
      </c>
      <c r="N326" t="inlineStr">
        <is>
          <t>DEFAULT</t>
        </is>
      </c>
      <c r="Q326" t="n">
        <v>0</v>
      </c>
      <c r="R326" t="inlineStr">
        <is>
          <t>AUD</t>
        </is>
      </c>
      <c r="S326" t="n">
        <v>0</v>
      </c>
      <c r="T326" t="inlineStr">
        <is>
          <t>AUD</t>
        </is>
      </c>
      <c r="U326" t="n">
        <v>0</v>
      </c>
    </row>
    <row r="327">
      <c r="A327" s="5" t="inlineStr">
        <is>
          <t>01a152b9-7624-7157-849d-6573d4a77ccf</t>
        </is>
      </c>
      <c r="C327" s="5" t="inlineStr">
        <is>
          <t>01a152b9-6e67-75da-8adb-b03e5d07fd21</t>
        </is>
      </c>
      <c r="D327" s="4" t="n">
        <v>46314.24593227245</v>
      </c>
      <c r="E327" s="4" t="n">
        <v>46314.24593227261</v>
      </c>
      <c r="F327" t="b">
        <v>1</v>
      </c>
      <c r="G327" t="n">
        <v/>
      </c>
      <c r="H327" t="inlineStr">
        <is>
          <t>KAR</t>
        </is>
      </c>
      <c r="I327" t="inlineStr">
        <is>
          <t>Karoon Energy Ltd</t>
        </is>
      </c>
      <c r="J327" t="inlineStr">
        <is>
          <t>AUD</t>
        </is>
      </c>
      <c r="K327" s="5" t="inlineStr">
        <is>
          <t>01a152b9-6ee2-7577-bddd-382bc3853fde</t>
        </is>
      </c>
      <c r="M327" t="inlineStr">
        <is>
          <t>UNKNOWN</t>
        </is>
      </c>
      <c r="N327" t="inlineStr">
        <is>
          <t>DEFAULT</t>
        </is>
      </c>
      <c r="Q327" t="n">
        <v>0</v>
      </c>
      <c r="R327" t="inlineStr">
        <is>
          <t>AUD</t>
        </is>
      </c>
      <c r="S327" t="n">
        <v>0</v>
      </c>
      <c r="T327" t="inlineStr">
        <is>
          <t>AUD</t>
        </is>
      </c>
      <c r="U327" t="n">
        <v>0</v>
      </c>
    </row>
    <row r="328">
      <c r="A328" s="5" t="inlineStr">
        <is>
          <t>01a152b9-7627-7369-8f22-e8d7dc5aa64d</t>
        </is>
      </c>
      <c r="C328" s="5" t="inlineStr">
        <is>
          <t>01a152b9-6e67-75da-8adb-b03e5d07fd21</t>
        </is>
      </c>
      <c r="D328" s="4" t="n">
        <v>46314.24593231271</v>
      </c>
      <c r="E328" s="4" t="n">
        <v>46314.24593231285</v>
      </c>
      <c r="F328" t="b">
        <v>1</v>
      </c>
      <c r="G328" t="n">
        <v/>
      </c>
      <c r="H328" t="inlineStr">
        <is>
          <t>HSN</t>
        </is>
      </c>
      <c r="I328" t="inlineStr">
        <is>
          <t>Hansen Technologies Ltd</t>
        </is>
      </c>
      <c r="J328" t="inlineStr">
        <is>
          <t>AUD</t>
        </is>
      </c>
      <c r="K328" s="5" t="inlineStr">
        <is>
          <t>01a152b9-6ee2-7577-bddd-382bc3853fde</t>
        </is>
      </c>
      <c r="M328" t="inlineStr">
        <is>
          <t>UNKNOWN</t>
        </is>
      </c>
      <c r="N328" t="inlineStr">
        <is>
          <t>DEFAULT</t>
        </is>
      </c>
      <c r="Q328" t="n">
        <v>0</v>
      </c>
      <c r="R328" t="inlineStr">
        <is>
          <t>AUD</t>
        </is>
      </c>
      <c r="S328" t="n">
        <v>0</v>
      </c>
      <c r="T328" t="inlineStr">
        <is>
          <t>AUD</t>
        </is>
      </c>
      <c r="U328" t="n">
        <v>0</v>
      </c>
    </row>
    <row r="329">
      <c r="A329" s="5" t="inlineStr">
        <is>
          <t>01a152b9-762a-73fb-bfd9-3a61d4b8e03b</t>
        </is>
      </c>
      <c r="C329" s="5" t="inlineStr">
        <is>
          <t>01a152b9-6e67-75da-8adb-b03e5d07fd21</t>
        </is>
      </c>
      <c r="D329" s="4" t="n">
        <v>46314.24593234922</v>
      </c>
      <c r="E329" s="4" t="n">
        <v>46314.24593234936</v>
      </c>
      <c r="F329" t="b">
        <v>1</v>
      </c>
      <c r="G329" t="n">
        <v/>
      </c>
      <c r="H329" t="inlineStr">
        <is>
          <t>MMS</t>
        </is>
      </c>
      <c r="I329" t="inlineStr">
        <is>
          <t>Mcmillan Shakespeare Ltd</t>
        </is>
      </c>
      <c r="J329" t="inlineStr">
        <is>
          <t>AUD</t>
        </is>
      </c>
      <c r="K329" s="5" t="inlineStr">
        <is>
          <t>01a152b9-6ee2-7577-bddd-382bc3853fde</t>
        </is>
      </c>
      <c r="M329" t="inlineStr">
        <is>
          <t>UNKNOWN</t>
        </is>
      </c>
      <c r="N329" t="inlineStr">
        <is>
          <t>DEFAULT</t>
        </is>
      </c>
      <c r="Q329" t="n">
        <v>0</v>
      </c>
      <c r="R329" t="inlineStr">
        <is>
          <t>AUD</t>
        </is>
      </c>
      <c r="S329" t="n">
        <v>0</v>
      </c>
      <c r="T329" t="inlineStr">
        <is>
          <t>AUD</t>
        </is>
      </c>
      <c r="U329" t="n">
        <v>0</v>
      </c>
    </row>
    <row r="330">
      <c r="A330" s="5" t="inlineStr">
        <is>
          <t>01a152b9-762e-767c-bb9e-16369adb9051</t>
        </is>
      </c>
      <c r="C330" s="5" t="inlineStr">
        <is>
          <t>01a152b9-6e67-75da-8adb-b03e5d07fd21</t>
        </is>
      </c>
      <c r="D330" s="4" t="n">
        <v>46314.24593238918</v>
      </c>
      <c r="E330" s="4" t="n">
        <v>46314.24593238932</v>
      </c>
      <c r="F330" t="b">
        <v>1</v>
      </c>
      <c r="G330" t="n">
        <v/>
      </c>
      <c r="H330" t="inlineStr">
        <is>
          <t>DTL</t>
        </is>
      </c>
      <c r="I330" t="inlineStr">
        <is>
          <t>Data#3 Ltd</t>
        </is>
      </c>
      <c r="J330" t="inlineStr">
        <is>
          <t>AUD</t>
        </is>
      </c>
      <c r="K330" s="5" t="inlineStr">
        <is>
          <t>01a152b9-6ee2-7577-bddd-382bc3853fde</t>
        </is>
      </c>
      <c r="M330" t="inlineStr">
        <is>
          <t>UNKNOWN</t>
        </is>
      </c>
      <c r="N330" t="inlineStr">
        <is>
          <t>DEFAULT</t>
        </is>
      </c>
      <c r="Q330" t="n">
        <v>0</v>
      </c>
      <c r="R330" t="inlineStr">
        <is>
          <t>AUD</t>
        </is>
      </c>
      <c r="S330" t="n">
        <v>0</v>
      </c>
      <c r="T330" t="inlineStr">
        <is>
          <t>AUD</t>
        </is>
      </c>
      <c r="U330" t="n">
        <v>0</v>
      </c>
    </row>
    <row r="331">
      <c r="A331" s="5" t="inlineStr">
        <is>
          <t>01a152b9-7631-72d3-aac5-2086b5aafd69</t>
        </is>
      </c>
      <c r="C331" s="5" t="inlineStr">
        <is>
          <t>01a152b9-6e67-75da-8adb-b03e5d07fd21</t>
        </is>
      </c>
      <c r="D331" s="4" t="n">
        <v>46314.24593243022</v>
      </c>
      <c r="E331" s="4" t="n">
        <v>46314.24593243033</v>
      </c>
      <c r="F331" t="b">
        <v>1</v>
      </c>
      <c r="G331" t="n">
        <v/>
      </c>
      <c r="H331" t="inlineStr">
        <is>
          <t>VGB</t>
        </is>
      </c>
      <c r="I331" t="inlineStr">
        <is>
          <t>Vanguard Australian Government Bond INDEX ETF</t>
        </is>
      </c>
      <c r="J331" t="inlineStr">
        <is>
          <t>AUD</t>
        </is>
      </c>
      <c r="K331" s="5" t="inlineStr">
        <is>
          <t>01a152b9-6ee2-7577-bddd-382bc3853fde</t>
        </is>
      </c>
      <c r="M331" t="inlineStr">
        <is>
          <t>UNKNOWN</t>
        </is>
      </c>
      <c r="N331" t="inlineStr">
        <is>
          <t>DEFAULT</t>
        </is>
      </c>
      <c r="Q331" t="n">
        <v>0</v>
      </c>
      <c r="R331" t="inlineStr">
        <is>
          <t>AUD</t>
        </is>
      </c>
      <c r="S331" t="n">
        <v>0</v>
      </c>
      <c r="T331" t="inlineStr">
        <is>
          <t>AUD</t>
        </is>
      </c>
      <c r="U331" t="n">
        <v>0</v>
      </c>
    </row>
    <row r="332">
      <c r="A332" s="5" t="inlineStr">
        <is>
          <t>01a152b9-7635-7370-b178-2b9c929e8d22</t>
        </is>
      </c>
      <c r="C332" s="5" t="inlineStr">
        <is>
          <t>01a152b9-6e67-75da-8adb-b03e5d07fd21</t>
        </is>
      </c>
      <c r="D332" s="4" t="n">
        <v>46314.24593247007</v>
      </c>
      <c r="E332" s="4" t="n">
        <v>46314.24593247023</v>
      </c>
      <c r="F332" t="b">
        <v>1</v>
      </c>
      <c r="G332" t="n">
        <v/>
      </c>
      <c r="H332" t="inlineStr">
        <is>
          <t>JLG</t>
        </is>
      </c>
      <c r="I332" t="inlineStr">
        <is>
          <t>Johns LYNG Group Ltd</t>
        </is>
      </c>
      <c r="J332" t="inlineStr">
        <is>
          <t>AUD</t>
        </is>
      </c>
      <c r="K332" s="5" t="inlineStr">
        <is>
          <t>01a152b9-6ee2-7577-bddd-382bc3853fde</t>
        </is>
      </c>
      <c r="M332" t="inlineStr">
        <is>
          <t>UNKNOWN</t>
        </is>
      </c>
      <c r="N332" t="inlineStr">
        <is>
          <t>DEFAULT</t>
        </is>
      </c>
      <c r="Q332" t="n">
        <v>0</v>
      </c>
      <c r="R332" t="inlineStr">
        <is>
          <t>AUD</t>
        </is>
      </c>
      <c r="S332" t="n">
        <v>0</v>
      </c>
      <c r="T332" t="inlineStr">
        <is>
          <t>AUD</t>
        </is>
      </c>
      <c r="U332" t="n">
        <v>0</v>
      </c>
    </row>
    <row r="333">
      <c r="A333" s="5" t="inlineStr">
        <is>
          <t>01a152b9-7638-7774-8a46-83dbcbcf365e</t>
        </is>
      </c>
      <c r="C333" s="5" t="inlineStr">
        <is>
          <t>01a152b9-6e67-75da-8adb-b03e5d07fd21</t>
        </is>
      </c>
      <c r="D333" s="4" t="n">
        <v>46314.2459325101</v>
      </c>
      <c r="E333" s="4" t="n">
        <v>46314.24593251022</v>
      </c>
      <c r="F333" t="b">
        <v>1</v>
      </c>
      <c r="G333" t="n">
        <v/>
      </c>
      <c r="H333" t="inlineStr">
        <is>
          <t>CMW</t>
        </is>
      </c>
      <c r="I333" t="inlineStr">
        <is>
          <t>Cromwell Property Group</t>
        </is>
      </c>
      <c r="J333" t="inlineStr">
        <is>
          <t>AUD</t>
        </is>
      </c>
      <c r="K333" s="5" t="inlineStr">
        <is>
          <t>01a152b9-6ee2-7577-bddd-382bc3853fde</t>
        </is>
      </c>
      <c r="M333" t="inlineStr">
        <is>
          <t>UNKNOWN</t>
        </is>
      </c>
      <c r="N333" t="inlineStr">
        <is>
          <t>DEFAULT</t>
        </is>
      </c>
      <c r="Q333" t="n">
        <v>0</v>
      </c>
      <c r="R333" t="inlineStr">
        <is>
          <t>AUD</t>
        </is>
      </c>
      <c r="S333" t="n">
        <v>0</v>
      </c>
      <c r="T333" t="inlineStr">
        <is>
          <t>AUD</t>
        </is>
      </c>
      <c r="U333" t="n">
        <v>0</v>
      </c>
    </row>
    <row r="334">
      <c r="A334" s="5" t="inlineStr">
        <is>
          <t>01a152b9-763c-73b1-b09e-9669754e474d</t>
        </is>
      </c>
      <c r="C334" s="5" t="inlineStr">
        <is>
          <t>01a152b9-6e67-75da-8adb-b03e5d07fd21</t>
        </is>
      </c>
      <c r="D334" s="4" t="n">
        <v>46314.24593254858</v>
      </c>
      <c r="E334" s="4" t="n">
        <v>46314.24593254868</v>
      </c>
      <c r="F334" t="b">
        <v>1</v>
      </c>
      <c r="G334" t="n">
        <v/>
      </c>
      <c r="H334" t="inlineStr">
        <is>
          <t>CRED</t>
        </is>
      </c>
      <c r="I334" t="inlineStr">
        <is>
          <t>Betashares Australian Investment Grade Corporate Bond ETF</t>
        </is>
      </c>
      <c r="J334" t="inlineStr">
        <is>
          <t>AUD</t>
        </is>
      </c>
      <c r="K334" s="5" t="inlineStr">
        <is>
          <t>01a152b9-6ee2-7577-bddd-382bc3853fde</t>
        </is>
      </c>
      <c r="M334" t="inlineStr">
        <is>
          <t>UNKNOWN</t>
        </is>
      </c>
      <c r="N334" t="inlineStr">
        <is>
          <t>DEFAULT</t>
        </is>
      </c>
      <c r="Q334" t="n">
        <v>0</v>
      </c>
      <c r="R334" t="inlineStr">
        <is>
          <t>AUD</t>
        </is>
      </c>
      <c r="S334" t="n">
        <v>0</v>
      </c>
      <c r="T334" t="inlineStr">
        <is>
          <t>AUD</t>
        </is>
      </c>
      <c r="U334" t="n">
        <v>0</v>
      </c>
    </row>
    <row r="335">
      <c r="A335" s="5" t="inlineStr">
        <is>
          <t>01a152b9-7640-7274-b3c1-e21f1425ec2a</t>
        </is>
      </c>
      <c r="C335" s="5" t="inlineStr">
        <is>
          <t>01a152b9-6e67-75da-8adb-b03e5d07fd21</t>
        </is>
      </c>
      <c r="D335" s="4" t="n">
        <v>46314.24593259699</v>
      </c>
      <c r="E335" s="4" t="n">
        <v>46314.24593259712</v>
      </c>
      <c r="F335" t="b">
        <v>1</v>
      </c>
      <c r="G335" t="n">
        <v/>
      </c>
      <c r="H335" t="inlineStr">
        <is>
          <t>SIQ</t>
        </is>
      </c>
      <c r="I335" t="inlineStr">
        <is>
          <t>Smartgroup Corporation Ltd</t>
        </is>
      </c>
      <c r="J335" t="inlineStr">
        <is>
          <t>AUD</t>
        </is>
      </c>
      <c r="K335" s="5" t="inlineStr">
        <is>
          <t>01a152b9-6ee2-7577-bddd-382bc3853fde</t>
        </is>
      </c>
      <c r="M335" t="inlineStr">
        <is>
          <t>UNKNOWN</t>
        </is>
      </c>
      <c r="N335" t="inlineStr">
        <is>
          <t>DEFAULT</t>
        </is>
      </c>
      <c r="Q335" t="n">
        <v>0</v>
      </c>
      <c r="R335" t="inlineStr">
        <is>
          <t>AUD</t>
        </is>
      </c>
      <c r="S335" t="n">
        <v>0</v>
      </c>
      <c r="T335" t="inlineStr">
        <is>
          <t>AUD</t>
        </is>
      </c>
      <c r="U335" t="n">
        <v>0</v>
      </c>
    </row>
    <row r="336">
      <c r="A336" s="5" t="inlineStr">
        <is>
          <t>01a152b9-7643-74a3-a814-2a1d439d48f9</t>
        </is>
      </c>
      <c r="C336" s="5" t="inlineStr">
        <is>
          <t>01a152b9-6e67-75da-8adb-b03e5d07fd21</t>
        </is>
      </c>
      <c r="D336" s="4" t="n">
        <v>46314.24593263707</v>
      </c>
      <c r="E336" s="4" t="n">
        <v>46314.2459326372</v>
      </c>
      <c r="F336" t="b">
        <v>1</v>
      </c>
      <c r="G336" t="n">
        <v/>
      </c>
      <c r="H336" t="inlineStr">
        <is>
          <t>NABPK</t>
        </is>
      </c>
      <c r="I336" t="inlineStr">
        <is>
          <t>National Australia Bank Ltd</t>
        </is>
      </c>
      <c r="J336" t="inlineStr">
        <is>
          <t>AUD</t>
        </is>
      </c>
      <c r="K336" s="5" t="inlineStr">
        <is>
          <t>01a152b9-6ee2-7577-bddd-382bc3853fde</t>
        </is>
      </c>
      <c r="M336" t="inlineStr">
        <is>
          <t>UNKNOWN</t>
        </is>
      </c>
      <c r="N336" t="inlineStr">
        <is>
          <t>DEFAULT</t>
        </is>
      </c>
      <c r="Q336" t="n">
        <v>0</v>
      </c>
      <c r="R336" t="inlineStr">
        <is>
          <t>AUD</t>
        </is>
      </c>
      <c r="S336" t="n">
        <v>0</v>
      </c>
      <c r="T336" t="inlineStr">
        <is>
          <t>AUD</t>
        </is>
      </c>
      <c r="U336" t="n">
        <v>0</v>
      </c>
    </row>
    <row r="337">
      <c r="A337" s="5" t="inlineStr">
        <is>
          <t>01a152b9-7647-76ba-9a3a-6f7329a76831</t>
        </is>
      </c>
      <c r="C337" s="5" t="inlineStr">
        <is>
          <t>01a152b9-6e67-75da-8adb-b03e5d07fd21</t>
        </is>
      </c>
      <c r="D337" s="4" t="n">
        <v>46314.24593267969</v>
      </c>
      <c r="E337" s="4" t="n">
        <v>46314.24593267981</v>
      </c>
      <c r="F337" t="b">
        <v>1</v>
      </c>
      <c r="G337" t="n">
        <v/>
      </c>
      <c r="H337" t="inlineStr">
        <is>
          <t>CAT</t>
        </is>
      </c>
      <c r="I337" t="inlineStr">
        <is>
          <t>Catapult Group International Ltd</t>
        </is>
      </c>
      <c r="J337" t="inlineStr">
        <is>
          <t>AUD</t>
        </is>
      </c>
      <c r="K337" s="5" t="inlineStr">
        <is>
          <t>01a152b9-6ee2-7577-bddd-382bc3853fde</t>
        </is>
      </c>
      <c r="M337" t="inlineStr">
        <is>
          <t>UNKNOWN</t>
        </is>
      </c>
      <c r="N337" t="inlineStr">
        <is>
          <t>DEFAULT</t>
        </is>
      </c>
      <c r="Q337" t="n">
        <v>0</v>
      </c>
      <c r="R337" t="inlineStr">
        <is>
          <t>AUD</t>
        </is>
      </c>
      <c r="S337" t="n">
        <v>0</v>
      </c>
      <c r="T337" t="inlineStr">
        <is>
          <t>AUD</t>
        </is>
      </c>
      <c r="U337" t="n">
        <v>0</v>
      </c>
    </row>
    <row r="338">
      <c r="A338" s="5" t="inlineStr">
        <is>
          <t>01a152b9-764a-72c2-a127-000cd51b35a8</t>
        </is>
      </c>
      <c r="C338" s="5" t="inlineStr">
        <is>
          <t>01a152b9-6e67-75da-8adb-b03e5d07fd21</t>
        </is>
      </c>
      <c r="D338" s="4" t="n">
        <v>46314.2459327194</v>
      </c>
      <c r="E338" s="4" t="n">
        <v>46314.24593271952</v>
      </c>
      <c r="F338" t="b">
        <v>1</v>
      </c>
      <c r="G338" t="n">
        <v/>
      </c>
      <c r="H338" t="inlineStr">
        <is>
          <t>HLS</t>
        </is>
      </c>
      <c r="I338" t="inlineStr">
        <is>
          <t>Healius Ltd</t>
        </is>
      </c>
      <c r="J338" t="inlineStr">
        <is>
          <t>AUD</t>
        </is>
      </c>
      <c r="K338" s="5" t="inlineStr">
        <is>
          <t>01a152b9-6ee2-7577-bddd-382bc3853fde</t>
        </is>
      </c>
      <c r="M338" t="inlineStr">
        <is>
          <t>UNKNOWN</t>
        </is>
      </c>
      <c r="N338" t="inlineStr">
        <is>
          <t>DEFAULT</t>
        </is>
      </c>
      <c r="Q338" t="n">
        <v>0</v>
      </c>
      <c r="R338" t="inlineStr">
        <is>
          <t>AUD</t>
        </is>
      </c>
      <c r="S338" t="n">
        <v>0</v>
      </c>
      <c r="T338" t="inlineStr">
        <is>
          <t>AUD</t>
        </is>
      </c>
      <c r="U338" t="n">
        <v>0</v>
      </c>
    </row>
    <row r="339">
      <c r="A339" s="5" t="inlineStr">
        <is>
          <t>01a152b9-764e-772e-80d2-1292a35564d0</t>
        </is>
      </c>
      <c r="C339" s="5" t="inlineStr">
        <is>
          <t>01a152b9-6e67-75da-8adb-b03e5d07fd21</t>
        </is>
      </c>
      <c r="D339" s="4" t="n">
        <v>46314.24593276094</v>
      </c>
      <c r="E339" s="4" t="n">
        <v>46314.24593276104</v>
      </c>
      <c r="F339" t="b">
        <v>1</v>
      </c>
      <c r="G339" t="n">
        <v/>
      </c>
      <c r="H339" t="inlineStr">
        <is>
          <t>ABG</t>
        </is>
      </c>
      <c r="I339" t="inlineStr">
        <is>
          <t>Abacus Group</t>
        </is>
      </c>
      <c r="J339" t="inlineStr">
        <is>
          <t>AUD</t>
        </is>
      </c>
      <c r="K339" s="5" t="inlineStr">
        <is>
          <t>01a152b9-6ee2-7577-bddd-382bc3853fde</t>
        </is>
      </c>
      <c r="M339" t="inlineStr">
        <is>
          <t>UNKNOWN</t>
        </is>
      </c>
      <c r="N339" t="inlineStr">
        <is>
          <t>DEFAULT</t>
        </is>
      </c>
      <c r="Q339" t="n">
        <v>0</v>
      </c>
      <c r="R339" t="inlineStr">
        <is>
          <t>AUD</t>
        </is>
      </c>
      <c r="S339" t="n">
        <v>0</v>
      </c>
      <c r="T339" t="inlineStr">
        <is>
          <t>AUD</t>
        </is>
      </c>
      <c r="U339" t="n">
        <v>0</v>
      </c>
    </row>
    <row r="340">
      <c r="A340" s="5" t="inlineStr">
        <is>
          <t>01a152b9-7651-765a-8f68-cda64ff0d00c</t>
        </is>
      </c>
      <c r="C340" s="5" t="inlineStr">
        <is>
          <t>01a152b9-6e67-75da-8adb-b03e5d07fd21</t>
        </is>
      </c>
      <c r="D340" s="4" t="n">
        <v>46314.24593280015</v>
      </c>
      <c r="E340" s="4" t="n">
        <v>46314.24593280027</v>
      </c>
      <c r="F340" t="b">
        <v>1</v>
      </c>
      <c r="G340" t="n">
        <v/>
      </c>
      <c r="H340" t="inlineStr">
        <is>
          <t>VDGR</t>
        </is>
      </c>
      <c r="I340" t="inlineStr">
        <is>
          <t>Vanguard Diversified Growth INDEX ETF</t>
        </is>
      </c>
      <c r="J340" t="inlineStr">
        <is>
          <t>AUD</t>
        </is>
      </c>
      <c r="K340" s="5" t="inlineStr">
        <is>
          <t>01a152b9-6ee2-7577-bddd-382bc3853fde</t>
        </is>
      </c>
      <c r="M340" t="inlineStr">
        <is>
          <t>UNIT_TRUST</t>
        </is>
      </c>
      <c r="N340" t="inlineStr">
        <is>
          <t>SUGGESTED</t>
        </is>
      </c>
      <c r="Q340" t="n">
        <v>0</v>
      </c>
      <c r="R340" t="inlineStr">
        <is>
          <t>AUD</t>
        </is>
      </c>
      <c r="S340" t="n">
        <v>0</v>
      </c>
      <c r="T340" t="inlineStr">
        <is>
          <t>AUD</t>
        </is>
      </c>
      <c r="U340" t="n">
        <v>0</v>
      </c>
    </row>
    <row r="341">
      <c r="A341" s="5" t="inlineStr">
        <is>
          <t>01a152b9-7655-7573-9cde-69e6189df0d8</t>
        </is>
      </c>
      <c r="C341" s="5" t="inlineStr">
        <is>
          <t>01a152b9-6e67-75da-8adb-b03e5d07fd21</t>
        </is>
      </c>
      <c r="D341" s="4" t="n">
        <v>46314.24593284214</v>
      </c>
      <c r="E341" s="4" t="n">
        <v>46314.24593284225</v>
      </c>
      <c r="F341" t="b">
        <v>1</v>
      </c>
      <c r="G341" t="n">
        <v/>
      </c>
      <c r="H341" t="inlineStr">
        <is>
          <t>ERA</t>
        </is>
      </c>
      <c r="I341" t="inlineStr">
        <is>
          <t>Energy Resources of Australia Ltd</t>
        </is>
      </c>
      <c r="J341" t="inlineStr">
        <is>
          <t>AUD</t>
        </is>
      </c>
      <c r="K341" s="5" t="inlineStr">
        <is>
          <t>01a152b9-6ee2-7577-bddd-382bc3853fde</t>
        </is>
      </c>
      <c r="M341" t="inlineStr">
        <is>
          <t>UNKNOWN</t>
        </is>
      </c>
      <c r="N341" t="inlineStr">
        <is>
          <t>DEFAULT</t>
        </is>
      </c>
      <c r="Q341" t="n">
        <v>0</v>
      </c>
      <c r="R341" t="inlineStr">
        <is>
          <t>AUD</t>
        </is>
      </c>
      <c r="S341" t="n">
        <v>0</v>
      </c>
      <c r="T341" t="inlineStr">
        <is>
          <t>AUD</t>
        </is>
      </c>
      <c r="U341" t="n">
        <v>0</v>
      </c>
    </row>
    <row r="342">
      <c r="A342" s="5" t="inlineStr">
        <is>
          <t>01a152b9-7658-715e-82e3-9fe0aa25f1ef</t>
        </is>
      </c>
      <c r="C342" s="5" t="inlineStr">
        <is>
          <t>01a152b9-6e67-75da-8adb-b03e5d07fd21</t>
        </is>
      </c>
      <c r="D342" s="4" t="n">
        <v>46314.24593287958</v>
      </c>
      <c r="E342" s="4" t="n">
        <v>46314.2459328797</v>
      </c>
      <c r="F342" t="b">
        <v>1</v>
      </c>
      <c r="G342" t="n">
        <v/>
      </c>
      <c r="H342" t="inlineStr">
        <is>
          <t>BGP</t>
        </is>
      </c>
      <c r="I342" t="inlineStr">
        <is>
          <t>Briscoe Group Australasia Ltd</t>
        </is>
      </c>
      <c r="J342" t="inlineStr">
        <is>
          <t>AUD</t>
        </is>
      </c>
      <c r="K342" s="5" t="inlineStr">
        <is>
          <t>01a152b9-6ee2-7577-bddd-382bc3853fde</t>
        </is>
      </c>
      <c r="M342" t="inlineStr">
        <is>
          <t>UNKNOWN</t>
        </is>
      </c>
      <c r="N342" t="inlineStr">
        <is>
          <t>DEFAULT</t>
        </is>
      </c>
      <c r="Q342" t="n">
        <v>0</v>
      </c>
      <c r="R342" t="inlineStr">
        <is>
          <t>AUD</t>
        </is>
      </c>
      <c r="S342" t="n">
        <v>0</v>
      </c>
      <c r="T342" t="inlineStr">
        <is>
          <t>AUD</t>
        </is>
      </c>
      <c r="U342" t="n">
        <v>0</v>
      </c>
    </row>
    <row r="343">
      <c r="A343" s="5" t="inlineStr">
        <is>
          <t>01a152b9-765c-73bc-9541-82cf325ec216</t>
        </is>
      </c>
      <c r="C343" s="5" t="inlineStr">
        <is>
          <t>01a152b9-6e67-75da-8adb-b03e5d07fd21</t>
        </is>
      </c>
      <c r="D343" s="4" t="n">
        <v>46314.24593292113</v>
      </c>
      <c r="E343" s="4" t="n">
        <v>46314.24593292127</v>
      </c>
      <c r="F343" t="b">
        <v>1</v>
      </c>
      <c r="G343" t="n">
        <v/>
      </c>
      <c r="H343" t="inlineStr">
        <is>
          <t>A4N</t>
        </is>
      </c>
      <c r="I343" t="inlineStr">
        <is>
          <t>Alpha Hpa Ltd</t>
        </is>
      </c>
      <c r="J343" t="inlineStr">
        <is>
          <t>AUD</t>
        </is>
      </c>
      <c r="K343" s="5" t="inlineStr">
        <is>
          <t>01a152b9-6ee2-7577-bddd-382bc3853fde</t>
        </is>
      </c>
      <c r="M343" t="inlineStr">
        <is>
          <t>UNKNOWN</t>
        </is>
      </c>
      <c r="N343" t="inlineStr">
        <is>
          <t>DEFAULT</t>
        </is>
      </c>
      <c r="Q343" t="n">
        <v>0</v>
      </c>
      <c r="R343" t="inlineStr">
        <is>
          <t>AUD</t>
        </is>
      </c>
      <c r="S343" t="n">
        <v>0</v>
      </c>
      <c r="T343" t="inlineStr">
        <is>
          <t>AUD</t>
        </is>
      </c>
      <c r="U343" t="n">
        <v>0</v>
      </c>
    </row>
    <row r="344">
      <c r="A344" s="5" t="inlineStr">
        <is>
          <t>01a152b9-765f-71af-86be-ce9b76c92a7f</t>
        </is>
      </c>
      <c r="C344" s="5" t="inlineStr">
        <is>
          <t>01a152b9-6e67-75da-8adb-b03e5d07fd21</t>
        </is>
      </c>
      <c r="D344" s="4" t="n">
        <v>46314.24593296387</v>
      </c>
      <c r="E344" s="4" t="n">
        <v>46314.24593296396</v>
      </c>
      <c r="F344" t="b">
        <v>1</v>
      </c>
      <c r="G344" t="n">
        <v/>
      </c>
      <c r="H344" t="inlineStr">
        <is>
          <t>KLS</t>
        </is>
      </c>
      <c r="I344" t="inlineStr">
        <is>
          <t>Kelsian Group Ltd</t>
        </is>
      </c>
      <c r="J344" t="inlineStr">
        <is>
          <t>AUD</t>
        </is>
      </c>
      <c r="K344" s="5" t="inlineStr">
        <is>
          <t>01a152b9-6ee2-7577-bddd-382bc3853fde</t>
        </is>
      </c>
      <c r="M344" t="inlineStr">
        <is>
          <t>UNKNOWN</t>
        </is>
      </c>
      <c r="N344" t="inlineStr">
        <is>
          <t>DEFAULT</t>
        </is>
      </c>
      <c r="Q344" t="n">
        <v>0</v>
      </c>
      <c r="R344" t="inlineStr">
        <is>
          <t>AUD</t>
        </is>
      </c>
      <c r="S344" t="n">
        <v>0</v>
      </c>
      <c r="T344" t="inlineStr">
        <is>
          <t>AUD</t>
        </is>
      </c>
      <c r="U344" t="n">
        <v>0</v>
      </c>
    </row>
    <row r="345">
      <c r="A345" s="5" t="inlineStr">
        <is>
          <t>01a152b9-7663-762a-90fc-f39a0d337bc1</t>
        </is>
      </c>
      <c r="C345" s="5" t="inlineStr">
        <is>
          <t>01a152b9-6e67-75da-8adb-b03e5d07fd21</t>
        </is>
      </c>
      <c r="D345" s="4" t="n">
        <v>46314.24593300605</v>
      </c>
      <c r="E345" s="4" t="n">
        <v>46314.24593300617</v>
      </c>
      <c r="F345" t="b">
        <v>1</v>
      </c>
      <c r="G345" t="n">
        <v/>
      </c>
      <c r="H345" t="inlineStr">
        <is>
          <t>VSO</t>
        </is>
      </c>
      <c r="I345" t="inlineStr">
        <is>
          <t>Vanguard MSCI Australian Small Companies INDEX ETF</t>
        </is>
      </c>
      <c r="J345" t="inlineStr">
        <is>
          <t>AUD</t>
        </is>
      </c>
      <c r="K345" s="5" t="inlineStr">
        <is>
          <t>01a152b9-6ee2-7577-bddd-382bc3853fde</t>
        </is>
      </c>
      <c r="M345" t="inlineStr">
        <is>
          <t>UNIT_TRUST</t>
        </is>
      </c>
      <c r="N345" t="inlineStr">
        <is>
          <t>SUGGESTED</t>
        </is>
      </c>
      <c r="Q345" t="n">
        <v>0</v>
      </c>
      <c r="R345" t="inlineStr">
        <is>
          <t>AUD</t>
        </is>
      </c>
      <c r="S345" t="n">
        <v>0</v>
      </c>
      <c r="T345" t="inlineStr">
        <is>
          <t>AUD</t>
        </is>
      </c>
      <c r="U345" t="n">
        <v>0</v>
      </c>
    </row>
    <row r="346">
      <c r="A346" s="5" t="inlineStr">
        <is>
          <t>01a152b9-7667-768d-afcf-31dc58e438fd</t>
        </is>
      </c>
      <c r="C346" s="5" t="inlineStr">
        <is>
          <t>01a152b9-6e67-75da-8adb-b03e5d07fd21</t>
        </is>
      </c>
      <c r="D346" s="4" t="n">
        <v>46314.24593304793</v>
      </c>
      <c r="E346" s="4" t="n">
        <v>46314.24593304804</v>
      </c>
      <c r="F346" t="b">
        <v>1</v>
      </c>
      <c r="G346" t="n">
        <v/>
      </c>
      <c r="H346" t="inlineStr">
        <is>
          <t>SKC</t>
        </is>
      </c>
      <c r="I346" t="inlineStr">
        <is>
          <t>Skycity Entertainment Group Ltd</t>
        </is>
      </c>
      <c r="J346" t="inlineStr">
        <is>
          <t>AUD</t>
        </is>
      </c>
      <c r="K346" s="5" t="inlineStr">
        <is>
          <t>01a152b9-6ee2-7577-bddd-382bc3853fde</t>
        </is>
      </c>
      <c r="M346" t="inlineStr">
        <is>
          <t>UNKNOWN</t>
        </is>
      </c>
      <c r="N346" t="inlineStr">
        <is>
          <t>DEFAULT</t>
        </is>
      </c>
      <c r="Q346" t="n">
        <v>0</v>
      </c>
      <c r="R346" t="inlineStr">
        <is>
          <t>AUD</t>
        </is>
      </c>
      <c r="S346" t="n">
        <v>0</v>
      </c>
      <c r="T346" t="inlineStr">
        <is>
          <t>AUD</t>
        </is>
      </c>
      <c r="U346" t="n">
        <v>0</v>
      </c>
    </row>
    <row r="347">
      <c r="A347" s="5" t="inlineStr">
        <is>
          <t>01a152b9-766a-71d1-abaf-9c962ad83b8a</t>
        </is>
      </c>
      <c r="C347" s="5" t="inlineStr">
        <is>
          <t>01a152b9-6e67-75da-8adb-b03e5d07fd21</t>
        </is>
      </c>
      <c r="D347" s="4" t="n">
        <v>46314.24593308914</v>
      </c>
      <c r="E347" s="4" t="n">
        <v>46314.24593308925</v>
      </c>
      <c r="F347" t="b">
        <v>1</v>
      </c>
      <c r="G347" t="n">
        <v/>
      </c>
      <c r="H347" t="inlineStr">
        <is>
          <t>CQE</t>
        </is>
      </c>
      <c r="I347" t="inlineStr">
        <is>
          <t>Charter Hall Social Infrastructure REIT</t>
        </is>
      </c>
      <c r="J347" t="inlineStr">
        <is>
          <t>AUD</t>
        </is>
      </c>
      <c r="K347" s="5" t="inlineStr">
        <is>
          <t>01a152b9-6ee2-7577-bddd-382bc3853fde</t>
        </is>
      </c>
      <c r="M347" t="inlineStr">
        <is>
          <t>UNKNOWN</t>
        </is>
      </c>
      <c r="N347" t="inlineStr">
        <is>
          <t>DEFAULT</t>
        </is>
      </c>
      <c r="Q347" t="n">
        <v>0</v>
      </c>
      <c r="R347" t="inlineStr">
        <is>
          <t>AUD</t>
        </is>
      </c>
      <c r="S347" t="n">
        <v>0</v>
      </c>
      <c r="T347" t="inlineStr">
        <is>
          <t>AUD</t>
        </is>
      </c>
      <c r="U347" t="n">
        <v>0</v>
      </c>
    </row>
    <row r="348">
      <c r="A348" s="5" t="inlineStr">
        <is>
          <t>01a152b9-766e-70e9-98df-5bda5b323507</t>
        </is>
      </c>
      <c r="C348" s="5" t="inlineStr">
        <is>
          <t>01a152b9-6e67-75da-8adb-b03e5d07fd21</t>
        </is>
      </c>
      <c r="D348" s="4" t="n">
        <v>46314.24593312968</v>
      </c>
      <c r="E348" s="4" t="n">
        <v>46314.24593312978</v>
      </c>
      <c r="F348" t="b">
        <v>1</v>
      </c>
      <c r="G348" t="n">
        <v/>
      </c>
      <c r="H348" t="inlineStr">
        <is>
          <t>BVS</t>
        </is>
      </c>
      <c r="I348" t="inlineStr">
        <is>
          <t>Bravura Solutions Ltd</t>
        </is>
      </c>
      <c r="J348" t="inlineStr">
        <is>
          <t>AUD</t>
        </is>
      </c>
      <c r="K348" s="5" t="inlineStr">
        <is>
          <t>01a152b9-6ee2-7577-bddd-382bc3853fde</t>
        </is>
      </c>
      <c r="M348" t="inlineStr">
        <is>
          <t>UNKNOWN</t>
        </is>
      </c>
      <c r="N348" t="inlineStr">
        <is>
          <t>DEFAULT</t>
        </is>
      </c>
      <c r="Q348" t="n">
        <v>0</v>
      </c>
      <c r="R348" t="inlineStr">
        <is>
          <t>AUD</t>
        </is>
      </c>
      <c r="S348" t="n">
        <v>0</v>
      </c>
      <c r="T348" t="inlineStr">
        <is>
          <t>AUD</t>
        </is>
      </c>
      <c r="U348" t="n">
        <v>0</v>
      </c>
    </row>
    <row r="349">
      <c r="A349" s="5" t="inlineStr">
        <is>
          <t>01a152b9-7672-77ed-bde8-82ba79b02504</t>
        </is>
      </c>
      <c r="C349" s="5" t="inlineStr">
        <is>
          <t>01a152b9-6e67-75da-8adb-b03e5d07fd21</t>
        </is>
      </c>
      <c r="D349" s="4" t="n">
        <v>46314.24593317751</v>
      </c>
      <c r="E349" s="4" t="n">
        <v>46314.24593317764</v>
      </c>
      <c r="F349" t="b">
        <v>1</v>
      </c>
      <c r="G349" t="n">
        <v/>
      </c>
      <c r="H349" t="inlineStr">
        <is>
          <t>MQGPD</t>
        </is>
      </c>
      <c r="I349" t="inlineStr">
        <is>
          <t>Macquarie Group Ltd</t>
        </is>
      </c>
      <c r="J349" t="inlineStr">
        <is>
          <t>AUD</t>
        </is>
      </c>
      <c r="K349" s="5" t="inlineStr">
        <is>
          <t>01a152b9-6ee2-7577-bddd-382bc3853fde</t>
        </is>
      </c>
      <c r="M349" t="inlineStr">
        <is>
          <t>UNKNOWN</t>
        </is>
      </c>
      <c r="N349" t="inlineStr">
        <is>
          <t>DEFAULT</t>
        </is>
      </c>
      <c r="Q349" t="n">
        <v>0</v>
      </c>
      <c r="R349" t="inlineStr">
        <is>
          <t>AUD</t>
        </is>
      </c>
      <c r="S349" t="n">
        <v>0</v>
      </c>
      <c r="T349" t="inlineStr">
        <is>
          <t>AUD</t>
        </is>
      </c>
      <c r="U349" t="n">
        <v>0</v>
      </c>
    </row>
    <row r="350">
      <c r="A350" s="5" t="inlineStr">
        <is>
          <t>01a152b9-7675-77e3-982a-3901dd596157</t>
        </is>
      </c>
      <c r="C350" s="5" t="inlineStr">
        <is>
          <t>01a152b9-6e67-75da-8adb-b03e5d07fd21</t>
        </is>
      </c>
      <c r="D350" s="4" t="n">
        <v>46314.24593321526</v>
      </c>
      <c r="E350" s="4" t="n">
        <v>46314.24593321536</v>
      </c>
      <c r="F350" t="b">
        <v>1</v>
      </c>
      <c r="G350" t="n">
        <v/>
      </c>
      <c r="H350" t="inlineStr">
        <is>
          <t>PL8</t>
        </is>
      </c>
      <c r="I350" t="inlineStr">
        <is>
          <t>Plato Income Maximiser Ltd</t>
        </is>
      </c>
      <c r="J350" t="inlineStr">
        <is>
          <t>AUD</t>
        </is>
      </c>
      <c r="K350" s="5" t="inlineStr">
        <is>
          <t>01a152b9-6ee2-7577-bddd-382bc3853fde</t>
        </is>
      </c>
      <c r="M350" t="inlineStr">
        <is>
          <t>UNKNOWN</t>
        </is>
      </c>
      <c r="N350" t="inlineStr">
        <is>
          <t>DEFAULT</t>
        </is>
      </c>
      <c r="Q350" t="n">
        <v>0</v>
      </c>
      <c r="R350" t="inlineStr">
        <is>
          <t>AUD</t>
        </is>
      </c>
      <c r="S350" t="n">
        <v>0</v>
      </c>
      <c r="T350" t="inlineStr">
        <is>
          <t>AUD</t>
        </is>
      </c>
      <c r="U350" t="n">
        <v>0</v>
      </c>
    </row>
    <row r="351">
      <c r="A351" s="5" t="inlineStr">
        <is>
          <t>01a152b9-7679-72a4-b21c-a8b37d85fffc</t>
        </is>
      </c>
      <c r="C351" s="5" t="inlineStr">
        <is>
          <t>01a152b9-6e67-75da-8adb-b03e5d07fd21</t>
        </is>
      </c>
      <c r="D351" s="4" t="n">
        <v>46314.24593325831</v>
      </c>
      <c r="E351" s="4" t="n">
        <v>46314.24593325844</v>
      </c>
      <c r="F351" t="b">
        <v>1</v>
      </c>
      <c r="G351" t="n">
        <v/>
      </c>
      <c r="H351" t="inlineStr">
        <is>
          <t>SSM</t>
        </is>
      </c>
      <c r="I351" t="inlineStr">
        <is>
          <t>Service Stream Ltd</t>
        </is>
      </c>
      <c r="J351" t="inlineStr">
        <is>
          <t>AUD</t>
        </is>
      </c>
      <c r="K351" s="5" t="inlineStr">
        <is>
          <t>01a152b9-6ee2-7577-bddd-382bc3853fde</t>
        </is>
      </c>
      <c r="M351" t="inlineStr">
        <is>
          <t>UNKNOWN</t>
        </is>
      </c>
      <c r="N351" t="inlineStr">
        <is>
          <t>DEFAULT</t>
        </is>
      </c>
      <c r="Q351" t="n">
        <v>0</v>
      </c>
      <c r="R351" t="inlineStr">
        <is>
          <t>AUD</t>
        </is>
      </c>
      <c r="S351" t="n">
        <v>0</v>
      </c>
      <c r="T351" t="inlineStr">
        <is>
          <t>AUD</t>
        </is>
      </c>
      <c r="U351" t="n">
        <v>0</v>
      </c>
    </row>
    <row r="352">
      <c r="A352" s="5" t="inlineStr">
        <is>
          <t>01a152b9-767c-72fc-8615-dab1814b5b31</t>
        </is>
      </c>
      <c r="C352" s="5" t="inlineStr">
        <is>
          <t>01a152b9-6e67-75da-8adb-b03e5d07fd21</t>
        </is>
      </c>
      <c r="D352" s="4" t="n">
        <v>46314.24593330026</v>
      </c>
      <c r="E352" s="4" t="n">
        <v>46314.24593330041</v>
      </c>
      <c r="F352" t="b">
        <v>1</v>
      </c>
      <c r="G352" t="n">
        <v/>
      </c>
      <c r="H352" t="inlineStr">
        <is>
          <t>AN3PH</t>
        </is>
      </c>
      <c r="I352" t="inlineStr">
        <is>
          <t>Australia and New Zealand Banking Group Ltd</t>
        </is>
      </c>
      <c r="J352" t="inlineStr">
        <is>
          <t>AUD</t>
        </is>
      </c>
      <c r="K352" s="5" t="inlineStr">
        <is>
          <t>01a152b9-6ee2-7577-bddd-382bc3853fde</t>
        </is>
      </c>
      <c r="M352" t="inlineStr">
        <is>
          <t>UNKNOWN</t>
        </is>
      </c>
      <c r="N352" t="inlineStr">
        <is>
          <t>DEFAULT</t>
        </is>
      </c>
      <c r="Q352" t="n">
        <v>0</v>
      </c>
      <c r="R352" t="inlineStr">
        <is>
          <t>AUD</t>
        </is>
      </c>
      <c r="S352" t="n">
        <v>0</v>
      </c>
      <c r="T352" t="inlineStr">
        <is>
          <t>AUD</t>
        </is>
      </c>
      <c r="U352" t="n">
        <v>0</v>
      </c>
    </row>
    <row r="353">
      <c r="A353" s="5" t="inlineStr">
        <is>
          <t>01a152b9-7680-7483-825f-6201002d485a</t>
        </is>
      </c>
      <c r="C353" s="5" t="inlineStr">
        <is>
          <t>01a152b9-6e67-75da-8adb-b03e5d07fd21</t>
        </is>
      </c>
      <c r="D353" s="4" t="n">
        <v>46314.24593333911</v>
      </c>
      <c r="E353" s="4" t="n">
        <v>46314.24593333921</v>
      </c>
      <c r="F353" t="b">
        <v>1</v>
      </c>
      <c r="G353" t="n">
        <v/>
      </c>
      <c r="H353" t="inlineStr">
        <is>
          <t>WA1</t>
        </is>
      </c>
      <c r="I353" t="inlineStr">
        <is>
          <t>WA1 Resources Ltd</t>
        </is>
      </c>
      <c r="J353" t="inlineStr">
        <is>
          <t>AUD</t>
        </is>
      </c>
      <c r="K353" s="5" t="inlineStr">
        <is>
          <t>01a152b9-6ee2-7577-bddd-382bc3853fde</t>
        </is>
      </c>
      <c r="M353" t="inlineStr">
        <is>
          <t>UNKNOWN</t>
        </is>
      </c>
      <c r="N353" t="inlineStr">
        <is>
          <t>DEFAULT</t>
        </is>
      </c>
      <c r="Q353" t="n">
        <v>0</v>
      </c>
      <c r="R353" t="inlineStr">
        <is>
          <t>AUD</t>
        </is>
      </c>
      <c r="S353" t="n">
        <v>0</v>
      </c>
      <c r="T353" t="inlineStr">
        <is>
          <t>AUD</t>
        </is>
      </c>
      <c r="U353" t="n">
        <v>0</v>
      </c>
    </row>
    <row r="354">
      <c r="A354" s="5" t="inlineStr">
        <is>
          <t>01a152b9-7683-7476-9930-ad4faed66e05</t>
        </is>
      </c>
      <c r="C354" s="5" t="inlineStr">
        <is>
          <t>01a152b9-6e67-75da-8adb-b03e5d07fd21</t>
        </is>
      </c>
      <c r="D354" s="4" t="n">
        <v>46314.2459333767</v>
      </c>
      <c r="E354" s="4" t="n">
        <v>46314.24593337679</v>
      </c>
      <c r="F354" t="b">
        <v>1</v>
      </c>
      <c r="G354" t="n">
        <v/>
      </c>
      <c r="H354" t="inlineStr">
        <is>
          <t>VSL</t>
        </is>
      </c>
      <c r="I354" t="inlineStr">
        <is>
          <t>Vulcan Steel Ltd</t>
        </is>
      </c>
      <c r="J354" t="inlineStr">
        <is>
          <t>AUD</t>
        </is>
      </c>
      <c r="K354" s="5" t="inlineStr">
        <is>
          <t>01a152b9-6ee2-7577-bddd-382bc3853fde</t>
        </is>
      </c>
      <c r="M354" t="inlineStr">
        <is>
          <t>UNKNOWN</t>
        </is>
      </c>
      <c r="N354" t="inlineStr">
        <is>
          <t>DEFAULT</t>
        </is>
      </c>
      <c r="Q354" t="n">
        <v>0</v>
      </c>
      <c r="R354" t="inlineStr">
        <is>
          <t>AUD</t>
        </is>
      </c>
      <c r="S354" t="n">
        <v>0</v>
      </c>
      <c r="T354" t="inlineStr">
        <is>
          <t>AUD</t>
        </is>
      </c>
      <c r="U354" t="n">
        <v>0</v>
      </c>
    </row>
    <row r="355">
      <c r="A355" s="5" t="inlineStr">
        <is>
          <t>01a152b9-7686-745f-bf8c-0621810e4d22</t>
        </is>
      </c>
      <c r="C355" s="5" t="inlineStr">
        <is>
          <t>01a152b9-6e67-75da-8adb-b03e5d07fd21</t>
        </is>
      </c>
      <c r="D355" s="4" t="n">
        <v>46314.24593341341</v>
      </c>
      <c r="E355" s="4" t="n">
        <v>46314.24593341352</v>
      </c>
      <c r="F355" t="b">
        <v>1</v>
      </c>
      <c r="G355" t="n">
        <v/>
      </c>
      <c r="H355" t="inlineStr">
        <is>
          <t>DGVA</t>
        </is>
      </c>
      <c r="I355" t="inlineStr">
        <is>
          <t>Dimensional Global Value Trust - Active ETF</t>
        </is>
      </c>
      <c r="J355" t="inlineStr">
        <is>
          <t>AUD</t>
        </is>
      </c>
      <c r="K355" s="5" t="inlineStr">
        <is>
          <t>01a152b9-6ee2-7577-bddd-382bc3853fde</t>
        </is>
      </c>
      <c r="M355" t="inlineStr">
        <is>
          <t>UNKNOWN</t>
        </is>
      </c>
      <c r="N355" t="inlineStr">
        <is>
          <t>DEFAULT</t>
        </is>
      </c>
      <c r="Q355" t="n">
        <v>0</v>
      </c>
      <c r="R355" t="inlineStr">
        <is>
          <t>AUD</t>
        </is>
      </c>
      <c r="S355" t="n">
        <v>0</v>
      </c>
      <c r="T355" t="inlineStr">
        <is>
          <t>AUD</t>
        </is>
      </c>
      <c r="U355" t="n">
        <v>0</v>
      </c>
    </row>
    <row r="356">
      <c r="A356" s="5" t="inlineStr">
        <is>
          <t>01a152b9-7689-7360-853e-73375b3e50c6</t>
        </is>
      </c>
      <c r="C356" s="5" t="inlineStr">
        <is>
          <t>01a152b9-6e67-75da-8adb-b03e5d07fd21</t>
        </is>
      </c>
      <c r="D356" s="4" t="n">
        <v>46314.24593344954</v>
      </c>
      <c r="E356" s="4" t="n">
        <v>46314.24593344963</v>
      </c>
      <c r="F356" t="b">
        <v>1</v>
      </c>
      <c r="G356" t="n">
        <v/>
      </c>
      <c r="H356" t="inlineStr">
        <is>
          <t>ILB</t>
        </is>
      </c>
      <c r="I356" t="inlineStr">
        <is>
          <t>Ishares Government Inflation ETF</t>
        </is>
      </c>
      <c r="J356" t="inlineStr">
        <is>
          <t>AUD</t>
        </is>
      </c>
      <c r="K356" s="5" t="inlineStr">
        <is>
          <t>01a152b9-6ee2-7577-bddd-382bc3853fde</t>
        </is>
      </c>
      <c r="M356" t="inlineStr">
        <is>
          <t>UNKNOWN</t>
        </is>
      </c>
      <c r="N356" t="inlineStr">
        <is>
          <t>DEFAULT</t>
        </is>
      </c>
      <c r="Q356" t="n">
        <v>0</v>
      </c>
      <c r="R356" t="inlineStr">
        <is>
          <t>AUD</t>
        </is>
      </c>
      <c r="S356" t="n">
        <v>0</v>
      </c>
      <c r="T356" t="inlineStr">
        <is>
          <t>AUD</t>
        </is>
      </c>
      <c r="U356" t="n">
        <v>0</v>
      </c>
    </row>
    <row r="357">
      <c r="A357" s="5" t="inlineStr">
        <is>
          <t>01a152b9-768d-76e3-b059-38e7d151acb3</t>
        </is>
      </c>
      <c r="C357" s="5" t="inlineStr">
        <is>
          <t>01a152b9-6e67-75da-8adb-b03e5d07fd21</t>
        </is>
      </c>
      <c r="D357" s="4" t="n">
        <v>46314.2459334887</v>
      </c>
      <c r="E357" s="4" t="n">
        <v>46314.2459334888</v>
      </c>
      <c r="F357" t="b">
        <v>1</v>
      </c>
      <c r="G357" t="n">
        <v/>
      </c>
      <c r="H357" t="inlineStr">
        <is>
          <t>HGH</t>
        </is>
      </c>
      <c r="I357" t="inlineStr">
        <is>
          <t>Heartland Group Holdings Ltd</t>
        </is>
      </c>
      <c r="J357" t="inlineStr">
        <is>
          <t>AUD</t>
        </is>
      </c>
      <c r="K357" s="5" t="inlineStr">
        <is>
          <t>01a152b9-6ee2-7577-bddd-382bc3853fde</t>
        </is>
      </c>
      <c r="M357" t="inlineStr">
        <is>
          <t>UNKNOWN</t>
        </is>
      </c>
      <c r="N357" t="inlineStr">
        <is>
          <t>DEFAULT</t>
        </is>
      </c>
      <c r="Q357" t="n">
        <v>0</v>
      </c>
      <c r="R357" t="inlineStr">
        <is>
          <t>AUD</t>
        </is>
      </c>
      <c r="S357" t="n">
        <v>0</v>
      </c>
      <c r="T357" t="inlineStr">
        <is>
          <t>AUD</t>
        </is>
      </c>
      <c r="U357" t="n">
        <v>0</v>
      </c>
    </row>
    <row r="358">
      <c r="A358" s="5" t="inlineStr">
        <is>
          <t>01a152b9-7690-7246-83f0-5a2d0da29b23</t>
        </is>
      </c>
      <c r="C358" s="5" t="inlineStr">
        <is>
          <t>01a152b9-6e67-75da-8adb-b03e5d07fd21</t>
        </is>
      </c>
      <c r="D358" s="4" t="n">
        <v>46314.24593352699</v>
      </c>
      <c r="E358" s="4" t="n">
        <v>46314.2459335271</v>
      </c>
      <c r="F358" t="b">
        <v>1</v>
      </c>
      <c r="G358" t="n">
        <v/>
      </c>
      <c r="H358" t="inlineStr">
        <is>
          <t>EQT</t>
        </is>
      </c>
      <c r="I358" t="inlineStr">
        <is>
          <t>EQT Holdings Ltd</t>
        </is>
      </c>
      <c r="J358" t="inlineStr">
        <is>
          <t>AUD</t>
        </is>
      </c>
      <c r="K358" s="5" t="inlineStr">
        <is>
          <t>01a152b9-6ee2-7577-bddd-382bc3853fde</t>
        </is>
      </c>
      <c r="M358" t="inlineStr">
        <is>
          <t>UNKNOWN</t>
        </is>
      </c>
      <c r="N358" t="inlineStr">
        <is>
          <t>DEFAULT</t>
        </is>
      </c>
      <c r="Q358" t="n">
        <v>0</v>
      </c>
      <c r="R358" t="inlineStr">
        <is>
          <t>AUD</t>
        </is>
      </c>
      <c r="S358" t="n">
        <v>0</v>
      </c>
      <c r="T358" t="inlineStr">
        <is>
          <t>AUD</t>
        </is>
      </c>
      <c r="U358" t="n">
        <v>0</v>
      </c>
    </row>
    <row r="359">
      <c r="A359" s="5" t="inlineStr">
        <is>
          <t>01a152b9-7693-716e-b44f-d633244b2bbb</t>
        </is>
      </c>
      <c r="C359" s="5" t="inlineStr">
        <is>
          <t>01a152b9-6e67-75da-8adb-b03e5d07fd21</t>
        </is>
      </c>
      <c r="D359" s="4" t="n">
        <v>46314.24593356519</v>
      </c>
      <c r="E359" s="4" t="n">
        <v>46314.2459335653</v>
      </c>
      <c r="F359" t="b">
        <v>1</v>
      </c>
      <c r="G359" t="n">
        <v/>
      </c>
      <c r="H359" t="inlineStr">
        <is>
          <t>SRG</t>
        </is>
      </c>
      <c r="I359" t="inlineStr">
        <is>
          <t>SRG Global Ltd</t>
        </is>
      </c>
      <c r="J359" t="inlineStr">
        <is>
          <t>AUD</t>
        </is>
      </c>
      <c r="K359" s="5" t="inlineStr">
        <is>
          <t>01a152b9-6ee2-7577-bddd-382bc3853fde</t>
        </is>
      </c>
      <c r="M359" t="inlineStr">
        <is>
          <t>UNKNOWN</t>
        </is>
      </c>
      <c r="N359" t="inlineStr">
        <is>
          <t>DEFAULT</t>
        </is>
      </c>
      <c r="Q359" t="n">
        <v>0</v>
      </c>
      <c r="R359" t="inlineStr">
        <is>
          <t>AUD</t>
        </is>
      </c>
      <c r="S359" t="n">
        <v>0</v>
      </c>
      <c r="T359" t="inlineStr">
        <is>
          <t>AUD</t>
        </is>
      </c>
      <c r="U359" t="n">
        <v>0</v>
      </c>
    </row>
    <row r="360">
      <c r="A360" s="5" t="inlineStr">
        <is>
          <t>01a152b9-7697-7350-86df-38463f415948</t>
        </is>
      </c>
      <c r="C360" s="5" t="inlineStr">
        <is>
          <t>01a152b9-6e67-75da-8adb-b03e5d07fd21</t>
        </is>
      </c>
      <c r="D360" s="4" t="n">
        <v>46314.24593360391</v>
      </c>
      <c r="E360" s="4" t="n">
        <v>46314.245933604</v>
      </c>
      <c r="F360" t="b">
        <v>1</v>
      </c>
      <c r="G360" t="n">
        <v/>
      </c>
      <c r="H360" t="inlineStr">
        <is>
          <t>GCI</t>
        </is>
      </c>
      <c r="I360" t="inlineStr">
        <is>
          <t>Gryphon Capital Income Trust</t>
        </is>
      </c>
      <c r="J360" t="inlineStr">
        <is>
          <t>AUD</t>
        </is>
      </c>
      <c r="K360" s="5" t="inlineStr">
        <is>
          <t>01a152b9-6ee2-7577-bddd-382bc3853fde</t>
        </is>
      </c>
      <c r="M360" t="inlineStr">
        <is>
          <t>UNKNOWN</t>
        </is>
      </c>
      <c r="N360" t="inlineStr">
        <is>
          <t>DEFAULT</t>
        </is>
      </c>
      <c r="Q360" t="n">
        <v>0</v>
      </c>
      <c r="R360" t="inlineStr">
        <is>
          <t>AUD</t>
        </is>
      </c>
      <c r="S360" t="n">
        <v>0</v>
      </c>
      <c r="T360" t="inlineStr">
        <is>
          <t>AUD</t>
        </is>
      </c>
      <c r="U360" t="n">
        <v>0</v>
      </c>
    </row>
    <row r="361">
      <c r="A361" s="5" t="inlineStr">
        <is>
          <t>01a152b9-769a-77b9-b3a2-059dc54d79fc</t>
        </is>
      </c>
      <c r="C361" s="5" t="inlineStr">
        <is>
          <t>01a152b9-6e67-75da-8adb-b03e5d07fd21</t>
        </is>
      </c>
      <c r="D361" s="4" t="n">
        <v>46314.24593364434</v>
      </c>
      <c r="E361" s="4" t="n">
        <v>46314.24593364446</v>
      </c>
      <c r="F361" t="b">
        <v>1</v>
      </c>
      <c r="G361" t="n">
        <v/>
      </c>
      <c r="H361" t="inlineStr">
        <is>
          <t>DXI</t>
        </is>
      </c>
      <c r="I361" t="inlineStr">
        <is>
          <t>Dexus Industria REIT</t>
        </is>
      </c>
      <c r="J361" t="inlineStr">
        <is>
          <t>AUD</t>
        </is>
      </c>
      <c r="K361" s="5" t="inlineStr">
        <is>
          <t>01a152b9-6ee2-7577-bddd-382bc3853fde</t>
        </is>
      </c>
      <c r="M361" t="inlineStr">
        <is>
          <t>UNKNOWN</t>
        </is>
      </c>
      <c r="N361" t="inlineStr">
        <is>
          <t>DEFAULT</t>
        </is>
      </c>
      <c r="Q361" t="n">
        <v>0</v>
      </c>
      <c r="R361" t="inlineStr">
        <is>
          <t>AUD</t>
        </is>
      </c>
      <c r="S361" t="n">
        <v>0</v>
      </c>
      <c r="T361" t="inlineStr">
        <is>
          <t>AUD</t>
        </is>
      </c>
      <c r="U361" t="n">
        <v>0</v>
      </c>
    </row>
    <row r="362">
      <c r="A362" s="5" t="inlineStr">
        <is>
          <t>01a152b9-769e-72b8-8dc9-8bf29f31bc82</t>
        </is>
      </c>
      <c r="C362" s="5" t="inlineStr">
        <is>
          <t>01a152b9-6e67-75da-8adb-b03e5d07fd21</t>
        </is>
      </c>
      <c r="D362" s="4" t="n">
        <v>46314.24593368538</v>
      </c>
      <c r="E362" s="4" t="n">
        <v>46314.24593368551</v>
      </c>
      <c r="F362" t="b">
        <v>1</v>
      </c>
      <c r="G362" t="n">
        <v/>
      </c>
      <c r="H362" t="inlineStr">
        <is>
          <t>RSG</t>
        </is>
      </c>
      <c r="I362" t="inlineStr">
        <is>
          <t>Resolute Mining Ltd</t>
        </is>
      </c>
      <c r="J362" t="inlineStr">
        <is>
          <t>AUD</t>
        </is>
      </c>
      <c r="K362" s="5" t="inlineStr">
        <is>
          <t>01a152b9-6ee2-7577-bddd-382bc3853fde</t>
        </is>
      </c>
      <c r="M362" t="inlineStr">
        <is>
          <t>UNKNOWN</t>
        </is>
      </c>
      <c r="N362" t="inlineStr">
        <is>
          <t>DEFAULT</t>
        </is>
      </c>
      <c r="Q362" t="n">
        <v>0</v>
      </c>
      <c r="R362" t="inlineStr">
        <is>
          <t>AUD</t>
        </is>
      </c>
      <c r="S362" t="n">
        <v>0</v>
      </c>
      <c r="T362" t="inlineStr">
        <is>
          <t>AUD</t>
        </is>
      </c>
      <c r="U362" t="n">
        <v>0</v>
      </c>
    </row>
    <row r="363">
      <c r="A363" s="5" t="inlineStr">
        <is>
          <t>01a152b9-76a1-7624-86f7-412f260eee95</t>
        </is>
      </c>
      <c r="C363" s="5" t="inlineStr">
        <is>
          <t>01a152b9-6e67-75da-8adb-b03e5d07fd21</t>
        </is>
      </c>
      <c r="D363" s="4" t="n">
        <v>46314.24593372397</v>
      </c>
      <c r="E363" s="4" t="n">
        <v>46314.24593372407</v>
      </c>
      <c r="F363" t="b">
        <v>1</v>
      </c>
      <c r="G363" t="n">
        <v/>
      </c>
      <c r="H363" t="inlineStr">
        <is>
          <t>CBO</t>
        </is>
      </c>
      <c r="I363" t="inlineStr">
        <is>
          <t>Cobram Estate Olives Ltd</t>
        </is>
      </c>
      <c r="J363" t="inlineStr">
        <is>
          <t>AUD</t>
        </is>
      </c>
      <c r="K363" s="5" t="inlineStr">
        <is>
          <t>01a152b9-6ee2-7577-bddd-382bc3853fde</t>
        </is>
      </c>
      <c r="M363" t="inlineStr">
        <is>
          <t>UNKNOWN</t>
        </is>
      </c>
      <c r="N363" t="inlineStr">
        <is>
          <t>DEFAULT</t>
        </is>
      </c>
      <c r="Q363" t="n">
        <v>0</v>
      </c>
      <c r="R363" t="inlineStr">
        <is>
          <t>AUD</t>
        </is>
      </c>
      <c r="S363" t="n">
        <v>0</v>
      </c>
      <c r="T363" t="inlineStr">
        <is>
          <t>AUD</t>
        </is>
      </c>
      <c r="U363" t="n">
        <v>0</v>
      </c>
    </row>
    <row r="364">
      <c r="A364" s="5" t="inlineStr">
        <is>
          <t>01a152b9-76a4-746b-97ff-deea7ae9116c</t>
        </is>
      </c>
      <c r="C364" s="5" t="inlineStr">
        <is>
          <t>01a152b9-6e67-75da-8adb-b03e5d07fd21</t>
        </is>
      </c>
      <c r="D364" s="4" t="n">
        <v>46314.24593375943</v>
      </c>
      <c r="E364" s="4" t="n">
        <v>46314.24593375954</v>
      </c>
      <c r="F364" t="b">
        <v>1</v>
      </c>
      <c r="G364" t="n">
        <v/>
      </c>
      <c r="H364" t="inlineStr">
        <is>
          <t>NNUK</t>
        </is>
      </c>
      <c r="I364" t="inlineStr">
        <is>
          <t>Nanuk New World Fund Active ETF</t>
        </is>
      </c>
      <c r="J364" t="inlineStr">
        <is>
          <t>AUD</t>
        </is>
      </c>
      <c r="K364" s="5" t="inlineStr">
        <is>
          <t>01a152b9-6ee2-7577-bddd-382bc3853fde</t>
        </is>
      </c>
      <c r="M364" t="inlineStr">
        <is>
          <t>UNKNOWN</t>
        </is>
      </c>
      <c r="N364" t="inlineStr">
        <is>
          <t>DEFAULT</t>
        </is>
      </c>
      <c r="Q364" t="n">
        <v>0</v>
      </c>
      <c r="R364" t="inlineStr">
        <is>
          <t>AUD</t>
        </is>
      </c>
      <c r="S364" t="n">
        <v>0</v>
      </c>
      <c r="T364" t="inlineStr">
        <is>
          <t>AUD</t>
        </is>
      </c>
      <c r="U364" t="n">
        <v>0</v>
      </c>
    </row>
    <row r="365">
      <c r="A365" s="5" t="inlineStr">
        <is>
          <t>01a152b9-76a7-725d-b364-005f82deea8b</t>
        </is>
      </c>
      <c r="C365" s="5" t="inlineStr">
        <is>
          <t>01a152b9-6e67-75da-8adb-b03e5d07fd21</t>
        </is>
      </c>
      <c r="D365" s="4" t="n">
        <v>46314.24593379758</v>
      </c>
      <c r="E365" s="4" t="n">
        <v>46314.24593379768</v>
      </c>
      <c r="F365" t="b">
        <v>1</v>
      </c>
      <c r="G365" t="n">
        <v/>
      </c>
      <c r="H365" t="inlineStr">
        <is>
          <t>RIC</t>
        </is>
      </c>
      <c r="I365" t="inlineStr">
        <is>
          <t>Ridley Corporation Ltd</t>
        </is>
      </c>
      <c r="J365" t="inlineStr">
        <is>
          <t>AUD</t>
        </is>
      </c>
      <c r="K365" s="5" t="inlineStr">
        <is>
          <t>01a152b9-6ee2-7577-bddd-382bc3853fde</t>
        </is>
      </c>
      <c r="M365" t="inlineStr">
        <is>
          <t>UNKNOWN</t>
        </is>
      </c>
      <c r="N365" t="inlineStr">
        <is>
          <t>DEFAULT</t>
        </is>
      </c>
      <c r="Q365" t="n">
        <v>0</v>
      </c>
      <c r="R365" t="inlineStr">
        <is>
          <t>AUD</t>
        </is>
      </c>
      <c r="S365" t="n">
        <v>0</v>
      </c>
      <c r="T365" t="inlineStr">
        <is>
          <t>AUD</t>
        </is>
      </c>
      <c r="U365" t="n">
        <v>0</v>
      </c>
    </row>
    <row r="366">
      <c r="A366" s="5" t="inlineStr">
        <is>
          <t>01a152b9-76ab-7128-a305-1b8fbdcb8004</t>
        </is>
      </c>
      <c r="C366" s="5" t="inlineStr">
        <is>
          <t>01a152b9-6e67-75da-8adb-b03e5d07fd21</t>
        </is>
      </c>
      <c r="D366" s="4" t="n">
        <v>46314.24593383795</v>
      </c>
      <c r="E366" s="4" t="n">
        <v>46314.24593383812</v>
      </c>
      <c r="F366" t="b">
        <v>1</v>
      </c>
      <c r="G366" t="n">
        <v/>
      </c>
      <c r="H366" t="inlineStr">
        <is>
          <t>GLIN</t>
        </is>
      </c>
      <c r="I366" t="inlineStr">
        <is>
          <t>Ishares Ftse GBL Infrastructure (Aud Hedged) ETF</t>
        </is>
      </c>
      <c r="J366" t="inlineStr">
        <is>
          <t>AUD</t>
        </is>
      </c>
      <c r="K366" s="5" t="inlineStr">
        <is>
          <t>01a152b9-6ee2-7577-bddd-382bc3853fde</t>
        </is>
      </c>
      <c r="M366" t="inlineStr">
        <is>
          <t>UNKNOWN</t>
        </is>
      </c>
      <c r="N366" t="inlineStr">
        <is>
          <t>DEFAULT</t>
        </is>
      </c>
      <c r="Q366" t="n">
        <v>0</v>
      </c>
      <c r="R366" t="inlineStr">
        <is>
          <t>AUD</t>
        </is>
      </c>
      <c r="S366" t="n">
        <v>0</v>
      </c>
      <c r="T366" t="inlineStr">
        <is>
          <t>AUD</t>
        </is>
      </c>
      <c r="U366" t="n">
        <v>0</v>
      </c>
    </row>
    <row r="367">
      <c r="A367" s="5" t="inlineStr">
        <is>
          <t>01a152b9-76ae-76e5-b598-01d5c0e54c4d</t>
        </is>
      </c>
      <c r="C367" s="5" t="inlineStr">
        <is>
          <t>01a152b9-6e67-75da-8adb-b03e5d07fd21</t>
        </is>
      </c>
      <c r="D367" s="4" t="n">
        <v>46314.24593387412</v>
      </c>
      <c r="E367" s="4" t="n">
        <v>46314.24593387421</v>
      </c>
      <c r="F367" t="b">
        <v>1</v>
      </c>
      <c r="G367" t="n">
        <v/>
      </c>
      <c r="H367" t="inlineStr">
        <is>
          <t>AAC</t>
        </is>
      </c>
      <c r="I367" t="inlineStr">
        <is>
          <t>Australian Agricultural Company Ltd</t>
        </is>
      </c>
      <c r="J367" t="inlineStr">
        <is>
          <t>AUD</t>
        </is>
      </c>
      <c r="K367" s="5" t="inlineStr">
        <is>
          <t>01a152b9-6ee2-7577-bddd-382bc3853fde</t>
        </is>
      </c>
      <c r="M367" t="inlineStr">
        <is>
          <t>UNKNOWN</t>
        </is>
      </c>
      <c r="N367" t="inlineStr">
        <is>
          <t>DEFAULT</t>
        </is>
      </c>
      <c r="Q367" t="n">
        <v>0</v>
      </c>
      <c r="R367" t="inlineStr">
        <is>
          <t>AUD</t>
        </is>
      </c>
      <c r="S367" t="n">
        <v>0</v>
      </c>
      <c r="T367" t="inlineStr">
        <is>
          <t>AUD</t>
        </is>
      </c>
      <c r="U367" t="n">
        <v>0</v>
      </c>
    </row>
    <row r="368">
      <c r="A368" s="5" t="inlineStr">
        <is>
          <t>01a152b9-76b1-715c-9c62-6a4d0276ab9c</t>
        </is>
      </c>
      <c r="C368" s="5" t="inlineStr">
        <is>
          <t>01a152b9-6e67-75da-8adb-b03e5d07fd21</t>
        </is>
      </c>
      <c r="D368" s="4" t="n">
        <v>46314.24593391331</v>
      </c>
      <c r="E368" s="4" t="n">
        <v>46314.2459339134</v>
      </c>
      <c r="F368" t="b">
        <v>1</v>
      </c>
      <c r="G368" t="n">
        <v/>
      </c>
      <c r="H368" t="inlineStr">
        <is>
          <t>CKF</t>
        </is>
      </c>
      <c r="I368" t="inlineStr">
        <is>
          <t>Collins Foods Ltd</t>
        </is>
      </c>
      <c r="J368" t="inlineStr">
        <is>
          <t>AUD</t>
        </is>
      </c>
      <c r="K368" s="5" t="inlineStr">
        <is>
          <t>01a152b9-6ee2-7577-bddd-382bc3853fde</t>
        </is>
      </c>
      <c r="M368" t="inlineStr">
        <is>
          <t>UNKNOWN</t>
        </is>
      </c>
      <c r="N368" t="inlineStr">
        <is>
          <t>DEFAULT</t>
        </is>
      </c>
      <c r="Q368" t="n">
        <v>0</v>
      </c>
      <c r="R368" t="inlineStr">
        <is>
          <t>AUD</t>
        </is>
      </c>
      <c r="S368" t="n">
        <v>0</v>
      </c>
      <c r="T368" t="inlineStr">
        <is>
          <t>AUD</t>
        </is>
      </c>
      <c r="U368" t="n">
        <v>0</v>
      </c>
    </row>
    <row r="369">
      <c r="A369" s="5" t="inlineStr">
        <is>
          <t>01a152b9-76b5-7771-aacc-2f3ac0fd258f</t>
        </is>
      </c>
      <c r="C369" s="5" t="inlineStr">
        <is>
          <t>01a152b9-6e67-75da-8adb-b03e5d07fd21</t>
        </is>
      </c>
      <c r="D369" s="4" t="n">
        <v>46314.24593395476</v>
      </c>
      <c r="E369" s="4" t="n">
        <v>46314.24593395487</v>
      </c>
      <c r="F369" t="b">
        <v>1</v>
      </c>
      <c r="G369" t="n">
        <v/>
      </c>
      <c r="H369" t="inlineStr">
        <is>
          <t>AASF</t>
        </is>
      </c>
      <c r="I369" t="inlineStr">
        <is>
          <t>Airlie Australian Share Fund - Active ETF</t>
        </is>
      </c>
      <c r="J369" t="inlineStr">
        <is>
          <t>AUD</t>
        </is>
      </c>
      <c r="K369" s="5" t="inlineStr">
        <is>
          <t>01a152b9-6ee2-7577-bddd-382bc3853fde</t>
        </is>
      </c>
      <c r="M369" t="inlineStr">
        <is>
          <t>UNKNOWN</t>
        </is>
      </c>
      <c r="N369" t="inlineStr">
        <is>
          <t>DEFAULT</t>
        </is>
      </c>
      <c r="Q369" t="n">
        <v>0</v>
      </c>
      <c r="R369" t="inlineStr">
        <is>
          <t>AUD</t>
        </is>
      </c>
      <c r="S369" t="n">
        <v>0</v>
      </c>
      <c r="T369" t="inlineStr">
        <is>
          <t>AUD</t>
        </is>
      </c>
      <c r="U369" t="n">
        <v>0</v>
      </c>
    </row>
    <row r="370">
      <c r="A370" s="5" t="inlineStr">
        <is>
          <t>01a152b9-76b9-73e6-b4d7-d29f8a1cbe06</t>
        </is>
      </c>
      <c r="C370" s="5" t="inlineStr">
        <is>
          <t>01a152b9-6e67-75da-8adb-b03e5d07fd21</t>
        </is>
      </c>
      <c r="D370" s="4" t="n">
        <v>46314.24593399573</v>
      </c>
      <c r="E370" s="4" t="n">
        <v>46314.24593399584</v>
      </c>
      <c r="F370" t="b">
        <v>1</v>
      </c>
      <c r="G370" t="n">
        <v/>
      </c>
      <c r="H370" t="inlineStr">
        <is>
          <t>DJW</t>
        </is>
      </c>
      <c r="I370" t="inlineStr">
        <is>
          <t>Djerriwarrh Investments Ltd</t>
        </is>
      </c>
      <c r="J370" t="inlineStr">
        <is>
          <t>AUD</t>
        </is>
      </c>
      <c r="K370" s="5" t="inlineStr">
        <is>
          <t>01a152b9-6ee2-7577-bddd-382bc3853fde</t>
        </is>
      </c>
      <c r="M370" t="inlineStr">
        <is>
          <t>UNKNOWN</t>
        </is>
      </c>
      <c r="N370" t="inlineStr">
        <is>
          <t>DEFAULT</t>
        </is>
      </c>
      <c r="Q370" t="n">
        <v>0</v>
      </c>
      <c r="R370" t="inlineStr">
        <is>
          <t>AUD</t>
        </is>
      </c>
      <c r="S370" t="n">
        <v>0</v>
      </c>
      <c r="T370" t="inlineStr">
        <is>
          <t>AUD</t>
        </is>
      </c>
      <c r="U370" t="n">
        <v>0</v>
      </c>
    </row>
    <row r="371">
      <c r="A371" s="5" t="inlineStr">
        <is>
          <t>01a152b9-76bc-7515-b35a-4f324be9fb7f</t>
        </is>
      </c>
      <c r="C371" s="5" t="inlineStr">
        <is>
          <t>01a152b9-6e67-75da-8adb-b03e5d07fd21</t>
        </is>
      </c>
      <c r="D371" s="4" t="n">
        <v>46314.24593403401</v>
      </c>
      <c r="E371" s="4" t="n">
        <v>46314.24593403411</v>
      </c>
      <c r="F371" t="b">
        <v>1</v>
      </c>
      <c r="G371" t="n">
        <v/>
      </c>
      <c r="H371" t="inlineStr">
        <is>
          <t>VIF</t>
        </is>
      </c>
      <c r="I371" t="inlineStr">
        <is>
          <t>Vanguard International Fixed Interest INDEX (Hedged) ETF</t>
        </is>
      </c>
      <c r="J371" t="inlineStr">
        <is>
          <t>AUD</t>
        </is>
      </c>
      <c r="K371" s="5" t="inlineStr">
        <is>
          <t>01a152b9-6ee2-7577-bddd-382bc3853fde</t>
        </is>
      </c>
      <c r="M371" t="inlineStr">
        <is>
          <t>UNKNOWN</t>
        </is>
      </c>
      <c r="N371" t="inlineStr">
        <is>
          <t>DEFAULT</t>
        </is>
      </c>
      <c r="Q371" t="n">
        <v>0</v>
      </c>
      <c r="R371" t="inlineStr">
        <is>
          <t>AUD</t>
        </is>
      </c>
      <c r="S371" t="n">
        <v>0</v>
      </c>
      <c r="T371" t="inlineStr">
        <is>
          <t>AUD</t>
        </is>
      </c>
      <c r="U371" t="n">
        <v>0</v>
      </c>
    </row>
    <row r="372">
      <c r="A372" s="5" t="inlineStr">
        <is>
          <t>01a152b9-76bf-71d7-8e71-b085629ade39</t>
        </is>
      </c>
      <c r="C372" s="5" t="inlineStr">
        <is>
          <t>01a152b9-6e67-75da-8adb-b03e5d07fd21</t>
        </is>
      </c>
      <c r="D372" s="4" t="n">
        <v>46314.24593407373</v>
      </c>
      <c r="E372" s="4" t="n">
        <v>46314.24593407382</v>
      </c>
      <c r="F372" t="b">
        <v>1</v>
      </c>
      <c r="G372" t="n">
        <v/>
      </c>
      <c r="H372" t="inlineStr">
        <is>
          <t>BOT</t>
        </is>
      </c>
      <c r="I372" t="inlineStr">
        <is>
          <t>Botanix Pharmaceuticals Ltd</t>
        </is>
      </c>
      <c r="J372" t="inlineStr">
        <is>
          <t>AUD</t>
        </is>
      </c>
      <c r="K372" s="5" t="inlineStr">
        <is>
          <t>01a152b9-6ee2-7577-bddd-382bc3853fde</t>
        </is>
      </c>
      <c r="M372" t="inlineStr">
        <is>
          <t>UNKNOWN</t>
        </is>
      </c>
      <c r="N372" t="inlineStr">
        <is>
          <t>DEFAULT</t>
        </is>
      </c>
      <c r="Q372" t="n">
        <v>0</v>
      </c>
      <c r="R372" t="inlineStr">
        <is>
          <t>AUD</t>
        </is>
      </c>
      <c r="S372" t="n">
        <v>0</v>
      </c>
      <c r="T372" t="inlineStr">
        <is>
          <t>AUD</t>
        </is>
      </c>
      <c r="U372" t="n">
        <v>0</v>
      </c>
    </row>
    <row r="373">
      <c r="A373" s="5" t="inlineStr">
        <is>
          <t>01a152b9-76c3-74e4-9db3-11f344bf1298</t>
        </is>
      </c>
      <c r="C373" s="5" t="inlineStr">
        <is>
          <t>01a152b9-6e67-75da-8adb-b03e5d07fd21</t>
        </is>
      </c>
      <c r="D373" s="4" t="n">
        <v>46314.2459341115</v>
      </c>
      <c r="E373" s="4" t="n">
        <v>46314.2459341116</v>
      </c>
      <c r="F373" t="b">
        <v>1</v>
      </c>
      <c r="G373" t="n">
        <v/>
      </c>
      <c r="H373" t="inlineStr">
        <is>
          <t>MYR</t>
        </is>
      </c>
      <c r="I373" t="inlineStr">
        <is>
          <t>Myer Holdings Ltd</t>
        </is>
      </c>
      <c r="J373" t="inlineStr">
        <is>
          <t>AUD</t>
        </is>
      </c>
      <c r="K373" s="5" t="inlineStr">
        <is>
          <t>01a152b9-6ee2-7577-bddd-382bc3853fde</t>
        </is>
      </c>
      <c r="M373" t="inlineStr">
        <is>
          <t>UNKNOWN</t>
        </is>
      </c>
      <c r="N373" t="inlineStr">
        <is>
          <t>DEFAULT</t>
        </is>
      </c>
      <c r="Q373" t="n">
        <v>0</v>
      </c>
      <c r="R373" t="inlineStr">
        <is>
          <t>AUD</t>
        </is>
      </c>
      <c r="S373" t="n">
        <v>0</v>
      </c>
      <c r="T373" t="inlineStr">
        <is>
          <t>AUD</t>
        </is>
      </c>
      <c r="U373" t="n">
        <v>0</v>
      </c>
    </row>
    <row r="374">
      <c r="A374" s="5" t="inlineStr">
        <is>
          <t>01a152b9-76c6-7236-84fb-27d2753ee65d</t>
        </is>
      </c>
      <c r="C374" s="5" t="inlineStr">
        <is>
          <t>01a152b9-6e67-75da-8adb-b03e5d07fd21</t>
        </is>
      </c>
      <c r="D374" s="4" t="n">
        <v>46314.2459341517</v>
      </c>
      <c r="E374" s="4" t="n">
        <v>46314.2459341518</v>
      </c>
      <c r="F374" t="b">
        <v>1</v>
      </c>
      <c r="G374" t="n">
        <v/>
      </c>
      <c r="H374" t="inlineStr">
        <is>
          <t>CIN</t>
        </is>
      </c>
      <c r="I374" t="inlineStr">
        <is>
          <t>Carlton Investments Ltd</t>
        </is>
      </c>
      <c r="J374" t="inlineStr">
        <is>
          <t>AUD</t>
        </is>
      </c>
      <c r="K374" s="5" t="inlineStr">
        <is>
          <t>01a152b9-6ee2-7577-bddd-382bc3853fde</t>
        </is>
      </c>
      <c r="M374" t="inlineStr">
        <is>
          <t>COMPANY</t>
        </is>
      </c>
      <c r="N374" t="inlineStr">
        <is>
          <t>SUGGESTED</t>
        </is>
      </c>
      <c r="Q374" t="n">
        <v>0</v>
      </c>
      <c r="R374" t="inlineStr">
        <is>
          <t>AUD</t>
        </is>
      </c>
      <c r="S374" t="n">
        <v>0</v>
      </c>
      <c r="T374" t="inlineStr">
        <is>
          <t>AUD</t>
        </is>
      </c>
      <c r="U374" t="n">
        <v>0</v>
      </c>
    </row>
    <row r="375">
      <c r="A375" s="5" t="inlineStr">
        <is>
          <t>01a152b9-76ca-7275-b25b-aeeb58c44916</t>
        </is>
      </c>
      <c r="C375" s="5" t="inlineStr">
        <is>
          <t>01a152b9-6e67-75da-8adb-b03e5d07fd21</t>
        </is>
      </c>
      <c r="D375" s="4" t="n">
        <v>46314.24593419383</v>
      </c>
      <c r="E375" s="4" t="n">
        <v>46314.24593419392</v>
      </c>
      <c r="F375" t="b">
        <v>1</v>
      </c>
      <c r="G375" t="n">
        <v/>
      </c>
      <c r="H375" t="inlineStr">
        <is>
          <t>IAA</t>
        </is>
      </c>
      <c r="I375" t="inlineStr">
        <is>
          <t>Ishares Asia 50 ETF</t>
        </is>
      </c>
      <c r="J375" t="inlineStr">
        <is>
          <t>AUD</t>
        </is>
      </c>
      <c r="K375" s="5" t="inlineStr">
        <is>
          <t>01a152b9-6ee2-7577-bddd-382bc3853fde</t>
        </is>
      </c>
      <c r="M375" t="inlineStr">
        <is>
          <t>UNIT_TRUST</t>
        </is>
      </c>
      <c r="N375" t="inlineStr">
        <is>
          <t>SUGGESTED</t>
        </is>
      </c>
      <c r="Q375" t="n">
        <v>0</v>
      </c>
      <c r="R375" t="inlineStr">
        <is>
          <t>AUD</t>
        </is>
      </c>
      <c r="S375" t="n">
        <v>0</v>
      </c>
      <c r="T375" t="inlineStr">
        <is>
          <t>AUD</t>
        </is>
      </c>
      <c r="U375" t="n">
        <v>0</v>
      </c>
    </row>
    <row r="376">
      <c r="A376" s="5" t="inlineStr">
        <is>
          <t>01a152b9-76cd-771b-a2ef-61c0c9406fed</t>
        </is>
      </c>
      <c r="C376" s="5" t="inlineStr">
        <is>
          <t>01a152b9-6e67-75da-8adb-b03e5d07fd21</t>
        </is>
      </c>
      <c r="D376" s="4" t="n">
        <v>46314.24593423454</v>
      </c>
      <c r="E376" s="4" t="n">
        <v>46314.24593423463</v>
      </c>
      <c r="F376" t="b">
        <v>1</v>
      </c>
      <c r="G376" t="n">
        <v/>
      </c>
      <c r="H376" t="inlineStr">
        <is>
          <t>PWH</t>
        </is>
      </c>
      <c r="I376" t="inlineStr">
        <is>
          <t>PWR Holdings Ltd</t>
        </is>
      </c>
      <c r="J376" t="inlineStr">
        <is>
          <t>AUD</t>
        </is>
      </c>
      <c r="K376" s="5" t="inlineStr">
        <is>
          <t>01a152b9-6ee2-7577-bddd-382bc3853fde</t>
        </is>
      </c>
      <c r="M376" t="inlineStr">
        <is>
          <t>UNKNOWN</t>
        </is>
      </c>
      <c r="N376" t="inlineStr">
        <is>
          <t>DEFAULT</t>
        </is>
      </c>
      <c r="Q376" t="n">
        <v>0</v>
      </c>
      <c r="R376" t="inlineStr">
        <is>
          <t>AUD</t>
        </is>
      </c>
      <c r="S376" t="n">
        <v>0</v>
      </c>
      <c r="T376" t="inlineStr">
        <is>
          <t>AUD</t>
        </is>
      </c>
      <c r="U376" t="n">
        <v>0</v>
      </c>
    </row>
    <row r="377">
      <c r="A377" s="5" t="inlineStr">
        <is>
          <t>01a152b9-76d0-7546-96b2-2f140f8bc104</t>
        </is>
      </c>
      <c r="C377" s="5" t="inlineStr">
        <is>
          <t>01a152b9-6e67-75da-8adb-b03e5d07fd21</t>
        </is>
      </c>
      <c r="D377" s="4" t="n">
        <v>46314.2459342712</v>
      </c>
      <c r="E377" s="4" t="n">
        <v>46314.24593427128</v>
      </c>
      <c r="F377" t="b">
        <v>1</v>
      </c>
      <c r="G377" t="n">
        <v/>
      </c>
      <c r="H377" t="inlineStr">
        <is>
          <t>PGC</t>
        </is>
      </c>
      <c r="I377" t="inlineStr">
        <is>
          <t>Paragon Care Ltd</t>
        </is>
      </c>
      <c r="J377" t="inlineStr">
        <is>
          <t>AUD</t>
        </is>
      </c>
      <c r="K377" s="5" t="inlineStr">
        <is>
          <t>01a152b9-6ee2-7577-bddd-382bc3853fde</t>
        </is>
      </c>
      <c r="M377" t="inlineStr">
        <is>
          <t>UNKNOWN</t>
        </is>
      </c>
      <c r="N377" t="inlineStr">
        <is>
          <t>DEFAULT</t>
        </is>
      </c>
      <c r="Q377" t="n">
        <v>0</v>
      </c>
      <c r="R377" t="inlineStr">
        <is>
          <t>AUD</t>
        </is>
      </c>
      <c r="S377" t="n">
        <v>0</v>
      </c>
      <c r="T377" t="inlineStr">
        <is>
          <t>AUD</t>
        </is>
      </c>
      <c r="U377" t="n">
        <v>0</v>
      </c>
    </row>
    <row r="378">
      <c r="A378" s="5" t="inlineStr">
        <is>
          <t>01a152b9-76d3-7485-a068-b439dfcf5ff9</t>
        </is>
      </c>
      <c r="C378" s="5" t="inlineStr">
        <is>
          <t>01a152b9-6e67-75da-8adb-b03e5d07fd21</t>
        </is>
      </c>
      <c r="D378" s="4" t="n">
        <v>46314.24593430573</v>
      </c>
      <c r="E378" s="4" t="n">
        <v>46314.24593430582</v>
      </c>
      <c r="F378" t="b">
        <v>1</v>
      </c>
      <c r="G378" t="n">
        <v/>
      </c>
      <c r="H378" t="inlineStr">
        <is>
          <t>WGB</t>
        </is>
      </c>
      <c r="I378" t="inlineStr">
        <is>
          <t>Wam Global Ltd</t>
        </is>
      </c>
      <c r="J378" t="inlineStr">
        <is>
          <t>AUD</t>
        </is>
      </c>
      <c r="K378" s="5" t="inlineStr">
        <is>
          <t>01a152b9-6ee2-7577-bddd-382bc3853fde</t>
        </is>
      </c>
      <c r="M378" t="inlineStr">
        <is>
          <t>COMPANY</t>
        </is>
      </c>
      <c r="N378" t="inlineStr">
        <is>
          <t>SUGGESTED</t>
        </is>
      </c>
      <c r="Q378" t="n">
        <v>0</v>
      </c>
      <c r="R378" t="inlineStr">
        <is>
          <t>AUD</t>
        </is>
      </c>
      <c r="S378" t="n">
        <v>0</v>
      </c>
      <c r="T378" t="inlineStr">
        <is>
          <t>AUD</t>
        </is>
      </c>
      <c r="U378" t="n">
        <v>0</v>
      </c>
    </row>
    <row r="379">
      <c r="A379" s="5" t="inlineStr">
        <is>
          <t>01a152b9-76d7-7736-af1a-37dfc77690b4</t>
        </is>
      </c>
      <c r="C379" s="5" t="inlineStr">
        <is>
          <t>01a152b9-6e67-75da-8adb-b03e5d07fd21</t>
        </is>
      </c>
      <c r="D379" s="4" t="n">
        <v>46314.24593434981</v>
      </c>
      <c r="E379" s="4" t="n">
        <v>46314.24593434991</v>
      </c>
      <c r="F379" t="b">
        <v>1</v>
      </c>
      <c r="G379" t="n">
        <v/>
      </c>
      <c r="H379" t="inlineStr">
        <is>
          <t>MQGPF</t>
        </is>
      </c>
      <c r="I379" t="inlineStr">
        <is>
          <t>Macquarie Group Ltd</t>
        </is>
      </c>
      <c r="J379" t="inlineStr">
        <is>
          <t>AUD</t>
        </is>
      </c>
      <c r="K379" s="5" t="inlineStr">
        <is>
          <t>01a152b9-6ee2-7577-bddd-382bc3853fde</t>
        </is>
      </c>
      <c r="M379" t="inlineStr">
        <is>
          <t>UNKNOWN</t>
        </is>
      </c>
      <c r="N379" t="inlineStr">
        <is>
          <t>DEFAULT</t>
        </is>
      </c>
      <c r="Q379" t="n">
        <v>0</v>
      </c>
      <c r="R379" t="inlineStr">
        <is>
          <t>AUD</t>
        </is>
      </c>
      <c r="S379" t="n">
        <v>0</v>
      </c>
      <c r="T379" t="inlineStr">
        <is>
          <t>AUD</t>
        </is>
      </c>
      <c r="U379" t="n">
        <v>0</v>
      </c>
    </row>
    <row r="380">
      <c r="A380" s="5" t="inlineStr">
        <is>
          <t>01a152b9-76da-76d5-b72f-f0fc69209e19</t>
        </is>
      </c>
      <c r="C380" s="5" t="inlineStr">
        <is>
          <t>01a152b9-6e67-75da-8adb-b03e5d07fd21</t>
        </is>
      </c>
      <c r="D380" s="4" t="n">
        <v>46314.24593438493</v>
      </c>
      <c r="E380" s="4" t="n">
        <v>46314.24593438504</v>
      </c>
      <c r="F380" t="b">
        <v>1</v>
      </c>
      <c r="G380" t="n">
        <v/>
      </c>
      <c r="H380" t="inlineStr">
        <is>
          <t>CYL</t>
        </is>
      </c>
      <c r="I380" t="inlineStr">
        <is>
          <t>Catalyst Metals Ltd</t>
        </is>
      </c>
      <c r="J380" t="inlineStr">
        <is>
          <t>AUD</t>
        </is>
      </c>
      <c r="K380" s="5" t="inlineStr">
        <is>
          <t>01a152b9-6ee2-7577-bddd-382bc3853fde</t>
        </is>
      </c>
      <c r="M380" t="inlineStr">
        <is>
          <t>UNKNOWN</t>
        </is>
      </c>
      <c r="N380" t="inlineStr">
        <is>
          <t>DEFAULT</t>
        </is>
      </c>
      <c r="Q380" t="n">
        <v>0</v>
      </c>
      <c r="R380" t="inlineStr">
        <is>
          <t>AUD</t>
        </is>
      </c>
      <c r="S380" t="n">
        <v>0</v>
      </c>
      <c r="T380" t="inlineStr">
        <is>
          <t>AUD</t>
        </is>
      </c>
      <c r="U380" t="n">
        <v>0</v>
      </c>
    </row>
    <row r="381">
      <c r="A381" s="5" t="inlineStr">
        <is>
          <t>01a152b9-76de-77df-9058-46de78683e93</t>
        </is>
      </c>
      <c r="C381" s="5" t="inlineStr">
        <is>
          <t>01a152b9-6e67-75da-8adb-b03e5d07fd21</t>
        </is>
      </c>
      <c r="D381" s="4" t="n">
        <v>46314.24593442497</v>
      </c>
      <c r="E381" s="4" t="n">
        <v>46314.24593442507</v>
      </c>
      <c r="F381" t="b">
        <v>1</v>
      </c>
      <c r="G381" t="n">
        <v/>
      </c>
      <c r="H381" t="inlineStr">
        <is>
          <t>JIN</t>
        </is>
      </c>
      <c r="I381" t="inlineStr">
        <is>
          <t>Jumbo Interactive Ltd</t>
        </is>
      </c>
      <c r="J381" t="inlineStr">
        <is>
          <t>AUD</t>
        </is>
      </c>
      <c r="K381" s="5" t="inlineStr">
        <is>
          <t>01a152b9-6ee2-7577-bddd-382bc3853fde</t>
        </is>
      </c>
      <c r="M381" t="inlineStr">
        <is>
          <t>UNKNOWN</t>
        </is>
      </c>
      <c r="N381" t="inlineStr">
        <is>
          <t>DEFAULT</t>
        </is>
      </c>
      <c r="Q381" t="n">
        <v>0</v>
      </c>
      <c r="R381" t="inlineStr">
        <is>
          <t>AUD</t>
        </is>
      </c>
      <c r="S381" t="n">
        <v>0</v>
      </c>
      <c r="T381" t="inlineStr">
        <is>
          <t>AUD</t>
        </is>
      </c>
      <c r="U381" t="n">
        <v>0</v>
      </c>
    </row>
    <row r="382">
      <c r="A382" s="5" t="inlineStr">
        <is>
          <t>01a152b9-76e1-74a2-bfa8-0cf886bd9797</t>
        </is>
      </c>
      <c r="C382" s="5" t="inlineStr">
        <is>
          <t>01a152b9-6e67-75da-8adb-b03e5d07fd21</t>
        </is>
      </c>
      <c r="D382" s="4" t="n">
        <v>46314.2459344627</v>
      </c>
      <c r="E382" s="4" t="n">
        <v>46314.2459344628</v>
      </c>
      <c r="F382" t="b">
        <v>1</v>
      </c>
      <c r="G382" t="n">
        <v/>
      </c>
      <c r="H382" t="inlineStr">
        <is>
          <t>PFP</t>
        </is>
      </c>
      <c r="I382" t="inlineStr">
        <is>
          <t>Propel Funeral Partners Ltd</t>
        </is>
      </c>
      <c r="J382" t="inlineStr">
        <is>
          <t>AUD</t>
        </is>
      </c>
      <c r="K382" s="5" t="inlineStr">
        <is>
          <t>01a152b9-6ee2-7577-bddd-382bc3853fde</t>
        </is>
      </c>
      <c r="M382" t="inlineStr">
        <is>
          <t>UNKNOWN</t>
        </is>
      </c>
      <c r="N382" t="inlineStr">
        <is>
          <t>DEFAULT</t>
        </is>
      </c>
      <c r="Q382" t="n">
        <v>0</v>
      </c>
      <c r="R382" t="inlineStr">
        <is>
          <t>AUD</t>
        </is>
      </c>
      <c r="S382" t="n">
        <v>0</v>
      </c>
      <c r="T382" t="inlineStr">
        <is>
          <t>AUD</t>
        </is>
      </c>
      <c r="U382" t="n">
        <v>0</v>
      </c>
    </row>
    <row r="383">
      <c r="A383" s="5" t="inlineStr">
        <is>
          <t>01a152b9-76e5-74f5-abc9-9b232874d265</t>
        </is>
      </c>
      <c r="C383" s="5" t="inlineStr">
        <is>
          <t>01a152b9-6e67-75da-8adb-b03e5d07fd21</t>
        </is>
      </c>
      <c r="D383" s="4" t="n">
        <v>46314.24593450539</v>
      </c>
      <c r="E383" s="4" t="n">
        <v>46314.24593450551</v>
      </c>
      <c r="F383" t="b">
        <v>1</v>
      </c>
      <c r="G383" t="n">
        <v/>
      </c>
      <c r="H383" t="inlineStr">
        <is>
          <t>NGI</t>
        </is>
      </c>
      <c r="I383" t="inlineStr">
        <is>
          <t>Navigator Global Investments Ltd</t>
        </is>
      </c>
      <c r="J383" t="inlineStr">
        <is>
          <t>AUD</t>
        </is>
      </c>
      <c r="K383" s="5" t="inlineStr">
        <is>
          <t>01a152b9-6ee2-7577-bddd-382bc3853fde</t>
        </is>
      </c>
      <c r="M383" t="inlineStr">
        <is>
          <t>UNKNOWN</t>
        </is>
      </c>
      <c r="N383" t="inlineStr">
        <is>
          <t>DEFAULT</t>
        </is>
      </c>
      <c r="Q383" t="n">
        <v>0</v>
      </c>
      <c r="R383" t="inlineStr">
        <is>
          <t>AUD</t>
        </is>
      </c>
      <c r="S383" t="n">
        <v>0</v>
      </c>
      <c r="T383" t="inlineStr">
        <is>
          <t>AUD</t>
        </is>
      </c>
      <c r="U383" t="n">
        <v>0</v>
      </c>
    </row>
    <row r="384">
      <c r="A384" s="5" t="inlineStr">
        <is>
          <t>01a152b9-76e8-7203-a5d6-59c558128b32</t>
        </is>
      </c>
      <c r="C384" s="5" t="inlineStr">
        <is>
          <t>01a152b9-6e67-75da-8adb-b03e5d07fd21</t>
        </is>
      </c>
      <c r="D384" s="4" t="n">
        <v>46314.24593454515</v>
      </c>
      <c r="E384" s="4" t="n">
        <v>46314.24593454528</v>
      </c>
      <c r="F384" t="b">
        <v>1</v>
      </c>
      <c r="G384" t="n">
        <v/>
      </c>
      <c r="H384" t="inlineStr">
        <is>
          <t>BCI</t>
        </is>
      </c>
      <c r="I384" t="inlineStr">
        <is>
          <t>BCI Minerals Ltd</t>
        </is>
      </c>
      <c r="J384" t="inlineStr">
        <is>
          <t>AUD</t>
        </is>
      </c>
      <c r="K384" s="5" t="inlineStr">
        <is>
          <t>01a152b9-6ee2-7577-bddd-382bc3853fde</t>
        </is>
      </c>
      <c r="M384" t="inlineStr">
        <is>
          <t>UNKNOWN</t>
        </is>
      </c>
      <c r="N384" t="inlineStr">
        <is>
          <t>DEFAULT</t>
        </is>
      </c>
      <c r="Q384" t="n">
        <v>0</v>
      </c>
      <c r="R384" t="inlineStr">
        <is>
          <t>AUD</t>
        </is>
      </c>
      <c r="S384" t="n">
        <v>0</v>
      </c>
      <c r="T384" t="inlineStr">
        <is>
          <t>AUD</t>
        </is>
      </c>
      <c r="U384" t="n">
        <v>0</v>
      </c>
    </row>
    <row r="385">
      <c r="A385" s="5" t="inlineStr">
        <is>
          <t>01a152b9-76eb-730c-9e6e-7a0fea37e599</t>
        </is>
      </c>
      <c r="C385" s="5" t="inlineStr">
        <is>
          <t>01a152b9-6e67-75da-8adb-b03e5d07fd21</t>
        </is>
      </c>
      <c r="D385" s="4" t="n">
        <v>46314.245934584</v>
      </c>
      <c r="E385" s="4" t="n">
        <v>46314.24593458412</v>
      </c>
      <c r="F385" t="b">
        <v>1</v>
      </c>
      <c r="G385" t="n">
        <v/>
      </c>
      <c r="H385" t="inlineStr">
        <is>
          <t>QAL</t>
        </is>
      </c>
      <c r="I385" t="inlineStr">
        <is>
          <t>Qualitas Ltd</t>
        </is>
      </c>
      <c r="J385" t="inlineStr">
        <is>
          <t>AUD</t>
        </is>
      </c>
      <c r="K385" s="5" t="inlineStr">
        <is>
          <t>01a152b9-6ee2-7577-bddd-382bc3853fde</t>
        </is>
      </c>
      <c r="M385" t="inlineStr">
        <is>
          <t>UNKNOWN</t>
        </is>
      </c>
      <c r="N385" t="inlineStr">
        <is>
          <t>DEFAULT</t>
        </is>
      </c>
      <c r="Q385" t="n">
        <v>0</v>
      </c>
      <c r="R385" t="inlineStr">
        <is>
          <t>AUD</t>
        </is>
      </c>
      <c r="S385" t="n">
        <v>0</v>
      </c>
      <c r="T385" t="inlineStr">
        <is>
          <t>AUD</t>
        </is>
      </c>
      <c r="U385" t="n">
        <v>0</v>
      </c>
    </row>
    <row r="386">
      <c r="A386" s="5" t="inlineStr">
        <is>
          <t>01a152b9-76ef-73f4-ac4e-cbf1ab8cc259</t>
        </is>
      </c>
      <c r="C386" s="5" t="inlineStr">
        <is>
          <t>01a152b9-6e67-75da-8adb-b03e5d07fd21</t>
        </is>
      </c>
      <c r="D386" s="4" t="n">
        <v>46314.24593462955</v>
      </c>
      <c r="E386" s="4" t="n">
        <v>46314.24593462969</v>
      </c>
      <c r="F386" t="b">
        <v>1</v>
      </c>
      <c r="G386" t="n">
        <v/>
      </c>
      <c r="H386" t="inlineStr">
        <is>
          <t>BNDS</t>
        </is>
      </c>
      <c r="I386" t="inlineStr">
        <is>
          <t>Betashares Western Asset Aus Bond Active ETF</t>
        </is>
      </c>
      <c r="J386" t="inlineStr">
        <is>
          <t>AUD</t>
        </is>
      </c>
      <c r="K386" s="5" t="inlineStr">
        <is>
          <t>01a152b9-6ee2-7577-bddd-382bc3853fde</t>
        </is>
      </c>
      <c r="M386" t="inlineStr">
        <is>
          <t>UNKNOWN</t>
        </is>
      </c>
      <c r="N386" t="inlineStr">
        <is>
          <t>DEFAULT</t>
        </is>
      </c>
      <c r="Q386" t="n">
        <v>0</v>
      </c>
      <c r="R386" t="inlineStr">
        <is>
          <t>AUD</t>
        </is>
      </c>
      <c r="S386" t="n">
        <v>0</v>
      </c>
      <c r="T386" t="inlineStr">
        <is>
          <t>AUD</t>
        </is>
      </c>
      <c r="U386" t="n">
        <v>0</v>
      </c>
    </row>
    <row r="387">
      <c r="A387" s="5" t="inlineStr">
        <is>
          <t>01a152b9-76f3-7124-97bc-d44c8af095ff</t>
        </is>
      </c>
      <c r="C387" s="5" t="inlineStr">
        <is>
          <t>01a152b9-6e67-75da-8adb-b03e5d07fd21</t>
        </is>
      </c>
      <c r="D387" s="4" t="n">
        <v>46314.24593467548</v>
      </c>
      <c r="E387" s="4" t="n">
        <v>46314.24593467565</v>
      </c>
      <c r="F387" t="b">
        <v>1</v>
      </c>
      <c r="G387" t="n">
        <v/>
      </c>
      <c r="H387" t="inlineStr">
        <is>
          <t>IJR</t>
        </is>
      </c>
      <c r="I387" t="inlineStr">
        <is>
          <t>Ishares S&amp;P Small-Cap ETF</t>
        </is>
      </c>
      <c r="J387" t="inlineStr">
        <is>
          <t>AUD</t>
        </is>
      </c>
      <c r="K387" s="5" t="inlineStr">
        <is>
          <t>01a152b9-6ee2-7577-bddd-382bc3853fde</t>
        </is>
      </c>
      <c r="M387" t="inlineStr">
        <is>
          <t>UNKNOWN</t>
        </is>
      </c>
      <c r="N387" t="inlineStr">
        <is>
          <t>DEFAULT</t>
        </is>
      </c>
      <c r="Q387" t="n">
        <v>0</v>
      </c>
      <c r="R387" t="inlineStr">
        <is>
          <t>AUD</t>
        </is>
      </c>
      <c r="S387" t="n">
        <v>0</v>
      </c>
      <c r="T387" t="inlineStr">
        <is>
          <t>AUD</t>
        </is>
      </c>
      <c r="U387" t="n">
        <v>0</v>
      </c>
    </row>
    <row r="388">
      <c r="A388" s="5" t="inlineStr">
        <is>
          <t>01a152b9-76f8-770f-a617-9defe617eae2</t>
        </is>
      </c>
      <c r="C388" s="5" t="inlineStr">
        <is>
          <t>01a152b9-6e67-75da-8adb-b03e5d07fd21</t>
        </is>
      </c>
      <c r="D388" s="4" t="n">
        <v>46314.24593472525</v>
      </c>
      <c r="E388" s="4" t="n">
        <v>46314.24593472538</v>
      </c>
      <c r="F388" t="b">
        <v>1</v>
      </c>
      <c r="G388" t="n">
        <v/>
      </c>
      <c r="H388" t="inlineStr">
        <is>
          <t>QRI</t>
        </is>
      </c>
      <c r="I388" t="inlineStr">
        <is>
          <t>Qualitas Real Estate Income Fund</t>
        </is>
      </c>
      <c r="J388" t="inlineStr">
        <is>
          <t>AUD</t>
        </is>
      </c>
      <c r="K388" s="5" t="inlineStr">
        <is>
          <t>01a152b9-6ee2-7577-bddd-382bc3853fde</t>
        </is>
      </c>
      <c r="M388" t="inlineStr">
        <is>
          <t>UNKNOWN</t>
        </is>
      </c>
      <c r="N388" t="inlineStr">
        <is>
          <t>DEFAULT</t>
        </is>
      </c>
      <c r="Q388" t="n">
        <v>0</v>
      </c>
      <c r="R388" t="inlineStr">
        <is>
          <t>AUD</t>
        </is>
      </c>
      <c r="S388" t="n">
        <v>0</v>
      </c>
      <c r="T388" t="inlineStr">
        <is>
          <t>AUD</t>
        </is>
      </c>
      <c r="U388" t="n">
        <v>0</v>
      </c>
    </row>
    <row r="389">
      <c r="A389" s="5" t="inlineStr">
        <is>
          <t>01a152b9-76fb-70b3-b7a0-4588961a6104</t>
        </is>
      </c>
      <c r="C389" s="5" t="inlineStr">
        <is>
          <t>01a152b9-6e67-75da-8adb-b03e5d07fd21</t>
        </is>
      </c>
      <c r="D389" s="4" t="n">
        <v>46314.24593476057</v>
      </c>
      <c r="E389" s="4" t="n">
        <v>46314.24593476069</v>
      </c>
      <c r="F389" t="b">
        <v>1</v>
      </c>
      <c r="G389" t="n">
        <v/>
      </c>
      <c r="H389" t="inlineStr">
        <is>
          <t>BRN</t>
        </is>
      </c>
      <c r="I389" t="inlineStr">
        <is>
          <t>Brainchip Holdings Ltd</t>
        </is>
      </c>
      <c r="J389" t="inlineStr">
        <is>
          <t>AUD</t>
        </is>
      </c>
      <c r="K389" s="5" t="inlineStr">
        <is>
          <t>01a152b9-6ee2-7577-bddd-382bc3853fde</t>
        </is>
      </c>
      <c r="M389" t="inlineStr">
        <is>
          <t>UNKNOWN</t>
        </is>
      </c>
      <c r="N389" t="inlineStr">
        <is>
          <t>DEFAULT</t>
        </is>
      </c>
      <c r="Q389" t="n">
        <v>0</v>
      </c>
      <c r="R389" t="inlineStr">
        <is>
          <t>AUD</t>
        </is>
      </c>
      <c r="S389" t="n">
        <v>0</v>
      </c>
      <c r="T389" t="inlineStr">
        <is>
          <t>AUD</t>
        </is>
      </c>
      <c r="U389" t="n">
        <v>0</v>
      </c>
    </row>
    <row r="390">
      <c r="A390" s="5" t="inlineStr">
        <is>
          <t>01a152b9-76fe-75f9-b386-495927f54b73</t>
        </is>
      </c>
      <c r="C390" s="5" t="inlineStr">
        <is>
          <t>01a152b9-6e67-75da-8adb-b03e5d07fd21</t>
        </is>
      </c>
      <c r="D390" s="4" t="n">
        <v>46314.24593480403</v>
      </c>
      <c r="E390" s="4" t="n">
        <v>46314.24593480415</v>
      </c>
      <c r="F390" t="b">
        <v>1</v>
      </c>
      <c r="G390" t="n">
        <v/>
      </c>
      <c r="H390" t="inlineStr">
        <is>
          <t>QUS</t>
        </is>
      </c>
      <c r="I390" t="inlineStr">
        <is>
          <t>Betashares S&amp;P 500 EQUAL Weight ETF</t>
        </is>
      </c>
      <c r="J390" t="inlineStr">
        <is>
          <t>AUD</t>
        </is>
      </c>
      <c r="K390" s="5" t="inlineStr">
        <is>
          <t>01a152b9-6ee2-7577-bddd-382bc3853fde</t>
        </is>
      </c>
      <c r="M390" t="inlineStr">
        <is>
          <t>UNKNOWN</t>
        </is>
      </c>
      <c r="N390" t="inlineStr">
        <is>
          <t>DEFAULT</t>
        </is>
      </c>
      <c r="Q390" t="n">
        <v>0</v>
      </c>
      <c r="R390" t="inlineStr">
        <is>
          <t>AUD</t>
        </is>
      </c>
      <c r="S390" t="n">
        <v>0</v>
      </c>
      <c r="T390" t="inlineStr">
        <is>
          <t>AUD</t>
        </is>
      </c>
      <c r="U390" t="n">
        <v>0</v>
      </c>
    </row>
    <row r="391">
      <c r="A391" s="5" t="inlineStr">
        <is>
          <t>01a152b9-7702-7339-9a3d-cb05362813f8</t>
        </is>
      </c>
      <c r="C391" s="5" t="inlineStr">
        <is>
          <t>01a152b9-6e67-75da-8adb-b03e5d07fd21</t>
        </is>
      </c>
      <c r="D391" s="4" t="n">
        <v>46314.24593484184</v>
      </c>
      <c r="E391" s="4" t="n">
        <v>46314.24593484196</v>
      </c>
      <c r="F391" t="b">
        <v>1</v>
      </c>
      <c r="G391" t="n">
        <v/>
      </c>
      <c r="H391" t="inlineStr">
        <is>
          <t>XALG</t>
        </is>
      </c>
      <c r="I391" t="inlineStr">
        <is>
          <t>Alphinity Global Equity Fund - Active ETF</t>
        </is>
      </c>
      <c r="J391" t="inlineStr">
        <is>
          <t>AUD</t>
        </is>
      </c>
      <c r="K391" s="5" t="inlineStr">
        <is>
          <t>01a152b9-6ee2-7577-bddd-382bc3853fde</t>
        </is>
      </c>
      <c r="M391" t="inlineStr">
        <is>
          <t>UNKNOWN</t>
        </is>
      </c>
      <c r="N391" t="inlineStr">
        <is>
          <t>DEFAULT</t>
        </is>
      </c>
      <c r="Q391" t="n">
        <v>0</v>
      </c>
      <c r="R391" t="inlineStr">
        <is>
          <t>AUD</t>
        </is>
      </c>
      <c r="S391" t="n">
        <v>0</v>
      </c>
      <c r="T391" t="inlineStr">
        <is>
          <t>AUD</t>
        </is>
      </c>
      <c r="U391" t="n">
        <v>0</v>
      </c>
    </row>
    <row r="392">
      <c r="A392" s="5" t="inlineStr">
        <is>
          <t>01a152b9-7705-74af-9b45-98029cc2b7bb</t>
        </is>
      </c>
      <c r="C392" s="5" t="inlineStr">
        <is>
          <t>01a152b9-6e67-75da-8adb-b03e5d07fd21</t>
        </is>
      </c>
      <c r="D392" s="4" t="n">
        <v>46314.24593488438</v>
      </c>
      <c r="E392" s="4" t="n">
        <v>46314.24593488452</v>
      </c>
      <c r="F392" t="b">
        <v>1</v>
      </c>
      <c r="G392" t="n">
        <v/>
      </c>
      <c r="H392" t="inlineStr">
        <is>
          <t>SXG</t>
        </is>
      </c>
      <c r="I392" t="inlineStr">
        <is>
          <t>Southern Cross Gold Ltd</t>
        </is>
      </c>
      <c r="J392" t="inlineStr">
        <is>
          <t>AUD</t>
        </is>
      </c>
      <c r="K392" s="5" t="inlineStr">
        <is>
          <t>01a152b9-6ee2-7577-bddd-382bc3853fde</t>
        </is>
      </c>
      <c r="M392" t="inlineStr">
        <is>
          <t>UNKNOWN</t>
        </is>
      </c>
      <c r="N392" t="inlineStr">
        <is>
          <t>DEFAULT</t>
        </is>
      </c>
      <c r="Q392" t="n">
        <v>0</v>
      </c>
      <c r="R392" t="inlineStr">
        <is>
          <t>AUD</t>
        </is>
      </c>
      <c r="S392" t="n">
        <v>0</v>
      </c>
      <c r="T392" t="inlineStr">
        <is>
          <t>AUD</t>
        </is>
      </c>
      <c r="U392" t="n">
        <v>0</v>
      </c>
    </row>
    <row r="393">
      <c r="A393" s="5" t="inlineStr">
        <is>
          <t>01a152b9-7709-7489-b34d-7f031abf5ef3</t>
        </is>
      </c>
      <c r="C393" s="5" t="inlineStr">
        <is>
          <t>01a152b9-6e67-75da-8adb-b03e5d07fd21</t>
        </is>
      </c>
      <c r="D393" s="4" t="n">
        <v>46314.24593492893</v>
      </c>
      <c r="E393" s="4" t="n">
        <v>46314.24593492907</v>
      </c>
      <c r="F393" t="b">
        <v>1</v>
      </c>
      <c r="G393" t="n">
        <v/>
      </c>
      <c r="H393" t="inlineStr">
        <is>
          <t>KKC</t>
        </is>
      </c>
      <c r="I393" t="inlineStr">
        <is>
          <t>KKR Credit Income Fund</t>
        </is>
      </c>
      <c r="J393" t="inlineStr">
        <is>
          <t>AUD</t>
        </is>
      </c>
      <c r="K393" s="5" t="inlineStr">
        <is>
          <t>01a152b9-6ee2-7577-bddd-382bc3853fde</t>
        </is>
      </c>
      <c r="M393" t="inlineStr">
        <is>
          <t>UNKNOWN</t>
        </is>
      </c>
      <c r="N393" t="inlineStr">
        <is>
          <t>DEFAULT</t>
        </is>
      </c>
      <c r="Q393" t="n">
        <v>0</v>
      </c>
      <c r="R393" t="inlineStr">
        <is>
          <t>AUD</t>
        </is>
      </c>
      <c r="S393" t="n">
        <v>0</v>
      </c>
      <c r="T393" t="inlineStr">
        <is>
          <t>AUD</t>
        </is>
      </c>
      <c r="U393" t="n">
        <v>0</v>
      </c>
    </row>
    <row r="394">
      <c r="A394" s="5" t="inlineStr">
        <is>
          <t>01a152b9-770d-75b4-ac4a-3bc424524103</t>
        </is>
      </c>
      <c r="C394" s="5" t="inlineStr">
        <is>
          <t>01a152b9-6e67-75da-8adb-b03e5d07fd21</t>
        </is>
      </c>
      <c r="D394" s="4" t="n">
        <v>46314.24593497176</v>
      </c>
      <c r="E394" s="4" t="n">
        <v>46314.2459349719</v>
      </c>
      <c r="F394" t="b">
        <v>1</v>
      </c>
      <c r="G394" t="n">
        <v/>
      </c>
      <c r="H394" t="inlineStr">
        <is>
          <t>USTB</t>
        </is>
      </c>
      <c r="I394" t="inlineStr">
        <is>
          <t>Global X US Treasury Bond ETF (Currency Hedged)</t>
        </is>
      </c>
      <c r="J394" t="inlineStr">
        <is>
          <t>AUD</t>
        </is>
      </c>
      <c r="K394" s="5" t="inlineStr">
        <is>
          <t>01a152b9-6ee2-7577-bddd-382bc3853fde</t>
        </is>
      </c>
      <c r="M394" t="inlineStr">
        <is>
          <t>UNKNOWN</t>
        </is>
      </c>
      <c r="N394" t="inlineStr">
        <is>
          <t>DEFAULT</t>
        </is>
      </c>
      <c r="Q394" t="n">
        <v>0</v>
      </c>
      <c r="R394" t="inlineStr">
        <is>
          <t>AUD</t>
        </is>
      </c>
      <c r="S394" t="n">
        <v>0</v>
      </c>
      <c r="T394" t="inlineStr">
        <is>
          <t>AUD</t>
        </is>
      </c>
      <c r="U394" t="n">
        <v>0</v>
      </c>
    </row>
    <row r="395">
      <c r="A395" s="5" t="inlineStr">
        <is>
          <t>01a152b9-7711-7291-abfe-2425326988e7</t>
        </is>
      </c>
      <c r="C395" s="5" t="inlineStr">
        <is>
          <t>01a152b9-6e67-75da-8adb-b03e5d07fd21</t>
        </is>
      </c>
      <c r="D395" s="4" t="n">
        <v>46314.24593501594</v>
      </c>
      <c r="E395" s="4" t="n">
        <v>46314.24593501605</v>
      </c>
      <c r="F395" t="b">
        <v>1</v>
      </c>
      <c r="G395" t="n">
        <v/>
      </c>
      <c r="H395" t="inlineStr">
        <is>
          <t>AGVT</t>
        </is>
      </c>
      <c r="I395" t="inlineStr">
        <is>
          <t>Betashares Australian Government Bond ETF</t>
        </is>
      </c>
      <c r="J395" t="inlineStr">
        <is>
          <t>AUD</t>
        </is>
      </c>
      <c r="K395" s="5" t="inlineStr">
        <is>
          <t>01a152b9-6ee2-7577-bddd-382bc3853fde</t>
        </is>
      </c>
      <c r="M395" t="inlineStr">
        <is>
          <t>UNKNOWN</t>
        </is>
      </c>
      <c r="N395" t="inlineStr">
        <is>
          <t>DEFAULT</t>
        </is>
      </c>
      <c r="Q395" t="n">
        <v>0</v>
      </c>
      <c r="R395" t="inlineStr">
        <is>
          <t>AUD</t>
        </is>
      </c>
      <c r="S395" t="n">
        <v>0</v>
      </c>
      <c r="T395" t="inlineStr">
        <is>
          <t>AUD</t>
        </is>
      </c>
      <c r="U395" t="n">
        <v>0</v>
      </c>
    </row>
    <row r="396">
      <c r="A396" s="5" t="inlineStr">
        <is>
          <t>01a152b9-7714-739c-959e-aed8e09c1510</t>
        </is>
      </c>
      <c r="C396" s="5" t="inlineStr">
        <is>
          <t>01a152b9-6e67-75da-8adb-b03e5d07fd21</t>
        </is>
      </c>
      <c r="D396" s="4" t="n">
        <v>46314.2459350584</v>
      </c>
      <c r="E396" s="4" t="n">
        <v>46314.24593505852</v>
      </c>
      <c r="F396" t="b">
        <v>1</v>
      </c>
      <c r="G396" t="n">
        <v/>
      </c>
      <c r="H396" t="inlineStr">
        <is>
          <t>FLOT</t>
        </is>
      </c>
      <c r="I396" t="inlineStr">
        <is>
          <t>Vaneck Australian Floating Rate ETF</t>
        </is>
      </c>
      <c r="J396" t="inlineStr">
        <is>
          <t>AUD</t>
        </is>
      </c>
      <c r="K396" s="5" t="inlineStr">
        <is>
          <t>01a152b9-6ee2-7577-bddd-382bc3853fde</t>
        </is>
      </c>
      <c r="M396" t="inlineStr">
        <is>
          <t>UNIT_TRUST</t>
        </is>
      </c>
      <c r="N396" t="inlineStr">
        <is>
          <t>SUGGESTED</t>
        </is>
      </c>
      <c r="Q396" t="n">
        <v>0</v>
      </c>
      <c r="R396" t="inlineStr">
        <is>
          <t>AUD</t>
        </is>
      </c>
      <c r="S396" t="n">
        <v>0</v>
      </c>
      <c r="T396" t="inlineStr">
        <is>
          <t>AUD</t>
        </is>
      </c>
      <c r="U396" t="n">
        <v>0</v>
      </c>
    </row>
    <row r="397">
      <c r="A397" s="5" t="inlineStr">
        <is>
          <t>01a152b9-7719-7163-8b9a-dfa6be109212</t>
        </is>
      </c>
      <c r="C397" s="5" t="inlineStr">
        <is>
          <t>01a152b9-6e67-75da-8adb-b03e5d07fd21</t>
        </is>
      </c>
      <c r="D397" s="4" t="n">
        <v>46314.24593511107</v>
      </c>
      <c r="E397" s="4" t="n">
        <v>46314.2459351112</v>
      </c>
      <c r="F397" t="b">
        <v>1</v>
      </c>
      <c r="G397" t="n">
        <v/>
      </c>
      <c r="H397" t="inlineStr">
        <is>
          <t>MQGPE</t>
        </is>
      </c>
      <c r="I397" t="inlineStr">
        <is>
          <t>Macquarie Group Ltd</t>
        </is>
      </c>
      <c r="J397" t="inlineStr">
        <is>
          <t>AUD</t>
        </is>
      </c>
      <c r="K397" s="5" t="inlineStr">
        <is>
          <t>01a152b9-6ee2-7577-bddd-382bc3853fde</t>
        </is>
      </c>
      <c r="M397" t="inlineStr">
        <is>
          <t>UNKNOWN</t>
        </is>
      </c>
      <c r="N397" t="inlineStr">
        <is>
          <t>DEFAULT</t>
        </is>
      </c>
      <c r="Q397" t="n">
        <v>0</v>
      </c>
      <c r="R397" t="inlineStr">
        <is>
          <t>AUD</t>
        </is>
      </c>
      <c r="S397" t="n">
        <v>0</v>
      </c>
      <c r="T397" t="inlineStr">
        <is>
          <t>AUD</t>
        </is>
      </c>
      <c r="U397" t="n">
        <v>0</v>
      </c>
    </row>
    <row r="398">
      <c r="A398" s="5" t="inlineStr">
        <is>
          <t>01a152b9-771d-740c-852f-c4f04b06956d</t>
        </is>
      </c>
      <c r="C398" s="5" t="inlineStr">
        <is>
          <t>01a152b9-6e67-75da-8adb-b03e5d07fd21</t>
        </is>
      </c>
      <c r="D398" s="4" t="n">
        <v>46314.24593515725</v>
      </c>
      <c r="E398" s="4" t="n">
        <v>46314.24593515735</v>
      </c>
      <c r="F398" t="b">
        <v>1</v>
      </c>
      <c r="G398" t="n">
        <v/>
      </c>
      <c r="H398" t="inlineStr">
        <is>
          <t>IEU</t>
        </is>
      </c>
      <c r="I398" t="inlineStr">
        <is>
          <t>Ishares Europe ETF</t>
        </is>
      </c>
      <c r="J398" t="inlineStr">
        <is>
          <t>AUD</t>
        </is>
      </c>
      <c r="K398" s="5" t="inlineStr">
        <is>
          <t>01a152b9-6ee2-7577-bddd-382bc3853fde</t>
        </is>
      </c>
      <c r="M398" t="inlineStr">
        <is>
          <t>UNIT_TRUST</t>
        </is>
      </c>
      <c r="N398" t="inlineStr">
        <is>
          <t>SUGGESTED</t>
        </is>
      </c>
      <c r="Q398" t="n">
        <v>0</v>
      </c>
      <c r="R398" t="inlineStr">
        <is>
          <t>AUD</t>
        </is>
      </c>
      <c r="S398" t="n">
        <v>0</v>
      </c>
      <c r="T398" t="inlineStr">
        <is>
          <t>AUD</t>
        </is>
      </c>
      <c r="U398" t="n">
        <v>0</v>
      </c>
    </row>
    <row r="399">
      <c r="A399" s="5" t="inlineStr">
        <is>
          <t>01a152b9-7721-77d0-9433-64569b5ff8be</t>
        </is>
      </c>
      <c r="C399" s="5" t="inlineStr">
        <is>
          <t>01a152b9-6e67-75da-8adb-b03e5d07fd21</t>
        </is>
      </c>
      <c r="D399" s="4" t="n">
        <v>46314.2459352072</v>
      </c>
      <c r="E399" s="4" t="n">
        <v>46314.24593520731</v>
      </c>
      <c r="F399" t="b">
        <v>1</v>
      </c>
      <c r="G399" t="n">
        <v/>
      </c>
      <c r="H399" t="inlineStr">
        <is>
          <t>SFY</t>
        </is>
      </c>
      <c r="I399" t="inlineStr">
        <is>
          <t>SPDR S&amp;P/ASX 50 Fund</t>
        </is>
      </c>
      <c r="J399" t="inlineStr">
        <is>
          <t>AUD</t>
        </is>
      </c>
      <c r="K399" s="5" t="inlineStr">
        <is>
          <t>01a152b9-6ee2-7577-bddd-382bc3853fde</t>
        </is>
      </c>
      <c r="M399" t="inlineStr">
        <is>
          <t>UNIT_TRUST</t>
        </is>
      </c>
      <c r="N399" t="inlineStr">
        <is>
          <t>SUGGESTED</t>
        </is>
      </c>
      <c r="Q399" t="n">
        <v>0</v>
      </c>
      <c r="R399" t="inlineStr">
        <is>
          <t>AUD</t>
        </is>
      </c>
      <c r="S399" t="n">
        <v>0</v>
      </c>
      <c r="T399" t="inlineStr">
        <is>
          <t>AUD</t>
        </is>
      </c>
      <c r="U399" t="n">
        <v>0</v>
      </c>
    </row>
    <row r="400">
      <c r="A400" s="5" t="inlineStr">
        <is>
          <t>01a152b9-7725-704f-9ae4-4b1d769f87e6</t>
        </is>
      </c>
      <c r="C400" s="5" t="inlineStr">
        <is>
          <t>01a152b9-6e67-75da-8adb-b03e5d07fd21</t>
        </is>
      </c>
      <c r="D400" s="4" t="n">
        <v>46314.24593525394</v>
      </c>
      <c r="E400" s="4" t="n">
        <v>46314.24593525405</v>
      </c>
      <c r="F400" t="b">
        <v>1</v>
      </c>
      <c r="G400" t="n">
        <v/>
      </c>
      <c r="H400" t="inlineStr">
        <is>
          <t>QAU</t>
        </is>
      </c>
      <c r="I400" t="inlineStr">
        <is>
          <t>Betashares Gold Bullion ETF - Currency Hedged</t>
        </is>
      </c>
      <c r="J400" t="inlineStr">
        <is>
          <t>AUD</t>
        </is>
      </c>
      <c r="K400" s="5" t="inlineStr">
        <is>
          <t>01a152b9-6ee2-7577-bddd-382bc3853fde</t>
        </is>
      </c>
      <c r="M400" t="inlineStr">
        <is>
          <t>UNIT_TRUST</t>
        </is>
      </c>
      <c r="N400" t="inlineStr">
        <is>
          <t>SUGGESTED</t>
        </is>
      </c>
      <c r="Q400" t="n">
        <v>0</v>
      </c>
      <c r="R400" t="inlineStr">
        <is>
          <t>AUD</t>
        </is>
      </c>
      <c r="S400" t="n">
        <v>0</v>
      </c>
      <c r="T400" t="inlineStr">
        <is>
          <t>AUD</t>
        </is>
      </c>
      <c r="U400" t="n">
        <v>0</v>
      </c>
    </row>
    <row r="401">
      <c r="A401" s="5" t="inlineStr">
        <is>
          <t>01a152b9-7729-70c6-bf28-c68468cf687c</t>
        </is>
      </c>
      <c r="C401" s="5" t="inlineStr">
        <is>
          <t>01a152b9-6e67-75da-8adb-b03e5d07fd21</t>
        </is>
      </c>
      <c r="D401" s="4" t="n">
        <v>46314.2459352978</v>
      </c>
      <c r="E401" s="4" t="n">
        <v>46314.245935298</v>
      </c>
      <c r="F401" t="b">
        <v>1</v>
      </c>
      <c r="G401" t="n">
        <v/>
      </c>
      <c r="H401" t="inlineStr">
        <is>
          <t>VVLU</t>
        </is>
      </c>
      <c r="I401" t="inlineStr">
        <is>
          <t>Vanguard Global Value Equity Active ETF</t>
        </is>
      </c>
      <c r="J401" t="inlineStr">
        <is>
          <t>AUD</t>
        </is>
      </c>
      <c r="K401" s="5" t="inlineStr">
        <is>
          <t>01a152b9-6ee2-7577-bddd-382bc3853fde</t>
        </is>
      </c>
      <c r="M401" t="inlineStr">
        <is>
          <t>UNIT_TRUST</t>
        </is>
      </c>
      <c r="N401" t="inlineStr">
        <is>
          <t>SUGGESTED</t>
        </is>
      </c>
      <c r="Q401" t="n">
        <v>0</v>
      </c>
      <c r="R401" t="inlineStr">
        <is>
          <t>AUD</t>
        </is>
      </c>
      <c r="S401" t="n">
        <v>0</v>
      </c>
      <c r="T401" t="inlineStr">
        <is>
          <t>AUD</t>
        </is>
      </c>
      <c r="U401" t="n">
        <v>0</v>
      </c>
    </row>
    <row r="402">
      <c r="A402" s="5" t="inlineStr">
        <is>
          <t>01a152b9-772d-71f8-9263-0d8dedf5b941</t>
        </is>
      </c>
      <c r="C402" s="5" t="inlineStr">
        <is>
          <t>01a152b9-6e67-75da-8adb-b03e5d07fd21</t>
        </is>
      </c>
      <c r="D402" s="4" t="n">
        <v>46314.24593533785</v>
      </c>
      <c r="E402" s="4" t="n">
        <v>46314.24593533794</v>
      </c>
      <c r="F402" t="b">
        <v>1</v>
      </c>
      <c r="G402" t="n">
        <v/>
      </c>
      <c r="H402" t="inlineStr">
        <is>
          <t>HPI</t>
        </is>
      </c>
      <c r="I402" t="inlineStr">
        <is>
          <t>Hotel Property Investments</t>
        </is>
      </c>
      <c r="J402" t="inlineStr">
        <is>
          <t>AUD</t>
        </is>
      </c>
      <c r="K402" s="5" t="inlineStr">
        <is>
          <t>01a152b9-6ee2-7577-bddd-382bc3853fde</t>
        </is>
      </c>
      <c r="M402" t="inlineStr">
        <is>
          <t>STAPLED</t>
        </is>
      </c>
      <c r="N402" t="inlineStr">
        <is>
          <t>SUGGESTED</t>
        </is>
      </c>
      <c r="Q402" t="n">
        <v>0</v>
      </c>
      <c r="R402" t="inlineStr">
        <is>
          <t>AUD</t>
        </is>
      </c>
      <c r="S402" t="n">
        <v>0</v>
      </c>
      <c r="T402" t="inlineStr">
        <is>
          <t>AUD</t>
        </is>
      </c>
      <c r="U402" t="n">
        <v>0</v>
      </c>
    </row>
    <row r="403">
      <c r="A403" s="5" t="inlineStr">
        <is>
          <t>01a152b9-7730-7257-b547-680f97d8f2f8</t>
        </is>
      </c>
      <c r="C403" s="5" t="inlineStr">
        <is>
          <t>01a152b9-6e67-75da-8adb-b03e5d07fd21</t>
        </is>
      </c>
      <c r="D403" s="4" t="n">
        <v>46314.24593538157</v>
      </c>
      <c r="E403" s="4" t="n">
        <v>46314.2459353817</v>
      </c>
      <c r="F403" t="b">
        <v>1</v>
      </c>
      <c r="G403" t="n">
        <v/>
      </c>
      <c r="H403" t="inlineStr">
        <is>
          <t>HM1</t>
        </is>
      </c>
      <c r="I403" t="inlineStr">
        <is>
          <t>Hearts and Minds Investments Ltd</t>
        </is>
      </c>
      <c r="J403" t="inlineStr">
        <is>
          <t>AUD</t>
        </is>
      </c>
      <c r="K403" s="5" t="inlineStr">
        <is>
          <t>01a152b9-6ee2-7577-bddd-382bc3853fde</t>
        </is>
      </c>
      <c r="M403" t="inlineStr">
        <is>
          <t>UNKNOWN</t>
        </is>
      </c>
      <c r="N403" t="inlineStr">
        <is>
          <t>DEFAULT</t>
        </is>
      </c>
      <c r="Q403" t="n">
        <v>0</v>
      </c>
      <c r="R403" t="inlineStr">
        <is>
          <t>AUD</t>
        </is>
      </c>
      <c r="S403" t="n">
        <v>0</v>
      </c>
      <c r="T403" t="inlineStr">
        <is>
          <t>AUD</t>
        </is>
      </c>
      <c r="U403" t="n">
        <v>0</v>
      </c>
    </row>
    <row r="404">
      <c r="A404" s="5" t="inlineStr">
        <is>
          <t>01a152b9-7734-7701-a336-3ca017f3302e</t>
        </is>
      </c>
      <c r="C404" s="5" t="inlineStr">
        <is>
          <t>01a152b9-6e67-75da-8adb-b03e5d07fd21</t>
        </is>
      </c>
      <c r="D404" s="4" t="n">
        <v>46314.24593541904</v>
      </c>
      <c r="E404" s="4" t="n">
        <v>46314.24593541913</v>
      </c>
      <c r="F404" t="b">
        <v>1</v>
      </c>
      <c r="G404" t="n">
        <v/>
      </c>
      <c r="H404" t="inlineStr">
        <is>
          <t>IJP</t>
        </is>
      </c>
      <c r="I404" t="inlineStr">
        <is>
          <t>Ishares MSCI Japan ETF</t>
        </is>
      </c>
      <c r="J404" t="inlineStr">
        <is>
          <t>AUD</t>
        </is>
      </c>
      <c r="K404" s="5" t="inlineStr">
        <is>
          <t>01a152b9-6ee2-7577-bddd-382bc3853fde</t>
        </is>
      </c>
      <c r="M404" t="inlineStr">
        <is>
          <t>UNIT_TRUST</t>
        </is>
      </c>
      <c r="N404" t="inlineStr">
        <is>
          <t>SUGGESTED</t>
        </is>
      </c>
      <c r="Q404" t="n">
        <v>0</v>
      </c>
      <c r="R404" t="inlineStr">
        <is>
          <t>AUD</t>
        </is>
      </c>
      <c r="S404" t="n">
        <v>0</v>
      </c>
      <c r="T404" t="inlineStr">
        <is>
          <t>AUD</t>
        </is>
      </c>
      <c r="U404" t="n">
        <v>0</v>
      </c>
    </row>
    <row r="405">
      <c r="A405" s="5" t="inlineStr">
        <is>
          <t>01a152b9-7737-778e-aa8b-eee4f0357ddc</t>
        </is>
      </c>
      <c r="C405" s="5" t="inlineStr">
        <is>
          <t>01a152b9-6e67-75da-8adb-b03e5d07fd21</t>
        </is>
      </c>
      <c r="D405" s="4" t="n">
        <v>46314.24593546265</v>
      </c>
      <c r="E405" s="4" t="n">
        <v>46314.24593546276</v>
      </c>
      <c r="F405" t="b">
        <v>1</v>
      </c>
      <c r="G405" t="n">
        <v/>
      </c>
      <c r="H405" t="inlineStr">
        <is>
          <t>QLTY</t>
        </is>
      </c>
      <c r="I405" t="inlineStr">
        <is>
          <t>Betashares Global Quality Leaders ETF</t>
        </is>
      </c>
      <c r="J405" t="inlineStr">
        <is>
          <t>AUD</t>
        </is>
      </c>
      <c r="K405" s="5" t="inlineStr">
        <is>
          <t>01a152b9-6ee2-7577-bddd-382bc3853fde</t>
        </is>
      </c>
      <c r="M405" t="inlineStr">
        <is>
          <t>UNIT_TRUST</t>
        </is>
      </c>
      <c r="N405" t="inlineStr">
        <is>
          <t>SUGGESTED</t>
        </is>
      </c>
      <c r="Q405" t="n">
        <v>0</v>
      </c>
      <c r="R405" t="inlineStr">
        <is>
          <t>AUD</t>
        </is>
      </c>
      <c r="S405" t="n">
        <v>0</v>
      </c>
      <c r="T405" t="inlineStr">
        <is>
          <t>AUD</t>
        </is>
      </c>
      <c r="U405" t="n">
        <v>0</v>
      </c>
    </row>
    <row r="406">
      <c r="A406" s="5" t="inlineStr">
        <is>
          <t>01a152b9-773c-759e-8d23-4729edacdb3b</t>
        </is>
      </c>
      <c r="C406" s="5" t="inlineStr">
        <is>
          <t>01a152b9-6e67-75da-8adb-b03e5d07fd21</t>
        </is>
      </c>
      <c r="D406" s="4" t="n">
        <v>46314.24593551112</v>
      </c>
      <c r="E406" s="4" t="n">
        <v>46314.24593551126</v>
      </c>
      <c r="F406" t="b">
        <v>1</v>
      </c>
      <c r="G406" t="n">
        <v/>
      </c>
      <c r="H406" t="inlineStr">
        <is>
          <t>RF1</t>
        </is>
      </c>
      <c r="I406" t="inlineStr">
        <is>
          <t>Regal Investment Fund</t>
        </is>
      </c>
      <c r="J406" t="inlineStr">
        <is>
          <t>AUD</t>
        </is>
      </c>
      <c r="K406" s="5" t="inlineStr">
        <is>
          <t>01a152b9-6ee2-7577-bddd-382bc3853fde</t>
        </is>
      </c>
      <c r="M406" t="inlineStr">
        <is>
          <t>UNKNOWN</t>
        </is>
      </c>
      <c r="N406" t="inlineStr">
        <is>
          <t>DEFAULT</t>
        </is>
      </c>
      <c r="Q406" t="n">
        <v>0</v>
      </c>
      <c r="R406" t="inlineStr">
        <is>
          <t>AUD</t>
        </is>
      </c>
      <c r="S406" t="n">
        <v>0</v>
      </c>
      <c r="T406" t="inlineStr">
        <is>
          <t>AUD</t>
        </is>
      </c>
      <c r="U406" t="n">
        <v>0</v>
      </c>
    </row>
    <row r="407">
      <c r="A407" s="5" t="inlineStr">
        <is>
          <t>01a152b9-773f-710d-95e5-634ae3ffe835</t>
        </is>
      </c>
      <c r="C407" s="5" t="inlineStr">
        <is>
          <t>01a152b9-6e67-75da-8adb-b03e5d07fd21</t>
        </is>
      </c>
      <c r="D407" s="4" t="n">
        <v>46314.24593555504</v>
      </c>
      <c r="E407" s="4" t="n">
        <v>46314.24593555516</v>
      </c>
      <c r="F407" t="b">
        <v>1</v>
      </c>
      <c r="G407" t="n">
        <v/>
      </c>
      <c r="H407" t="inlineStr">
        <is>
          <t>BILL</t>
        </is>
      </c>
      <c r="I407" t="inlineStr">
        <is>
          <t>Ishares Core Cash ETF</t>
        </is>
      </c>
      <c r="J407" t="inlineStr">
        <is>
          <t>AUD</t>
        </is>
      </c>
      <c r="K407" s="5" t="inlineStr">
        <is>
          <t>01a152b9-6ee2-7577-bddd-382bc3853fde</t>
        </is>
      </c>
      <c r="M407" t="inlineStr">
        <is>
          <t>UNIT_TRUST</t>
        </is>
      </c>
      <c r="N407" t="inlineStr">
        <is>
          <t>SUGGESTED</t>
        </is>
      </c>
      <c r="Q407" t="n">
        <v>0</v>
      </c>
      <c r="R407" t="inlineStr">
        <is>
          <t>AUD</t>
        </is>
      </c>
      <c r="S407" t="n">
        <v>0</v>
      </c>
      <c r="T407" t="inlineStr">
        <is>
          <t>AUD</t>
        </is>
      </c>
      <c r="U407" t="n">
        <v>0</v>
      </c>
    </row>
    <row r="408">
      <c r="A408" s="5" t="inlineStr">
        <is>
          <t>01a152b9-7743-739c-97a8-99c94d3fd941</t>
        </is>
      </c>
      <c r="C408" s="5" t="inlineStr">
        <is>
          <t>01a152b9-6e67-75da-8adb-b03e5d07fd21</t>
        </is>
      </c>
      <c r="D408" s="4" t="n">
        <v>46314.24593559837</v>
      </c>
      <c r="E408" s="4" t="n">
        <v>46314.2459355985</v>
      </c>
      <c r="F408" t="b">
        <v>1</v>
      </c>
      <c r="G408" t="n">
        <v/>
      </c>
      <c r="H408" t="inlineStr">
        <is>
          <t>ACL</t>
        </is>
      </c>
      <c r="I408" t="inlineStr">
        <is>
          <t>Australian Clinical Labs Ltd</t>
        </is>
      </c>
      <c r="J408" t="inlineStr">
        <is>
          <t>AUD</t>
        </is>
      </c>
      <c r="K408" s="5" t="inlineStr">
        <is>
          <t>01a152b9-6ee2-7577-bddd-382bc3853fde</t>
        </is>
      </c>
      <c r="M408" t="inlineStr">
        <is>
          <t>UNKNOWN</t>
        </is>
      </c>
      <c r="N408" t="inlineStr">
        <is>
          <t>DEFAULT</t>
        </is>
      </c>
      <c r="Q408" t="n">
        <v>0</v>
      </c>
      <c r="R408" t="inlineStr">
        <is>
          <t>AUD</t>
        </is>
      </c>
      <c r="S408" t="n">
        <v>0</v>
      </c>
      <c r="T408" t="inlineStr">
        <is>
          <t>AUD</t>
        </is>
      </c>
      <c r="U408" t="n">
        <v>0</v>
      </c>
    </row>
    <row r="409">
      <c r="A409" s="5" t="inlineStr">
        <is>
          <t>01a152b9-7747-7408-8410-4eaed613bd4c</t>
        </is>
      </c>
      <c r="C409" s="5" t="inlineStr">
        <is>
          <t>01a152b9-6e67-75da-8adb-b03e5d07fd21</t>
        </is>
      </c>
      <c r="D409" s="4" t="n">
        <v>46314.24593564078</v>
      </c>
      <c r="E409" s="4" t="n">
        <v>46314.2459356409</v>
      </c>
      <c r="F409" t="b">
        <v>1</v>
      </c>
      <c r="G409" t="n">
        <v/>
      </c>
      <c r="H409" t="inlineStr">
        <is>
          <t>BLX</t>
        </is>
      </c>
      <c r="I409" t="inlineStr">
        <is>
          <t>Beacon Lighting Group Ltd</t>
        </is>
      </c>
      <c r="J409" t="inlineStr">
        <is>
          <t>AUD</t>
        </is>
      </c>
      <c r="K409" s="5" t="inlineStr">
        <is>
          <t>01a152b9-6ee2-7577-bddd-382bc3853fde</t>
        </is>
      </c>
      <c r="M409" t="inlineStr">
        <is>
          <t>UNKNOWN</t>
        </is>
      </c>
      <c r="N409" t="inlineStr">
        <is>
          <t>DEFAULT</t>
        </is>
      </c>
      <c r="Q409" t="n">
        <v>0</v>
      </c>
      <c r="R409" t="inlineStr">
        <is>
          <t>AUD</t>
        </is>
      </c>
      <c r="S409" t="n">
        <v>0</v>
      </c>
      <c r="T409" t="inlineStr">
        <is>
          <t>AUD</t>
        </is>
      </c>
      <c r="U409" t="n">
        <v>0</v>
      </c>
    </row>
    <row r="410">
      <c r="A410" s="5" t="inlineStr">
        <is>
          <t>01a152b9-774a-776d-a8d9-821b2f4ed63c</t>
        </is>
      </c>
      <c r="C410" s="5" t="inlineStr">
        <is>
          <t>01a152b9-6e67-75da-8adb-b03e5d07fd21</t>
        </is>
      </c>
      <c r="D410" s="4" t="n">
        <v>46314.24593567986</v>
      </c>
      <c r="E410" s="4" t="n">
        <v>46314.24593567995</v>
      </c>
      <c r="F410" t="b">
        <v>1</v>
      </c>
      <c r="G410" t="n">
        <v/>
      </c>
      <c r="H410" t="inlineStr">
        <is>
          <t>MOT</t>
        </is>
      </c>
      <c r="I410" t="inlineStr">
        <is>
          <t>Metrics Income Opportunities Trust</t>
        </is>
      </c>
      <c r="J410" t="inlineStr">
        <is>
          <t>AUD</t>
        </is>
      </c>
      <c r="K410" s="5" t="inlineStr">
        <is>
          <t>01a152b9-6ee2-7577-bddd-382bc3853fde</t>
        </is>
      </c>
      <c r="M410" t="inlineStr">
        <is>
          <t>UNKNOWN</t>
        </is>
      </c>
      <c r="N410" t="inlineStr">
        <is>
          <t>DEFAULT</t>
        </is>
      </c>
      <c r="Q410" t="n">
        <v>0</v>
      </c>
      <c r="R410" t="inlineStr">
        <is>
          <t>AUD</t>
        </is>
      </c>
      <c r="S410" t="n">
        <v>0</v>
      </c>
      <c r="T410" t="inlineStr">
        <is>
          <t>AUD</t>
        </is>
      </c>
      <c r="U410" t="n">
        <v>0</v>
      </c>
    </row>
    <row r="411">
      <c r="A411" s="5" t="inlineStr">
        <is>
          <t>01a152b9-774e-7220-95b3-23aa654f6dac</t>
        </is>
      </c>
      <c r="C411" s="5" t="inlineStr">
        <is>
          <t>01a152b9-6e67-75da-8adb-b03e5d07fd21</t>
        </is>
      </c>
      <c r="D411" s="4" t="n">
        <v>46314.24593572116</v>
      </c>
      <c r="E411" s="4" t="n">
        <v>46314.24593572126</v>
      </c>
      <c r="F411" t="b">
        <v>1</v>
      </c>
      <c r="G411" t="n">
        <v/>
      </c>
      <c r="H411" t="inlineStr">
        <is>
          <t>TEA</t>
        </is>
      </c>
      <c r="I411" t="inlineStr">
        <is>
          <t>Tasmea Ltd</t>
        </is>
      </c>
      <c r="J411" t="inlineStr">
        <is>
          <t>AUD</t>
        </is>
      </c>
      <c r="K411" s="5" t="inlineStr">
        <is>
          <t>01a152b9-6ee2-7577-bddd-382bc3853fde</t>
        </is>
      </c>
      <c r="M411" t="inlineStr">
        <is>
          <t>UNKNOWN</t>
        </is>
      </c>
      <c r="N411" t="inlineStr">
        <is>
          <t>DEFAULT</t>
        </is>
      </c>
      <c r="Q411" t="n">
        <v>0</v>
      </c>
      <c r="R411" t="inlineStr">
        <is>
          <t>AUD</t>
        </is>
      </c>
      <c r="S411" t="n">
        <v>0</v>
      </c>
      <c r="T411" t="inlineStr">
        <is>
          <t>AUD</t>
        </is>
      </c>
      <c r="U411" t="n">
        <v>0</v>
      </c>
    </row>
    <row r="412">
      <c r="A412" s="5" t="inlineStr">
        <is>
          <t>01a152b9-7751-71ee-abd0-698a91e8e523</t>
        </is>
      </c>
      <c r="C412" s="5" t="inlineStr">
        <is>
          <t>01a152b9-6e67-75da-8adb-b03e5d07fd21</t>
        </is>
      </c>
      <c r="D412" s="4" t="n">
        <v>46314.24593576141</v>
      </c>
      <c r="E412" s="4" t="n">
        <v>46314.24593576152</v>
      </c>
      <c r="F412" t="b">
        <v>1</v>
      </c>
      <c r="G412" t="n">
        <v/>
      </c>
      <c r="H412" t="inlineStr">
        <is>
          <t>VDBA</t>
        </is>
      </c>
      <c r="I412" t="inlineStr">
        <is>
          <t>Vanguard Diversified Balanced INDEX ETF</t>
        </is>
      </c>
      <c r="J412" t="inlineStr">
        <is>
          <t>AUD</t>
        </is>
      </c>
      <c r="K412" s="5" t="inlineStr">
        <is>
          <t>01a152b9-6ee2-7577-bddd-382bc3853fde</t>
        </is>
      </c>
      <c r="M412" t="inlineStr">
        <is>
          <t>UNIT_TRUST</t>
        </is>
      </c>
      <c r="N412" t="inlineStr">
        <is>
          <t>SUGGESTED</t>
        </is>
      </c>
      <c r="Q412" t="n">
        <v>0</v>
      </c>
      <c r="R412" t="inlineStr">
        <is>
          <t>AUD</t>
        </is>
      </c>
      <c r="S412" t="n">
        <v>0</v>
      </c>
      <c r="T412" t="inlineStr">
        <is>
          <t>AUD</t>
        </is>
      </c>
      <c r="U412" t="n">
        <v>0</v>
      </c>
    </row>
    <row r="413">
      <c r="A413" s="5" t="inlineStr">
        <is>
          <t>01a152b9-7755-718d-ae55-c1efed3ab2f6</t>
        </is>
      </c>
      <c r="C413" s="5" t="inlineStr">
        <is>
          <t>01a152b9-6e67-75da-8adb-b03e5d07fd21</t>
        </is>
      </c>
      <c r="D413" s="4" t="n">
        <v>46314.24593580735</v>
      </c>
      <c r="E413" s="4" t="n">
        <v>46314.24593580746</v>
      </c>
      <c r="F413" t="b">
        <v>1</v>
      </c>
      <c r="G413" t="n">
        <v/>
      </c>
      <c r="H413" t="inlineStr">
        <is>
          <t>ILC</t>
        </is>
      </c>
      <c r="I413" t="inlineStr">
        <is>
          <t>Ishares S&amp;P/ASX 20 ETF</t>
        </is>
      </c>
      <c r="J413" t="inlineStr">
        <is>
          <t>AUD</t>
        </is>
      </c>
      <c r="K413" s="5" t="inlineStr">
        <is>
          <t>01a152b9-6ee2-7577-bddd-382bc3853fde</t>
        </is>
      </c>
      <c r="M413" t="inlineStr">
        <is>
          <t>UNKNOWN</t>
        </is>
      </c>
      <c r="N413" t="inlineStr">
        <is>
          <t>DEFAULT</t>
        </is>
      </c>
      <c r="Q413" t="n">
        <v>0</v>
      </c>
      <c r="R413" t="inlineStr">
        <is>
          <t>AUD</t>
        </is>
      </c>
      <c r="S413" t="n">
        <v>0</v>
      </c>
      <c r="T413" t="inlineStr">
        <is>
          <t>AUD</t>
        </is>
      </c>
      <c r="U413" t="n">
        <v>0</v>
      </c>
    </row>
    <row r="414">
      <c r="A414" s="5" t="inlineStr">
        <is>
          <t>01a152b9-7759-7106-b77b-16a7d7fa156d</t>
        </is>
      </c>
      <c r="C414" s="5" t="inlineStr">
        <is>
          <t>01a152b9-6e67-75da-8adb-b03e5d07fd21</t>
        </is>
      </c>
      <c r="D414" s="4" t="n">
        <v>46314.24593584866</v>
      </c>
      <c r="E414" s="4" t="n">
        <v>46314.24593584878</v>
      </c>
      <c r="F414" t="b">
        <v>1</v>
      </c>
      <c r="G414" t="n">
        <v/>
      </c>
      <c r="H414" t="inlineStr">
        <is>
          <t>COF</t>
        </is>
      </c>
      <c r="I414" t="inlineStr">
        <is>
          <t>Centuria Office REIT</t>
        </is>
      </c>
      <c r="J414" t="inlineStr">
        <is>
          <t>AUD</t>
        </is>
      </c>
      <c r="K414" s="5" t="inlineStr">
        <is>
          <t>01a152b9-6ee2-7577-bddd-382bc3853fde</t>
        </is>
      </c>
      <c r="M414" t="inlineStr">
        <is>
          <t>UNKNOWN</t>
        </is>
      </c>
      <c r="N414" t="inlineStr">
        <is>
          <t>DEFAULT</t>
        </is>
      </c>
      <c r="Q414" t="n">
        <v>0</v>
      </c>
      <c r="R414" t="inlineStr">
        <is>
          <t>AUD</t>
        </is>
      </c>
      <c r="S414" t="n">
        <v>0</v>
      </c>
      <c r="T414" t="inlineStr">
        <is>
          <t>AUD</t>
        </is>
      </c>
      <c r="U414" t="n">
        <v>0</v>
      </c>
    </row>
    <row r="415">
      <c r="A415" s="5" t="inlineStr">
        <is>
          <t>01a152b9-775d-77e9-9eb9-1e759cf114c0</t>
        </is>
      </c>
      <c r="C415" s="5" t="inlineStr">
        <is>
          <t>01a152b9-6e67-75da-8adb-b03e5d07fd21</t>
        </is>
      </c>
      <c r="D415" s="4" t="n">
        <v>46314.24593589359</v>
      </c>
      <c r="E415" s="4" t="n">
        <v>46314.24593589371</v>
      </c>
      <c r="F415" t="b">
        <v>1</v>
      </c>
      <c r="G415" t="n">
        <v/>
      </c>
      <c r="H415" t="inlineStr">
        <is>
          <t>VGL</t>
        </is>
      </c>
      <c r="I415" t="inlineStr">
        <is>
          <t>Vista Group International Ltd</t>
        </is>
      </c>
      <c r="J415" t="inlineStr">
        <is>
          <t>AUD</t>
        </is>
      </c>
      <c r="K415" s="5" t="inlineStr">
        <is>
          <t>01a152b9-6ee2-7577-bddd-382bc3853fde</t>
        </is>
      </c>
      <c r="M415" t="inlineStr">
        <is>
          <t>UNKNOWN</t>
        </is>
      </c>
      <c r="N415" t="inlineStr">
        <is>
          <t>DEFAULT</t>
        </is>
      </c>
      <c r="Q415" t="n">
        <v>0</v>
      </c>
      <c r="R415" t="inlineStr">
        <is>
          <t>AUD</t>
        </is>
      </c>
      <c r="S415" t="n">
        <v>0</v>
      </c>
      <c r="T415" t="inlineStr">
        <is>
          <t>AUD</t>
        </is>
      </c>
      <c r="U415" t="n">
        <v>0</v>
      </c>
    </row>
    <row r="416">
      <c r="A416" s="5" t="inlineStr">
        <is>
          <t>01a152b9-7760-7278-bf1b-f6298ccfa7f8</t>
        </is>
      </c>
      <c r="C416" s="5" t="inlineStr">
        <is>
          <t>01a152b9-6e67-75da-8adb-b03e5d07fd21</t>
        </is>
      </c>
      <c r="D416" s="4" t="n">
        <v>46314.24593593477</v>
      </c>
      <c r="E416" s="4" t="n">
        <v>46314.24593593487</v>
      </c>
      <c r="F416" t="b">
        <v>1</v>
      </c>
      <c r="G416" t="n">
        <v/>
      </c>
      <c r="H416" t="inlineStr">
        <is>
          <t>SGLLV</t>
        </is>
      </c>
      <c r="I416" t="inlineStr">
        <is>
          <t>Ricegrowers Ltd</t>
        </is>
      </c>
      <c r="J416" t="inlineStr">
        <is>
          <t>AUD</t>
        </is>
      </c>
      <c r="K416" s="5" t="inlineStr">
        <is>
          <t>01a152b9-6ee2-7577-bddd-382bc3853fde</t>
        </is>
      </c>
      <c r="M416" t="inlineStr">
        <is>
          <t>UNKNOWN</t>
        </is>
      </c>
      <c r="N416" t="inlineStr">
        <is>
          <t>DEFAULT</t>
        </is>
      </c>
      <c r="Q416" t="n">
        <v>0</v>
      </c>
      <c r="R416" t="inlineStr">
        <is>
          <t>AUD</t>
        </is>
      </c>
      <c r="S416" t="n">
        <v>0</v>
      </c>
      <c r="T416" t="inlineStr">
        <is>
          <t>AUD</t>
        </is>
      </c>
      <c r="U416" t="n">
        <v>0</v>
      </c>
    </row>
    <row r="417">
      <c r="A417" s="5" t="inlineStr">
        <is>
          <t>01a152b9-7763-72b1-8d23-6835a8ea7f27</t>
        </is>
      </c>
      <c r="C417" s="5" t="inlineStr">
        <is>
          <t>01a152b9-6e67-75da-8adb-b03e5d07fd21</t>
        </is>
      </c>
      <c r="D417" s="4" t="n">
        <v>46314.24593597236</v>
      </c>
      <c r="E417" s="4" t="n">
        <v>46314.24593597245</v>
      </c>
      <c r="F417" t="b">
        <v>1</v>
      </c>
      <c r="G417" t="n">
        <v/>
      </c>
      <c r="H417" t="inlineStr">
        <is>
          <t>FRAR</t>
        </is>
      </c>
      <c r="I417" t="inlineStr">
        <is>
          <t>Franklin Aust Abs Return Bond Fund (Managed Fund)</t>
        </is>
      </c>
      <c r="J417" t="inlineStr">
        <is>
          <t>AUD</t>
        </is>
      </c>
      <c r="K417" s="5" t="inlineStr">
        <is>
          <t>01a152b9-6ee2-7577-bddd-382bc3853fde</t>
        </is>
      </c>
      <c r="M417" t="inlineStr">
        <is>
          <t>UNKNOWN</t>
        </is>
      </c>
      <c r="N417" t="inlineStr">
        <is>
          <t>DEFAULT</t>
        </is>
      </c>
      <c r="Q417" t="n">
        <v>0</v>
      </c>
      <c r="R417" t="inlineStr">
        <is>
          <t>AUD</t>
        </is>
      </c>
      <c r="S417" t="n">
        <v>0</v>
      </c>
      <c r="T417" t="inlineStr">
        <is>
          <t>AUD</t>
        </is>
      </c>
      <c r="U417" t="n">
        <v>0</v>
      </c>
    </row>
    <row r="418">
      <c r="A418" s="5" t="inlineStr">
        <is>
          <t>01a152b9-7767-72be-9f9e-102ba532daf1</t>
        </is>
      </c>
      <c r="C418" s="5" t="inlineStr">
        <is>
          <t>01a152b9-6e67-75da-8adb-b03e5d07fd21</t>
        </is>
      </c>
      <c r="D418" s="4" t="n">
        <v>46314.24593601724</v>
      </c>
      <c r="E418" s="4" t="n">
        <v>46314.24593601734</v>
      </c>
      <c r="F418" t="b">
        <v>1</v>
      </c>
      <c r="G418" t="n">
        <v/>
      </c>
      <c r="H418" t="inlineStr">
        <is>
          <t>MAC</t>
        </is>
      </c>
      <c r="I418" t="inlineStr">
        <is>
          <t>MAC Copper Ltd</t>
        </is>
      </c>
      <c r="J418" t="inlineStr">
        <is>
          <t>AUD</t>
        </is>
      </c>
      <c r="K418" s="5" t="inlineStr">
        <is>
          <t>01a152b9-6ee2-7577-bddd-382bc3853fde</t>
        </is>
      </c>
      <c r="M418" t="inlineStr">
        <is>
          <t>UNKNOWN</t>
        </is>
      </c>
      <c r="N418" t="inlineStr">
        <is>
          <t>DEFAULT</t>
        </is>
      </c>
      <c r="Q418" t="n">
        <v>0</v>
      </c>
      <c r="R418" t="inlineStr">
        <is>
          <t>AUD</t>
        </is>
      </c>
      <c r="S418" t="n">
        <v>0</v>
      </c>
      <c r="T418" t="inlineStr">
        <is>
          <t>AUD</t>
        </is>
      </c>
      <c r="U418" t="n">
        <v>0</v>
      </c>
    </row>
    <row r="419">
      <c r="A419" s="5" t="inlineStr">
        <is>
          <t>01a152b9-776a-77a7-b83d-d9cf35d2f56b</t>
        </is>
      </c>
      <c r="C419" s="5" t="inlineStr">
        <is>
          <t>01a152b9-6e67-75da-8adb-b03e5d07fd21</t>
        </is>
      </c>
      <c r="D419" s="4" t="n">
        <v>46314.24593605425</v>
      </c>
      <c r="E419" s="4" t="n">
        <v>46314.24593605434</v>
      </c>
      <c r="F419" t="b">
        <v>1</v>
      </c>
      <c r="G419" t="n">
        <v/>
      </c>
      <c r="H419" t="inlineStr">
        <is>
          <t>MBLPD</t>
        </is>
      </c>
      <c r="I419" t="inlineStr">
        <is>
          <t>Macquarie Bank Ltd</t>
        </is>
      </c>
      <c r="J419" t="inlineStr">
        <is>
          <t>AUD</t>
        </is>
      </c>
      <c r="K419" s="5" t="inlineStr">
        <is>
          <t>01a152b9-6ee2-7577-bddd-382bc3853fde</t>
        </is>
      </c>
      <c r="M419" t="inlineStr">
        <is>
          <t>UNKNOWN</t>
        </is>
      </c>
      <c r="N419" t="inlineStr">
        <is>
          <t>DEFAULT</t>
        </is>
      </c>
      <c r="Q419" t="n">
        <v>0</v>
      </c>
      <c r="R419" t="inlineStr">
        <is>
          <t>AUD</t>
        </is>
      </c>
      <c r="S419" t="n">
        <v>0</v>
      </c>
      <c r="T419" t="inlineStr">
        <is>
          <t>AUD</t>
        </is>
      </c>
      <c r="U419" t="n">
        <v>0</v>
      </c>
    </row>
    <row r="420">
      <c r="A420" s="5" t="inlineStr">
        <is>
          <t>01a152b9-776e-77d7-8a2f-a1bc04e6d801</t>
        </is>
      </c>
      <c r="C420" s="5" t="inlineStr">
        <is>
          <t>01a152b9-6e67-75da-8adb-b03e5d07fd21</t>
        </is>
      </c>
      <c r="D420" s="4" t="n">
        <v>46314.2459360951</v>
      </c>
      <c r="E420" s="4" t="n">
        <v>46314.24593609518</v>
      </c>
      <c r="F420" t="b">
        <v>1</v>
      </c>
      <c r="G420" t="n">
        <v/>
      </c>
      <c r="H420" t="inlineStr">
        <is>
          <t>MAH</t>
        </is>
      </c>
      <c r="I420" t="inlineStr">
        <is>
          <t>Macmahon Holdings Ltd</t>
        </is>
      </c>
      <c r="J420" t="inlineStr">
        <is>
          <t>AUD</t>
        </is>
      </c>
      <c r="K420" s="5" t="inlineStr">
        <is>
          <t>01a152b9-6ee2-7577-bddd-382bc3853fde</t>
        </is>
      </c>
      <c r="M420" t="inlineStr">
        <is>
          <t>UNKNOWN</t>
        </is>
      </c>
      <c r="N420" t="inlineStr">
        <is>
          <t>DEFAULT</t>
        </is>
      </c>
      <c r="Q420" t="n">
        <v>0</v>
      </c>
      <c r="R420" t="inlineStr">
        <is>
          <t>AUD</t>
        </is>
      </c>
      <c r="S420" t="n">
        <v>0</v>
      </c>
      <c r="T420" t="inlineStr">
        <is>
          <t>AUD</t>
        </is>
      </c>
      <c r="U420" t="n">
        <v>0</v>
      </c>
    </row>
    <row r="421">
      <c r="A421" s="5" t="inlineStr">
        <is>
          <t>01a152b9-7771-7518-8715-392f1941c531</t>
        </is>
      </c>
      <c r="C421" s="5" t="inlineStr">
        <is>
          <t>01a152b9-6e67-75da-8adb-b03e5d07fd21</t>
        </is>
      </c>
      <c r="D421" s="4" t="n">
        <v>46314.24593613329</v>
      </c>
      <c r="E421" s="4" t="n">
        <v>46314.24593613338</v>
      </c>
      <c r="F421" t="b">
        <v>1</v>
      </c>
      <c r="G421" t="n">
        <v/>
      </c>
      <c r="H421" t="inlineStr">
        <is>
          <t>PNR</t>
        </is>
      </c>
      <c r="I421" t="inlineStr">
        <is>
          <t>Pantoro Ltd</t>
        </is>
      </c>
      <c r="J421" t="inlineStr">
        <is>
          <t>AUD</t>
        </is>
      </c>
      <c r="K421" s="5" t="inlineStr">
        <is>
          <t>01a152b9-6ee2-7577-bddd-382bc3853fde</t>
        </is>
      </c>
      <c r="M421" t="inlineStr">
        <is>
          <t>UNKNOWN</t>
        </is>
      </c>
      <c r="N421" t="inlineStr">
        <is>
          <t>DEFAULT</t>
        </is>
      </c>
      <c r="Q421" t="n">
        <v>0</v>
      </c>
      <c r="R421" t="inlineStr">
        <is>
          <t>AUD</t>
        </is>
      </c>
      <c r="S421" t="n">
        <v>0</v>
      </c>
      <c r="T421" t="inlineStr">
        <is>
          <t>AUD</t>
        </is>
      </c>
      <c r="U421" t="n">
        <v>0</v>
      </c>
    </row>
    <row r="422">
      <c r="A422" s="5" t="inlineStr">
        <is>
          <t>01a152b9-7775-755b-9ee8-d6a0dd769082</t>
        </is>
      </c>
      <c r="C422" s="5" t="inlineStr">
        <is>
          <t>01a152b9-6e67-75da-8adb-b03e5d07fd21</t>
        </is>
      </c>
      <c r="D422" s="4" t="n">
        <v>46314.24593617405</v>
      </c>
      <c r="E422" s="4" t="n">
        <v>46314.24593617414</v>
      </c>
      <c r="F422" t="b">
        <v>1</v>
      </c>
      <c r="G422" t="n">
        <v/>
      </c>
      <c r="H422" t="inlineStr">
        <is>
          <t>CVL</t>
        </is>
      </c>
      <c r="I422" t="inlineStr">
        <is>
          <t>Civmec Ltd</t>
        </is>
      </c>
      <c r="J422" t="inlineStr">
        <is>
          <t>AUD</t>
        </is>
      </c>
      <c r="K422" s="5" t="inlineStr">
        <is>
          <t>01a152b9-6ee2-7577-bddd-382bc3853fde</t>
        </is>
      </c>
      <c r="M422" t="inlineStr">
        <is>
          <t>UNKNOWN</t>
        </is>
      </c>
      <c r="N422" t="inlineStr">
        <is>
          <t>DEFAULT</t>
        </is>
      </c>
      <c r="Q422" t="n">
        <v>0</v>
      </c>
      <c r="R422" t="inlineStr">
        <is>
          <t>AUD</t>
        </is>
      </c>
      <c r="S422" t="n">
        <v>0</v>
      </c>
      <c r="T422" t="inlineStr">
        <is>
          <t>AUD</t>
        </is>
      </c>
      <c r="U422" t="n">
        <v>0</v>
      </c>
    </row>
    <row r="423">
      <c r="A423" s="5" t="inlineStr">
        <is>
          <t>01a152b9-7778-7608-9009-c0b0272d2b9d</t>
        </is>
      </c>
      <c r="C423" s="5" t="inlineStr">
        <is>
          <t>01a152b9-6e67-75da-8adb-b03e5d07fd21</t>
        </is>
      </c>
      <c r="D423" s="4" t="n">
        <v>46314.24593621372</v>
      </c>
      <c r="E423" s="4" t="n">
        <v>46314.24593621382</v>
      </c>
      <c r="F423" t="b">
        <v>1</v>
      </c>
      <c r="G423" t="n">
        <v/>
      </c>
      <c r="H423" t="inlineStr">
        <is>
          <t>WHF</t>
        </is>
      </c>
      <c r="I423" t="inlineStr">
        <is>
          <t>Whitefield Industrials Ltd</t>
        </is>
      </c>
      <c r="J423" t="inlineStr">
        <is>
          <t>AUD</t>
        </is>
      </c>
      <c r="K423" s="5" t="inlineStr">
        <is>
          <t>01a152b9-6ee2-7577-bddd-382bc3853fde</t>
        </is>
      </c>
      <c r="M423" t="inlineStr">
        <is>
          <t>COMPANY</t>
        </is>
      </c>
      <c r="N423" t="inlineStr">
        <is>
          <t>SUGGESTED</t>
        </is>
      </c>
      <c r="Q423" t="n">
        <v>0</v>
      </c>
      <c r="R423" t="inlineStr">
        <is>
          <t>AUD</t>
        </is>
      </c>
      <c r="S423" t="n">
        <v>0</v>
      </c>
      <c r="T423" t="inlineStr">
        <is>
          <t>AUD</t>
        </is>
      </c>
      <c r="U423" t="n">
        <v>0</v>
      </c>
    </row>
    <row r="424">
      <c r="A424" s="5" t="inlineStr">
        <is>
          <t>01a152b9-777c-7243-8fd9-aca521689d1b</t>
        </is>
      </c>
      <c r="C424" s="5" t="inlineStr">
        <is>
          <t>01a152b9-6e67-75da-8adb-b03e5d07fd21</t>
        </is>
      </c>
      <c r="D424" s="4" t="n">
        <v>46314.24593625979</v>
      </c>
      <c r="E424" s="4" t="n">
        <v>46314.2459362599</v>
      </c>
      <c r="F424" t="b">
        <v>1</v>
      </c>
      <c r="G424" t="n">
        <v/>
      </c>
      <c r="H424" t="inlineStr">
        <is>
          <t>STX</t>
        </is>
      </c>
      <c r="I424" t="inlineStr">
        <is>
          <t>Strike Energy Ltd</t>
        </is>
      </c>
      <c r="J424" t="inlineStr">
        <is>
          <t>AUD</t>
        </is>
      </c>
      <c r="K424" s="5" t="inlineStr">
        <is>
          <t>01a152b9-6ee2-7577-bddd-382bc3853fde</t>
        </is>
      </c>
      <c r="M424" t="inlineStr">
        <is>
          <t>UNKNOWN</t>
        </is>
      </c>
      <c r="N424" t="inlineStr">
        <is>
          <t>DEFAULT</t>
        </is>
      </c>
      <c r="Q424" t="n">
        <v>0</v>
      </c>
      <c r="R424" t="inlineStr">
        <is>
          <t>AUD</t>
        </is>
      </c>
      <c r="S424" t="n">
        <v>0</v>
      </c>
      <c r="T424" t="inlineStr">
        <is>
          <t>AUD</t>
        </is>
      </c>
      <c r="U424" t="n">
        <v>0</v>
      </c>
    </row>
    <row r="425">
      <c r="A425" s="5" t="inlineStr">
        <is>
          <t>01a152b9-777f-732e-8c17-8cc7fc7a2c98</t>
        </is>
      </c>
      <c r="C425" s="5" t="inlineStr">
        <is>
          <t>01a152b9-6e67-75da-8adb-b03e5d07fd21</t>
        </is>
      </c>
      <c r="D425" s="4" t="n">
        <v>46314.24593629633</v>
      </c>
      <c r="E425" s="4" t="n">
        <v>46314.24593629644</v>
      </c>
      <c r="F425" t="b">
        <v>1</v>
      </c>
      <c r="G425" t="n">
        <v/>
      </c>
      <c r="H425" t="inlineStr">
        <is>
          <t>FPR</t>
        </is>
      </c>
      <c r="I425" t="inlineStr">
        <is>
          <t>Fleetpartners Group Ltd</t>
        </is>
      </c>
      <c r="J425" t="inlineStr">
        <is>
          <t>AUD</t>
        </is>
      </c>
      <c r="K425" s="5" t="inlineStr">
        <is>
          <t>01a152b9-6ee2-7577-bddd-382bc3853fde</t>
        </is>
      </c>
      <c r="M425" t="inlineStr">
        <is>
          <t>UNKNOWN</t>
        </is>
      </c>
      <c r="N425" t="inlineStr">
        <is>
          <t>DEFAULT</t>
        </is>
      </c>
      <c r="Q425" t="n">
        <v>0</v>
      </c>
      <c r="R425" t="inlineStr">
        <is>
          <t>AUD</t>
        </is>
      </c>
      <c r="S425" t="n">
        <v>0</v>
      </c>
      <c r="T425" t="inlineStr">
        <is>
          <t>AUD</t>
        </is>
      </c>
      <c r="U425" t="n">
        <v>0</v>
      </c>
    </row>
    <row r="426">
      <c r="A426" s="5" t="inlineStr">
        <is>
          <t>01a152b9-7783-77d9-ab10-1bbb7d487116</t>
        </is>
      </c>
      <c r="C426" s="5" t="inlineStr">
        <is>
          <t>01a152b9-6e67-75da-8adb-b03e5d07fd21</t>
        </is>
      </c>
      <c r="D426" s="4" t="n">
        <v>46314.24593633717</v>
      </c>
      <c r="E426" s="4" t="n">
        <v>46314.24593633725</v>
      </c>
      <c r="F426" t="b">
        <v>1</v>
      </c>
      <c r="G426" t="n">
        <v/>
      </c>
      <c r="H426" t="inlineStr">
        <is>
          <t>OPH</t>
        </is>
      </c>
      <c r="I426" t="inlineStr">
        <is>
          <t>Ophir High Conviction Fund</t>
        </is>
      </c>
      <c r="J426" t="inlineStr">
        <is>
          <t>AUD</t>
        </is>
      </c>
      <c r="K426" s="5" t="inlineStr">
        <is>
          <t>01a152b9-6ee2-7577-bddd-382bc3853fde</t>
        </is>
      </c>
      <c r="M426" t="inlineStr">
        <is>
          <t>COMPANY</t>
        </is>
      </c>
      <c r="N426" t="inlineStr">
        <is>
          <t>SUGGESTED</t>
        </is>
      </c>
      <c r="Q426" t="n">
        <v>0</v>
      </c>
      <c r="R426" t="inlineStr">
        <is>
          <t>AUD</t>
        </is>
      </c>
      <c r="S426" t="n">
        <v>0</v>
      </c>
      <c r="T426" t="inlineStr">
        <is>
          <t>AUD</t>
        </is>
      </c>
      <c r="U426" t="n">
        <v>0</v>
      </c>
    </row>
    <row r="427">
      <c r="A427" s="5" t="inlineStr">
        <is>
          <t>01a152b9-7786-7056-948a-d08128821d5c</t>
        </is>
      </c>
      <c r="C427" s="5" t="inlineStr">
        <is>
          <t>01a152b9-6e67-75da-8adb-b03e5d07fd21</t>
        </is>
      </c>
      <c r="D427" s="4" t="n">
        <v>46314.24593637591</v>
      </c>
      <c r="E427" s="4" t="n">
        <v>46314.24593637601</v>
      </c>
      <c r="F427" t="b">
        <v>1</v>
      </c>
      <c r="G427" t="n">
        <v/>
      </c>
      <c r="H427" t="inlineStr">
        <is>
          <t>URW</t>
        </is>
      </c>
      <c r="I427" t="inlineStr">
        <is>
          <t>Unibail-Rodamco-Westfield</t>
        </is>
      </c>
      <c r="J427" t="inlineStr">
        <is>
          <t>AUD</t>
        </is>
      </c>
      <c r="K427" s="5" t="inlineStr">
        <is>
          <t>01a152b9-6ee2-7577-bddd-382bc3853fde</t>
        </is>
      </c>
      <c r="M427" t="inlineStr">
        <is>
          <t>UNKNOWN</t>
        </is>
      </c>
      <c r="N427" t="inlineStr">
        <is>
          <t>DEFAULT</t>
        </is>
      </c>
      <c r="Q427" t="n">
        <v>0</v>
      </c>
      <c r="R427" t="inlineStr">
        <is>
          <t>AUD</t>
        </is>
      </c>
      <c r="S427" t="n">
        <v>0</v>
      </c>
      <c r="T427" t="inlineStr">
        <is>
          <t>AUD</t>
        </is>
      </c>
      <c r="U427" t="n">
        <v>0</v>
      </c>
    </row>
    <row r="428">
      <c r="A428" s="5" t="inlineStr">
        <is>
          <t>01a152b9-778a-739d-8a83-34a1d1e1405b</t>
        </is>
      </c>
      <c r="C428" s="5" t="inlineStr">
        <is>
          <t>01a152b9-6e67-75da-8adb-b03e5d07fd21</t>
        </is>
      </c>
      <c r="D428" s="4" t="n">
        <v>46314.24593641496</v>
      </c>
      <c r="E428" s="4" t="n">
        <v>46314.24593641506</v>
      </c>
      <c r="F428" t="b">
        <v>1</v>
      </c>
      <c r="G428" t="n">
        <v/>
      </c>
      <c r="H428" t="inlineStr">
        <is>
          <t>MBLPC</t>
        </is>
      </c>
      <c r="I428" t="inlineStr">
        <is>
          <t>Macquarie Bank Ltd</t>
        </is>
      </c>
      <c r="J428" t="inlineStr">
        <is>
          <t>AUD</t>
        </is>
      </c>
      <c r="K428" s="5" t="inlineStr">
        <is>
          <t>01a152b9-6ee2-7577-bddd-382bc3853fde</t>
        </is>
      </c>
      <c r="M428" t="inlineStr">
        <is>
          <t>UNKNOWN</t>
        </is>
      </c>
      <c r="N428" t="inlineStr">
        <is>
          <t>DEFAULT</t>
        </is>
      </c>
      <c r="Q428" t="n">
        <v>0</v>
      </c>
      <c r="R428" t="inlineStr">
        <is>
          <t>AUD</t>
        </is>
      </c>
      <c r="S428" t="n">
        <v>0</v>
      </c>
      <c r="T428" t="inlineStr">
        <is>
          <t>AUD</t>
        </is>
      </c>
      <c r="U428" t="n">
        <v>0</v>
      </c>
    </row>
    <row r="429">
      <c r="A429" s="5" t="inlineStr">
        <is>
          <t>01a152b9-778d-77a4-951e-8b8cc22b1dad</t>
        </is>
      </c>
      <c r="C429" s="5" t="inlineStr">
        <is>
          <t>01a152b9-6e67-75da-8adb-b03e5d07fd21</t>
        </is>
      </c>
      <c r="D429" s="4" t="n">
        <v>46314.24593645358</v>
      </c>
      <c r="E429" s="4" t="n">
        <v>46314.24593645367</v>
      </c>
      <c r="F429" t="b">
        <v>1</v>
      </c>
      <c r="G429" t="n">
        <v/>
      </c>
      <c r="H429" t="inlineStr">
        <is>
          <t>MIR</t>
        </is>
      </c>
      <c r="I429" t="inlineStr">
        <is>
          <t>Mirrabooka Investments Ltd</t>
        </is>
      </c>
      <c r="J429" t="inlineStr">
        <is>
          <t>AUD</t>
        </is>
      </c>
      <c r="K429" s="5" t="inlineStr">
        <is>
          <t>01a152b9-6ee2-7577-bddd-382bc3853fde</t>
        </is>
      </c>
      <c r="M429" t="inlineStr">
        <is>
          <t>COMPANY</t>
        </is>
      </c>
      <c r="N429" t="inlineStr">
        <is>
          <t>SUGGESTED</t>
        </is>
      </c>
      <c r="Q429" t="n">
        <v>0</v>
      </c>
      <c r="R429" t="inlineStr">
        <is>
          <t>AUD</t>
        </is>
      </c>
      <c r="S429" t="n">
        <v>0</v>
      </c>
      <c r="T429" t="inlineStr">
        <is>
          <t>AUD</t>
        </is>
      </c>
      <c r="U429" t="n">
        <v>0</v>
      </c>
    </row>
    <row r="430">
      <c r="A430" s="5" t="inlineStr">
        <is>
          <t>01a152b9-7790-7055-b093-51b20adc6448</t>
        </is>
      </c>
      <c r="C430" s="5" t="inlineStr">
        <is>
          <t>01a152b9-6e67-75da-8adb-b03e5d07fd21</t>
        </is>
      </c>
      <c r="D430" s="4" t="n">
        <v>46314.24593649415</v>
      </c>
      <c r="E430" s="4" t="n">
        <v>46314.24593649423</v>
      </c>
      <c r="F430" t="b">
        <v>1</v>
      </c>
      <c r="G430" t="n">
        <v/>
      </c>
      <c r="H430" t="inlineStr">
        <is>
          <t>LPGD</t>
        </is>
      </c>
      <c r="I430" t="inlineStr">
        <is>
          <t>Loftus Peak Global Disruption Active ETF</t>
        </is>
      </c>
      <c r="J430" t="inlineStr">
        <is>
          <t>AUD</t>
        </is>
      </c>
      <c r="K430" s="5" t="inlineStr">
        <is>
          <t>01a152b9-6ee2-7577-bddd-382bc3853fde</t>
        </is>
      </c>
      <c r="M430" t="inlineStr">
        <is>
          <t>UNKNOWN</t>
        </is>
      </c>
      <c r="N430" t="inlineStr">
        <is>
          <t>DEFAULT</t>
        </is>
      </c>
      <c r="Q430" t="n">
        <v>0</v>
      </c>
      <c r="R430" t="inlineStr">
        <is>
          <t>AUD</t>
        </is>
      </c>
      <c r="S430" t="n">
        <v>0</v>
      </c>
      <c r="T430" t="inlineStr">
        <is>
          <t>AUD</t>
        </is>
      </c>
      <c r="U430" t="n">
        <v>0</v>
      </c>
    </row>
    <row r="431">
      <c r="A431" s="5" t="inlineStr">
        <is>
          <t>01a152b9-7794-700b-a8d4-c069ee0f720d</t>
        </is>
      </c>
      <c r="C431" s="5" t="inlineStr">
        <is>
          <t>01a152b9-6e67-75da-8adb-b03e5d07fd21</t>
        </is>
      </c>
      <c r="D431" s="4" t="n">
        <v>46314.24593653274</v>
      </c>
      <c r="E431" s="4" t="n">
        <v>46314.24593653287</v>
      </c>
      <c r="F431" t="b">
        <v>1</v>
      </c>
      <c r="G431" t="n">
        <v/>
      </c>
      <c r="H431" t="inlineStr">
        <is>
          <t>GWA</t>
        </is>
      </c>
      <c r="I431" t="inlineStr">
        <is>
          <t>GWA Group Ltd</t>
        </is>
      </c>
      <c r="J431" t="inlineStr">
        <is>
          <t>AUD</t>
        </is>
      </c>
      <c r="K431" s="5" t="inlineStr">
        <is>
          <t>01a152b9-6ee2-7577-bddd-382bc3853fde</t>
        </is>
      </c>
      <c r="M431" t="inlineStr">
        <is>
          <t>UNKNOWN</t>
        </is>
      </c>
      <c r="N431" t="inlineStr">
        <is>
          <t>DEFAULT</t>
        </is>
      </c>
      <c r="Q431" t="n">
        <v>0</v>
      </c>
      <c r="R431" t="inlineStr">
        <is>
          <t>AUD</t>
        </is>
      </c>
      <c r="S431" t="n">
        <v>0</v>
      </c>
      <c r="T431" t="inlineStr">
        <is>
          <t>AUD</t>
        </is>
      </c>
      <c r="U431" t="n">
        <v>0</v>
      </c>
    </row>
    <row r="432">
      <c r="A432" s="5" t="inlineStr">
        <is>
          <t>01a152b9-7797-75dc-a6c9-7b13977724e5</t>
        </is>
      </c>
      <c r="C432" s="5" t="inlineStr">
        <is>
          <t>01a152b9-6e67-75da-8adb-b03e5d07fd21</t>
        </is>
      </c>
      <c r="D432" s="4" t="n">
        <v>46314.24593657354</v>
      </c>
      <c r="E432" s="4" t="n">
        <v>46314.24593657364</v>
      </c>
      <c r="F432" t="b">
        <v>1</v>
      </c>
      <c r="G432" t="n">
        <v/>
      </c>
      <c r="H432" t="inlineStr">
        <is>
          <t>PPC</t>
        </is>
      </c>
      <c r="I432" t="inlineStr">
        <is>
          <t>Peet Ltd</t>
        </is>
      </c>
      <c r="J432" t="inlineStr">
        <is>
          <t>AUD</t>
        </is>
      </c>
      <c r="K432" s="5" t="inlineStr">
        <is>
          <t>01a152b9-6ee2-7577-bddd-382bc3853fde</t>
        </is>
      </c>
      <c r="M432" t="inlineStr">
        <is>
          <t>UNKNOWN</t>
        </is>
      </c>
      <c r="N432" t="inlineStr">
        <is>
          <t>DEFAULT</t>
        </is>
      </c>
      <c r="Q432" t="n">
        <v>0</v>
      </c>
      <c r="R432" t="inlineStr">
        <is>
          <t>AUD</t>
        </is>
      </c>
      <c r="S432" t="n">
        <v>0</v>
      </c>
      <c r="T432" t="inlineStr">
        <is>
          <t>AUD</t>
        </is>
      </c>
      <c r="U432" t="n">
        <v>0</v>
      </c>
    </row>
    <row r="433">
      <c r="A433" s="5" t="inlineStr">
        <is>
          <t>01a152b9-779a-76ef-a8ca-33662b485975</t>
        </is>
      </c>
      <c r="C433" s="5" t="inlineStr">
        <is>
          <t>01a152b9-6e67-75da-8adb-b03e5d07fd21</t>
        </is>
      </c>
      <c r="D433" s="4" t="n">
        <v>46314.24593660932</v>
      </c>
      <c r="E433" s="4" t="n">
        <v>46314.24593660941</v>
      </c>
      <c r="F433" t="b">
        <v>1</v>
      </c>
      <c r="G433" t="n">
        <v/>
      </c>
      <c r="H433" t="inlineStr">
        <is>
          <t>DVP</t>
        </is>
      </c>
      <c r="I433" t="inlineStr">
        <is>
          <t>Develop Global Ltd</t>
        </is>
      </c>
      <c r="J433" t="inlineStr">
        <is>
          <t>AUD</t>
        </is>
      </c>
      <c r="K433" s="5" t="inlineStr">
        <is>
          <t>01a152b9-6ee2-7577-bddd-382bc3853fde</t>
        </is>
      </c>
      <c r="M433" t="inlineStr">
        <is>
          <t>UNKNOWN</t>
        </is>
      </c>
      <c r="N433" t="inlineStr">
        <is>
          <t>DEFAULT</t>
        </is>
      </c>
      <c r="Q433" t="n">
        <v>0</v>
      </c>
      <c r="R433" t="inlineStr">
        <is>
          <t>AUD</t>
        </is>
      </c>
      <c r="S433" t="n">
        <v>0</v>
      </c>
      <c r="T433" t="inlineStr">
        <is>
          <t>AUD</t>
        </is>
      </c>
      <c r="U433" t="n">
        <v>0</v>
      </c>
    </row>
    <row r="434">
      <c r="A434" s="5" t="inlineStr">
        <is>
          <t>01a152b9-779e-758b-83d2-0851cf343506</t>
        </is>
      </c>
      <c r="C434" s="5" t="inlineStr">
        <is>
          <t>01a152b9-6e67-75da-8adb-b03e5d07fd21</t>
        </is>
      </c>
      <c r="D434" s="4" t="n">
        <v>46314.24593664782</v>
      </c>
      <c r="E434" s="4" t="n">
        <v>46314.24593664794</v>
      </c>
      <c r="F434" t="b">
        <v>1</v>
      </c>
      <c r="G434" t="n">
        <v/>
      </c>
      <c r="H434" t="inlineStr">
        <is>
          <t>VACF</t>
        </is>
      </c>
      <c r="I434" t="inlineStr">
        <is>
          <t>Vanguard Australian Corp Fixed Interest INDEX ETF</t>
        </is>
      </c>
      <c r="J434" t="inlineStr">
        <is>
          <t>AUD</t>
        </is>
      </c>
      <c r="K434" s="5" t="inlineStr">
        <is>
          <t>01a152b9-6ee2-7577-bddd-382bc3853fde</t>
        </is>
      </c>
      <c r="M434" t="inlineStr">
        <is>
          <t>UNIT_TRUST</t>
        </is>
      </c>
      <c r="N434" t="inlineStr">
        <is>
          <t>SUGGESTED</t>
        </is>
      </c>
      <c r="Q434" t="n">
        <v>0</v>
      </c>
      <c r="R434" t="inlineStr">
        <is>
          <t>AUD</t>
        </is>
      </c>
      <c r="S434" t="n">
        <v>0</v>
      </c>
      <c r="T434" t="inlineStr">
        <is>
          <t>AUD</t>
        </is>
      </c>
      <c r="U434" t="n">
        <v>0</v>
      </c>
    </row>
    <row r="435">
      <c r="A435" s="5" t="inlineStr">
        <is>
          <t>01a152b9-77a2-7543-81c8-e23543023ab1</t>
        </is>
      </c>
      <c r="C435" s="5" t="inlineStr">
        <is>
          <t>01a152b9-6e67-75da-8adb-b03e5d07fd21</t>
        </is>
      </c>
      <c r="D435" s="4" t="n">
        <v>46314.24593669825</v>
      </c>
      <c r="E435" s="4" t="n">
        <v>46314.24593669837</v>
      </c>
      <c r="F435" t="b">
        <v>1</v>
      </c>
      <c r="G435" t="n">
        <v/>
      </c>
      <c r="H435" t="inlineStr">
        <is>
          <t>QOZ</t>
        </is>
      </c>
      <c r="I435" t="inlineStr">
        <is>
          <t>Betashares Ftse Rafi Australia 200 ETF</t>
        </is>
      </c>
      <c r="J435" t="inlineStr">
        <is>
          <t>AUD</t>
        </is>
      </c>
      <c r="K435" s="5" t="inlineStr">
        <is>
          <t>01a152b9-6ee2-7577-bddd-382bc3853fde</t>
        </is>
      </c>
      <c r="M435" t="inlineStr">
        <is>
          <t>UNKNOWN</t>
        </is>
      </c>
      <c r="N435" t="inlineStr">
        <is>
          <t>DEFAULT</t>
        </is>
      </c>
      <c r="Q435" t="n">
        <v>0</v>
      </c>
      <c r="R435" t="inlineStr">
        <is>
          <t>AUD</t>
        </is>
      </c>
      <c r="S435" t="n">
        <v>0</v>
      </c>
      <c r="T435" t="inlineStr">
        <is>
          <t>AUD</t>
        </is>
      </c>
      <c r="U435" t="n">
        <v>0</v>
      </c>
    </row>
    <row r="436">
      <c r="A436" s="5" t="inlineStr">
        <is>
          <t>01a152b9-77a6-74d2-91d7-d4369d1db7dc</t>
        </is>
      </c>
      <c r="C436" s="5" t="inlineStr">
        <is>
          <t>01a152b9-6e67-75da-8adb-b03e5d07fd21</t>
        </is>
      </c>
      <c r="D436" s="4" t="n">
        <v>46314.24593674389</v>
      </c>
      <c r="E436" s="4" t="n">
        <v>46314.245936744</v>
      </c>
      <c r="F436" t="b">
        <v>1</v>
      </c>
      <c r="G436" t="n">
        <v/>
      </c>
      <c r="H436" t="inlineStr">
        <is>
          <t>OML</t>
        </is>
      </c>
      <c r="I436" t="inlineStr">
        <is>
          <t>Ooh!Media Ltd</t>
        </is>
      </c>
      <c r="J436" t="inlineStr">
        <is>
          <t>AUD</t>
        </is>
      </c>
      <c r="K436" s="5" t="inlineStr">
        <is>
          <t>01a152b9-6ee2-7577-bddd-382bc3853fde</t>
        </is>
      </c>
      <c r="M436" t="inlineStr">
        <is>
          <t>UNKNOWN</t>
        </is>
      </c>
      <c r="N436" t="inlineStr">
        <is>
          <t>DEFAULT</t>
        </is>
      </c>
      <c r="Q436" t="n">
        <v>0</v>
      </c>
      <c r="R436" t="inlineStr">
        <is>
          <t>AUD</t>
        </is>
      </c>
      <c r="S436" t="n">
        <v>0</v>
      </c>
      <c r="T436" t="inlineStr">
        <is>
          <t>AUD</t>
        </is>
      </c>
      <c r="U436" t="n">
        <v>0</v>
      </c>
    </row>
    <row r="437">
      <c r="A437" s="5" t="inlineStr">
        <is>
          <t>01a152b9-77aa-7224-ac16-91262c25c69b</t>
        </is>
      </c>
      <c r="C437" s="5" t="inlineStr">
        <is>
          <t>01a152b9-6e67-75da-8adb-b03e5d07fd21</t>
        </is>
      </c>
      <c r="D437" s="4" t="n">
        <v>46314.24593679253</v>
      </c>
      <c r="E437" s="4" t="n">
        <v>46314.24593679269</v>
      </c>
      <c r="F437" t="b">
        <v>1</v>
      </c>
      <c r="G437" t="n">
        <v/>
      </c>
      <c r="H437" t="inlineStr">
        <is>
          <t>SHV</t>
        </is>
      </c>
      <c r="I437" t="inlineStr">
        <is>
          <t>Select Harvests Ltd</t>
        </is>
      </c>
      <c r="J437" t="inlineStr">
        <is>
          <t>AUD</t>
        </is>
      </c>
      <c r="K437" s="5" t="inlineStr">
        <is>
          <t>01a152b9-6ee2-7577-bddd-382bc3853fde</t>
        </is>
      </c>
      <c r="M437" t="inlineStr">
        <is>
          <t>UNKNOWN</t>
        </is>
      </c>
      <c r="N437" t="inlineStr">
        <is>
          <t>DEFAULT</t>
        </is>
      </c>
      <c r="Q437" t="n">
        <v>0</v>
      </c>
      <c r="R437" t="inlineStr">
        <is>
          <t>AUD</t>
        </is>
      </c>
      <c r="S437" t="n">
        <v>0</v>
      </c>
      <c r="T437" t="inlineStr">
        <is>
          <t>AUD</t>
        </is>
      </c>
      <c r="U437" t="n">
        <v>0</v>
      </c>
    </row>
    <row r="438">
      <c r="A438" s="5" t="inlineStr">
        <is>
          <t>01a152b9-77af-7611-a80f-aae0a3164406</t>
        </is>
      </c>
      <c r="C438" s="5" t="inlineStr">
        <is>
          <t>01a152b9-6e67-75da-8adb-b03e5d07fd21</t>
        </is>
      </c>
      <c r="D438" s="4" t="n">
        <v>46314.24593684263</v>
      </c>
      <c r="E438" s="4" t="n">
        <v>46314.24593684278</v>
      </c>
      <c r="F438" t="b">
        <v>1</v>
      </c>
      <c r="G438" t="n">
        <v/>
      </c>
      <c r="H438" t="inlineStr">
        <is>
          <t>UNI</t>
        </is>
      </c>
      <c r="I438" t="inlineStr">
        <is>
          <t>Universal Store Holdings Ltd</t>
        </is>
      </c>
      <c r="J438" t="inlineStr">
        <is>
          <t>AUD</t>
        </is>
      </c>
      <c r="K438" s="5" t="inlineStr">
        <is>
          <t>01a152b9-6ee2-7577-bddd-382bc3853fde</t>
        </is>
      </c>
      <c r="M438" t="inlineStr">
        <is>
          <t>UNKNOWN</t>
        </is>
      </c>
      <c r="N438" t="inlineStr">
        <is>
          <t>DEFAULT</t>
        </is>
      </c>
      <c r="Q438" t="n">
        <v>0</v>
      </c>
      <c r="R438" t="inlineStr">
        <is>
          <t>AUD</t>
        </is>
      </c>
      <c r="S438" t="n">
        <v>0</v>
      </c>
      <c r="T438" t="inlineStr">
        <is>
          <t>AUD</t>
        </is>
      </c>
      <c r="U438" t="n">
        <v>0</v>
      </c>
    </row>
    <row r="439">
      <c r="A439" s="5" t="inlineStr">
        <is>
          <t>01a152b9-77b3-7605-9520-9b73acdb4634</t>
        </is>
      </c>
      <c r="C439" s="5" t="inlineStr">
        <is>
          <t>01a152b9-6e67-75da-8adb-b03e5d07fd21</t>
        </is>
      </c>
      <c r="D439" s="4" t="n">
        <v>46314.24593688994</v>
      </c>
      <c r="E439" s="4" t="n">
        <v>46314.24593689007</v>
      </c>
      <c r="F439" t="b">
        <v>1</v>
      </c>
      <c r="G439" t="n">
        <v/>
      </c>
      <c r="H439" t="inlineStr">
        <is>
          <t>APX</t>
        </is>
      </c>
      <c r="I439" t="inlineStr">
        <is>
          <t>Appen Ltd</t>
        </is>
      </c>
      <c r="J439" t="inlineStr">
        <is>
          <t>AUD</t>
        </is>
      </c>
      <c r="K439" s="5" t="inlineStr">
        <is>
          <t>01a152b9-6ee2-7577-bddd-382bc3853fde</t>
        </is>
      </c>
      <c r="M439" t="inlineStr">
        <is>
          <t>UNKNOWN</t>
        </is>
      </c>
      <c r="N439" t="inlineStr">
        <is>
          <t>DEFAULT</t>
        </is>
      </c>
      <c r="Q439" t="n">
        <v>0</v>
      </c>
      <c r="R439" t="inlineStr">
        <is>
          <t>AUD</t>
        </is>
      </c>
      <c r="S439" t="n">
        <v>0</v>
      </c>
      <c r="T439" t="inlineStr">
        <is>
          <t>AUD</t>
        </is>
      </c>
      <c r="U439" t="n">
        <v>0</v>
      </c>
    </row>
    <row r="440">
      <c r="A440" s="5" t="inlineStr">
        <is>
          <t>01a152b9-77b7-77d7-b46c-162b41b0fdee</t>
        </is>
      </c>
      <c r="C440" s="5" t="inlineStr">
        <is>
          <t>01a152b9-6e67-75da-8adb-b03e5d07fd21</t>
        </is>
      </c>
      <c r="D440" s="4" t="n">
        <v>46314.24593693684</v>
      </c>
      <c r="E440" s="4" t="n">
        <v>46314.24593693698</v>
      </c>
      <c r="F440" t="b">
        <v>1</v>
      </c>
      <c r="G440" t="n">
        <v/>
      </c>
      <c r="H440" t="inlineStr">
        <is>
          <t>RFF</t>
        </is>
      </c>
      <c r="I440" t="inlineStr">
        <is>
          <t>Rural Funds Group</t>
        </is>
      </c>
      <c r="J440" t="inlineStr">
        <is>
          <t>AUD</t>
        </is>
      </c>
      <c r="K440" s="5" t="inlineStr">
        <is>
          <t>01a152b9-6ee2-7577-bddd-382bc3853fde</t>
        </is>
      </c>
      <c r="M440" t="inlineStr">
        <is>
          <t>UNKNOWN</t>
        </is>
      </c>
      <c r="N440" t="inlineStr">
        <is>
          <t>DEFAULT</t>
        </is>
      </c>
      <c r="Q440" t="n">
        <v>0</v>
      </c>
      <c r="R440" t="inlineStr">
        <is>
          <t>AUD</t>
        </is>
      </c>
      <c r="S440" t="n">
        <v>0</v>
      </c>
      <c r="T440" t="inlineStr">
        <is>
          <t>AUD</t>
        </is>
      </c>
      <c r="U440" t="n">
        <v>0</v>
      </c>
    </row>
    <row r="441">
      <c r="A441" s="5" t="inlineStr">
        <is>
          <t>01a152b9-77bb-7077-8b9d-25a82ca6c816</t>
        </is>
      </c>
      <c r="C441" s="5" t="inlineStr">
        <is>
          <t>01a152b9-6e67-75da-8adb-b03e5d07fd21</t>
        </is>
      </c>
      <c r="D441" s="4" t="n">
        <v>46314.24593698214</v>
      </c>
      <c r="E441" s="4" t="n">
        <v>46314.24593698227</v>
      </c>
      <c r="F441" t="b">
        <v>1</v>
      </c>
      <c r="G441" t="n">
        <v/>
      </c>
      <c r="H441" t="inlineStr">
        <is>
          <t>PDI</t>
        </is>
      </c>
      <c r="I441" t="inlineStr">
        <is>
          <t>Predictive Discovery Ltd</t>
        </is>
      </c>
      <c r="J441" t="inlineStr">
        <is>
          <t>AUD</t>
        </is>
      </c>
      <c r="K441" s="5" t="inlineStr">
        <is>
          <t>01a152b9-6ee2-7577-bddd-382bc3853fde</t>
        </is>
      </c>
      <c r="M441" t="inlineStr">
        <is>
          <t>UNKNOWN</t>
        </is>
      </c>
      <c r="N441" t="inlineStr">
        <is>
          <t>DEFAULT</t>
        </is>
      </c>
      <c r="Q441" t="n">
        <v>0</v>
      </c>
      <c r="R441" t="inlineStr">
        <is>
          <t>AUD</t>
        </is>
      </c>
      <c r="S441" t="n">
        <v>0</v>
      </c>
      <c r="T441" t="inlineStr">
        <is>
          <t>AUD</t>
        </is>
      </c>
      <c r="U441" t="n">
        <v>0</v>
      </c>
    </row>
    <row r="442">
      <c r="A442" s="5" t="inlineStr">
        <is>
          <t>01a152b9-77bf-767e-9a7e-7d829488f35f</t>
        </is>
      </c>
      <c r="C442" s="5" t="inlineStr">
        <is>
          <t>01a152b9-6e67-75da-8adb-b03e5d07fd21</t>
        </is>
      </c>
      <c r="D442" s="4" t="n">
        <v>46314.24593703052</v>
      </c>
      <c r="E442" s="4" t="n">
        <v>46314.24593703066</v>
      </c>
      <c r="F442" t="b">
        <v>1</v>
      </c>
      <c r="G442" t="n">
        <v/>
      </c>
      <c r="H442" t="inlineStr">
        <is>
          <t>PPM</t>
        </is>
      </c>
      <c r="I442" t="inlineStr">
        <is>
          <t>Pepper Money Ltd</t>
        </is>
      </c>
      <c r="J442" t="inlineStr">
        <is>
          <t>AUD</t>
        </is>
      </c>
      <c r="K442" s="5" t="inlineStr">
        <is>
          <t>01a152b9-6ee2-7577-bddd-382bc3853fde</t>
        </is>
      </c>
      <c r="M442" t="inlineStr">
        <is>
          <t>UNKNOWN</t>
        </is>
      </c>
      <c r="N442" t="inlineStr">
        <is>
          <t>DEFAULT</t>
        </is>
      </c>
      <c r="Q442" t="n">
        <v>0</v>
      </c>
      <c r="R442" t="inlineStr">
        <is>
          <t>AUD</t>
        </is>
      </c>
      <c r="S442" t="n">
        <v>0</v>
      </c>
      <c r="T442" t="inlineStr">
        <is>
          <t>AUD</t>
        </is>
      </c>
      <c r="U442" t="n">
        <v>0</v>
      </c>
    </row>
    <row r="443">
      <c r="A443" s="5" t="inlineStr">
        <is>
          <t>01a152b9-77c3-70e4-a2be-c90776adc073</t>
        </is>
      </c>
      <c r="C443" s="5" t="inlineStr">
        <is>
          <t>01a152b9-6e67-75da-8adb-b03e5d07fd21</t>
        </is>
      </c>
      <c r="D443" s="4" t="n">
        <v>46314.24593707406</v>
      </c>
      <c r="E443" s="4" t="n">
        <v>46314.24593707445</v>
      </c>
      <c r="F443" t="b">
        <v>1</v>
      </c>
      <c r="G443" t="n">
        <v/>
      </c>
      <c r="H443" t="inlineStr">
        <is>
          <t>PAC</t>
        </is>
      </c>
      <c r="I443" t="inlineStr">
        <is>
          <t>Pacific Current Group Ltd</t>
        </is>
      </c>
      <c r="J443" t="inlineStr">
        <is>
          <t>AUD</t>
        </is>
      </c>
      <c r="K443" s="5" t="inlineStr">
        <is>
          <t>01a152b9-6ee2-7577-bddd-382bc3853fde</t>
        </is>
      </c>
      <c r="M443" t="inlineStr">
        <is>
          <t>UNKNOWN</t>
        </is>
      </c>
      <c r="N443" t="inlineStr">
        <is>
          <t>DEFAULT</t>
        </is>
      </c>
      <c r="Q443" t="n">
        <v>0</v>
      </c>
      <c r="R443" t="inlineStr">
        <is>
          <t>AUD</t>
        </is>
      </c>
      <c r="S443" t="n">
        <v>0</v>
      </c>
      <c r="T443" t="inlineStr">
        <is>
          <t>AUD</t>
        </is>
      </c>
      <c r="U443" t="n">
        <v>0</v>
      </c>
    </row>
    <row r="444">
      <c r="A444" s="5" t="inlineStr">
        <is>
          <t>01a152b9-77c7-7326-8bd0-ea89eff9114a</t>
        </is>
      </c>
      <c r="C444" s="5" t="inlineStr">
        <is>
          <t>01a152b9-6e67-75da-8adb-b03e5d07fd21</t>
        </is>
      </c>
      <c r="D444" s="4" t="n">
        <v>46314.2459371231</v>
      </c>
      <c r="E444" s="4" t="n">
        <v>46314.24593712322</v>
      </c>
      <c r="F444" t="b">
        <v>1</v>
      </c>
      <c r="G444" t="n">
        <v/>
      </c>
      <c r="H444" t="inlineStr">
        <is>
          <t>AD8</t>
        </is>
      </c>
      <c r="I444" t="inlineStr">
        <is>
          <t>Audinate Group Ltd</t>
        </is>
      </c>
      <c r="J444" t="inlineStr">
        <is>
          <t>AUD</t>
        </is>
      </c>
      <c r="K444" s="5" t="inlineStr">
        <is>
          <t>01a152b9-6ee2-7577-bddd-382bc3853fde</t>
        </is>
      </c>
      <c r="M444" t="inlineStr">
        <is>
          <t>UNKNOWN</t>
        </is>
      </c>
      <c r="N444" t="inlineStr">
        <is>
          <t>DEFAULT</t>
        </is>
      </c>
      <c r="Q444" t="n">
        <v>0</v>
      </c>
      <c r="R444" t="inlineStr">
        <is>
          <t>AUD</t>
        </is>
      </c>
      <c r="S444" t="n">
        <v>0</v>
      </c>
      <c r="T444" t="inlineStr">
        <is>
          <t>AUD</t>
        </is>
      </c>
      <c r="U444" t="n">
        <v>0</v>
      </c>
    </row>
    <row r="445">
      <c r="A445" s="5" t="inlineStr">
        <is>
          <t>01a152b9-77cb-71ed-8327-4e085508fbf9</t>
        </is>
      </c>
      <c r="C445" s="5" t="inlineStr">
        <is>
          <t>01a152b9-6e67-75da-8adb-b03e5d07fd21</t>
        </is>
      </c>
      <c r="D445" s="4" t="n">
        <v>46314.24593717702</v>
      </c>
      <c r="E445" s="4" t="n">
        <v>46314.24593717716</v>
      </c>
      <c r="F445" t="b">
        <v>1</v>
      </c>
      <c r="G445" t="n">
        <v/>
      </c>
      <c r="H445" t="inlineStr">
        <is>
          <t>HETH</t>
        </is>
      </c>
      <c r="I445" t="inlineStr">
        <is>
          <t>Betashares Global Sustainability Leaders ETF - CH</t>
        </is>
      </c>
      <c r="J445" t="inlineStr">
        <is>
          <t>AUD</t>
        </is>
      </c>
      <c r="K445" s="5" t="inlineStr">
        <is>
          <t>01a152b9-6ee2-7577-bddd-382bc3853fde</t>
        </is>
      </c>
      <c r="M445" t="inlineStr">
        <is>
          <t>UNKNOWN</t>
        </is>
      </c>
      <c r="N445" t="inlineStr">
        <is>
          <t>DEFAULT</t>
        </is>
      </c>
      <c r="Q445" t="n">
        <v>0</v>
      </c>
      <c r="R445" t="inlineStr">
        <is>
          <t>AUD</t>
        </is>
      </c>
      <c r="S445" t="n">
        <v>0</v>
      </c>
      <c r="T445" t="inlineStr">
        <is>
          <t>AUD</t>
        </is>
      </c>
      <c r="U445" t="n">
        <v>0</v>
      </c>
    </row>
    <row r="446">
      <c r="A446" s="5" t="inlineStr">
        <is>
          <t>01a152b9-77d0-70ae-a4fb-284be8d4e7d1</t>
        </is>
      </c>
      <c r="C446" s="5" t="inlineStr">
        <is>
          <t>01a152b9-6e67-75da-8adb-b03e5d07fd21</t>
        </is>
      </c>
      <c r="D446" s="4" t="n">
        <v>46314.24593722905</v>
      </c>
      <c r="E446" s="4" t="n">
        <v>46314.2459372292</v>
      </c>
      <c r="F446" t="b">
        <v>1</v>
      </c>
      <c r="G446" t="n">
        <v/>
      </c>
      <c r="H446" t="inlineStr">
        <is>
          <t>LLL</t>
        </is>
      </c>
      <c r="I446" t="inlineStr">
        <is>
          <t>Leo Lithium Ltd</t>
        </is>
      </c>
      <c r="J446" t="inlineStr">
        <is>
          <t>AUD</t>
        </is>
      </c>
      <c r="K446" s="5" t="inlineStr">
        <is>
          <t>01a152b9-6ee2-7577-bddd-382bc3853fde</t>
        </is>
      </c>
      <c r="M446" t="inlineStr">
        <is>
          <t>UNKNOWN</t>
        </is>
      </c>
      <c r="N446" t="inlineStr">
        <is>
          <t>DEFAULT</t>
        </is>
      </c>
      <c r="Q446" t="n">
        <v>0</v>
      </c>
      <c r="R446" t="inlineStr">
        <is>
          <t>AUD</t>
        </is>
      </c>
      <c r="S446" t="n">
        <v>0</v>
      </c>
      <c r="T446" t="inlineStr">
        <is>
          <t>AUD</t>
        </is>
      </c>
      <c r="U446" t="n">
        <v>0</v>
      </c>
    </row>
    <row r="447">
      <c r="A447" s="5" t="inlineStr">
        <is>
          <t>01a152b9-77d4-744f-bade-f03ada714d39</t>
        </is>
      </c>
      <c r="C447" s="5" t="inlineStr">
        <is>
          <t>01a152b9-6e67-75da-8adb-b03e5d07fd21</t>
        </is>
      </c>
      <c r="D447" s="4" t="n">
        <v>46314.24593727246</v>
      </c>
      <c r="E447" s="4" t="n">
        <v>46314.24593727257</v>
      </c>
      <c r="F447" t="b">
        <v>1</v>
      </c>
      <c r="G447" t="n">
        <v/>
      </c>
      <c r="H447" t="inlineStr">
        <is>
          <t>EBR</t>
        </is>
      </c>
      <c r="I447" t="inlineStr">
        <is>
          <t>EBR Systems Inc</t>
        </is>
      </c>
      <c r="J447" t="inlineStr">
        <is>
          <t>AUD</t>
        </is>
      </c>
      <c r="K447" s="5" t="inlineStr">
        <is>
          <t>01a152b9-6ee2-7577-bddd-382bc3853fde</t>
        </is>
      </c>
      <c r="M447" t="inlineStr">
        <is>
          <t>UNKNOWN</t>
        </is>
      </c>
      <c r="N447" t="inlineStr">
        <is>
          <t>DEFAULT</t>
        </is>
      </c>
      <c r="Q447" t="n">
        <v>0</v>
      </c>
      <c r="R447" t="inlineStr">
        <is>
          <t>AUD</t>
        </is>
      </c>
      <c r="S447" t="n">
        <v>0</v>
      </c>
      <c r="T447" t="inlineStr">
        <is>
          <t>AUD</t>
        </is>
      </c>
      <c r="U447" t="n">
        <v>0</v>
      </c>
    </row>
    <row r="448">
      <c r="A448" s="5" t="inlineStr">
        <is>
          <t>01a152b9-77d7-75b1-97ca-a416d78b9edc</t>
        </is>
      </c>
      <c r="C448" s="5" t="inlineStr">
        <is>
          <t>01a152b9-6e67-75da-8adb-b03e5d07fd21</t>
        </is>
      </c>
      <c r="D448" s="4" t="n">
        <v>46314.24593731564</v>
      </c>
      <c r="E448" s="4" t="n">
        <v>46314.24593731575</v>
      </c>
      <c r="F448" t="b">
        <v>1</v>
      </c>
      <c r="G448" t="n">
        <v/>
      </c>
      <c r="H448" t="inlineStr">
        <is>
          <t>RUL</t>
        </is>
      </c>
      <c r="I448" t="inlineStr">
        <is>
          <t>Rpmglobal Holdings Ltd</t>
        </is>
      </c>
      <c r="J448" t="inlineStr">
        <is>
          <t>AUD</t>
        </is>
      </c>
      <c r="K448" s="5" t="inlineStr">
        <is>
          <t>01a152b9-6ee2-7577-bddd-382bc3853fde</t>
        </is>
      </c>
      <c r="M448" t="inlineStr">
        <is>
          <t>UNKNOWN</t>
        </is>
      </c>
      <c r="N448" t="inlineStr">
        <is>
          <t>DEFAULT</t>
        </is>
      </c>
      <c r="Q448" t="n">
        <v>0</v>
      </c>
      <c r="R448" t="inlineStr">
        <is>
          <t>AUD</t>
        </is>
      </c>
      <c r="S448" t="n">
        <v>0</v>
      </c>
      <c r="T448" t="inlineStr">
        <is>
          <t>AUD</t>
        </is>
      </c>
      <c r="U448" t="n">
        <v>0</v>
      </c>
    </row>
    <row r="449">
      <c r="A449" s="5" t="inlineStr">
        <is>
          <t>01a152b9-77db-7144-a04e-c64a299c9128</t>
        </is>
      </c>
      <c r="C449" s="5" t="inlineStr">
        <is>
          <t>01a152b9-6e67-75da-8adb-b03e5d07fd21</t>
        </is>
      </c>
      <c r="D449" s="4" t="n">
        <v>46314.24593736251</v>
      </c>
      <c r="E449" s="4" t="n">
        <v>46314.24593736262</v>
      </c>
      <c r="F449" t="b">
        <v>1</v>
      </c>
      <c r="G449" t="n">
        <v/>
      </c>
      <c r="H449" t="inlineStr">
        <is>
          <t>MICH</t>
        </is>
      </c>
      <c r="I449" t="inlineStr">
        <is>
          <t>Magellan Infra Fund (Currency Hedged) - Active ETF</t>
        </is>
      </c>
      <c r="J449" t="inlineStr">
        <is>
          <t>AUD</t>
        </is>
      </c>
      <c r="K449" s="5" t="inlineStr">
        <is>
          <t>01a152b9-6ee2-7577-bddd-382bc3853fde</t>
        </is>
      </c>
      <c r="M449" t="inlineStr">
        <is>
          <t>UNKNOWN</t>
        </is>
      </c>
      <c r="N449" t="inlineStr">
        <is>
          <t>DEFAULT</t>
        </is>
      </c>
      <c r="Q449" t="n">
        <v>0</v>
      </c>
      <c r="R449" t="inlineStr">
        <is>
          <t>AUD</t>
        </is>
      </c>
      <c r="S449" t="n">
        <v>0</v>
      </c>
      <c r="T449" t="inlineStr">
        <is>
          <t>AUD</t>
        </is>
      </c>
      <c r="U449" t="n">
        <v>0</v>
      </c>
    </row>
    <row r="450">
      <c r="A450" s="5" t="inlineStr">
        <is>
          <t>01a152b9-77e0-7170-8704-c5136d5815b1</t>
        </is>
      </c>
      <c r="C450" s="5" t="inlineStr">
        <is>
          <t>01a152b9-6e67-75da-8adb-b03e5d07fd21</t>
        </is>
      </c>
      <c r="D450" s="4" t="n">
        <v>46314.24593741001</v>
      </c>
      <c r="E450" s="4" t="n">
        <v>46314.24593741014</v>
      </c>
      <c r="F450" t="b">
        <v>1</v>
      </c>
      <c r="G450" t="n">
        <v/>
      </c>
      <c r="H450" t="inlineStr">
        <is>
          <t>LOT</t>
        </is>
      </c>
      <c r="I450" t="inlineStr">
        <is>
          <t>Lotus Resources Ltd</t>
        </is>
      </c>
      <c r="J450" t="inlineStr">
        <is>
          <t>AUD</t>
        </is>
      </c>
      <c r="K450" s="5" t="inlineStr">
        <is>
          <t>01a152b9-6ee2-7577-bddd-382bc3853fde</t>
        </is>
      </c>
      <c r="M450" t="inlineStr">
        <is>
          <t>UNKNOWN</t>
        </is>
      </c>
      <c r="N450" t="inlineStr">
        <is>
          <t>DEFAULT</t>
        </is>
      </c>
      <c r="Q450" t="n">
        <v>0</v>
      </c>
      <c r="R450" t="inlineStr">
        <is>
          <t>AUD</t>
        </is>
      </c>
      <c r="S450" t="n">
        <v>0</v>
      </c>
      <c r="T450" t="inlineStr">
        <is>
          <t>AUD</t>
        </is>
      </c>
      <c r="U450" t="n">
        <v>0</v>
      </c>
    </row>
    <row r="451">
      <c r="A451" s="5" t="inlineStr">
        <is>
          <t>01a152b9-77e3-76f8-a5fc-36200010cf34</t>
        </is>
      </c>
      <c r="C451" s="5" t="inlineStr">
        <is>
          <t>01a152b9-6e67-75da-8adb-b03e5d07fd21</t>
        </is>
      </c>
      <c r="D451" s="4" t="n">
        <v>46314.24593745435</v>
      </c>
      <c r="E451" s="4" t="n">
        <v>46314.24593745446</v>
      </c>
      <c r="F451" t="b">
        <v>1</v>
      </c>
      <c r="G451" t="n">
        <v/>
      </c>
      <c r="H451" t="inlineStr">
        <is>
          <t>GDX</t>
        </is>
      </c>
      <c r="I451" t="inlineStr">
        <is>
          <t>Vaneck Gold Miners ETF</t>
        </is>
      </c>
      <c r="J451" t="inlineStr">
        <is>
          <t>AUD</t>
        </is>
      </c>
      <c r="K451" s="5" t="inlineStr">
        <is>
          <t>01a152b9-6ee2-7577-bddd-382bc3853fde</t>
        </is>
      </c>
      <c r="M451" t="inlineStr">
        <is>
          <t>UNKNOWN</t>
        </is>
      </c>
      <c r="N451" t="inlineStr">
        <is>
          <t>DEFAULT</t>
        </is>
      </c>
      <c r="Q451" t="n">
        <v>0</v>
      </c>
      <c r="R451" t="inlineStr">
        <is>
          <t>AUD</t>
        </is>
      </c>
      <c r="S451" t="n">
        <v>0</v>
      </c>
      <c r="T451" t="inlineStr">
        <is>
          <t>AUD</t>
        </is>
      </c>
      <c r="U451" t="n">
        <v>0</v>
      </c>
    </row>
    <row r="452">
      <c r="A452" s="5" t="inlineStr">
        <is>
          <t>01a152b9-77e8-764f-91e6-65257ea0fb48</t>
        </is>
      </c>
      <c r="C452" s="5" t="inlineStr">
        <is>
          <t>01a152b9-6e67-75da-8adb-b03e5d07fd21</t>
        </is>
      </c>
      <c r="D452" s="4" t="n">
        <v>46314.24593750179</v>
      </c>
      <c r="E452" s="4" t="n">
        <v>46314.24593750192</v>
      </c>
      <c r="F452" t="b">
        <v>1</v>
      </c>
      <c r="G452" t="n">
        <v/>
      </c>
      <c r="H452" t="inlineStr">
        <is>
          <t>C79</t>
        </is>
      </c>
      <c r="I452" t="inlineStr">
        <is>
          <t>Chrysos Corporation Ltd</t>
        </is>
      </c>
      <c r="J452" t="inlineStr">
        <is>
          <t>AUD</t>
        </is>
      </c>
      <c r="K452" s="5" t="inlineStr">
        <is>
          <t>01a152b9-6ee2-7577-bddd-382bc3853fde</t>
        </is>
      </c>
      <c r="M452" t="inlineStr">
        <is>
          <t>UNKNOWN</t>
        </is>
      </c>
      <c r="N452" t="inlineStr">
        <is>
          <t>DEFAULT</t>
        </is>
      </c>
      <c r="Q452" t="n">
        <v>0</v>
      </c>
      <c r="R452" t="inlineStr">
        <is>
          <t>AUD</t>
        </is>
      </c>
      <c r="S452" t="n">
        <v>0</v>
      </c>
      <c r="T452" t="inlineStr">
        <is>
          <t>AUD</t>
        </is>
      </c>
      <c r="U452" t="n">
        <v>0</v>
      </c>
    </row>
    <row r="453">
      <c r="A453" s="5" t="inlineStr">
        <is>
          <t>01a152b9-77eb-77d0-8112-e3778acebca4</t>
        </is>
      </c>
      <c r="C453" s="5" t="inlineStr">
        <is>
          <t>01a152b9-6e67-75da-8adb-b03e5d07fd21</t>
        </is>
      </c>
      <c r="D453" s="4" t="n">
        <v>46314.24593754137</v>
      </c>
      <c r="E453" s="4" t="n">
        <v>46314.24593754149</v>
      </c>
      <c r="F453" t="b">
        <v>1</v>
      </c>
      <c r="G453" t="n">
        <v/>
      </c>
      <c r="H453" t="inlineStr">
        <is>
          <t>FRGG</t>
        </is>
      </c>
      <c r="I453" t="inlineStr">
        <is>
          <t>Franklin Global Growth Fund (Managed Fund)</t>
        </is>
      </c>
      <c r="J453" t="inlineStr">
        <is>
          <t>AUD</t>
        </is>
      </c>
      <c r="K453" s="5" t="inlineStr">
        <is>
          <t>01a152b9-6ee2-7577-bddd-382bc3853fde</t>
        </is>
      </c>
      <c r="M453" t="inlineStr">
        <is>
          <t>UNKNOWN</t>
        </is>
      </c>
      <c r="N453" t="inlineStr">
        <is>
          <t>DEFAULT</t>
        </is>
      </c>
      <c r="Q453" t="n">
        <v>0</v>
      </c>
      <c r="R453" t="inlineStr">
        <is>
          <t>AUD</t>
        </is>
      </c>
      <c r="S453" t="n">
        <v>0</v>
      </c>
      <c r="T453" t="inlineStr">
        <is>
          <t>AUD</t>
        </is>
      </c>
      <c r="U453" t="n">
        <v>0</v>
      </c>
    </row>
    <row r="454">
      <c r="A454" s="5" t="inlineStr">
        <is>
          <t>01a152b9-77ef-731b-a2af-0c0b6fb4f152</t>
        </is>
      </c>
      <c r="C454" s="5" t="inlineStr">
        <is>
          <t>01a152b9-6e67-75da-8adb-b03e5d07fd21</t>
        </is>
      </c>
      <c r="D454" s="4" t="n">
        <v>46314.2459375909</v>
      </c>
      <c r="E454" s="4" t="n">
        <v>46314.245937591</v>
      </c>
      <c r="F454" t="b">
        <v>1</v>
      </c>
      <c r="G454" t="n">
        <v/>
      </c>
      <c r="H454" t="inlineStr">
        <is>
          <t>FCL</t>
        </is>
      </c>
      <c r="I454" t="inlineStr">
        <is>
          <t>Fineos Corporation Holdings Plc</t>
        </is>
      </c>
      <c r="J454" t="inlineStr">
        <is>
          <t>AUD</t>
        </is>
      </c>
      <c r="K454" s="5" t="inlineStr">
        <is>
          <t>01a152b9-6ee2-7577-bddd-382bc3853fde</t>
        </is>
      </c>
      <c r="M454" t="inlineStr">
        <is>
          <t>UNKNOWN</t>
        </is>
      </c>
      <c r="N454" t="inlineStr">
        <is>
          <t>DEFAULT</t>
        </is>
      </c>
      <c r="Q454" t="n">
        <v>0</v>
      </c>
      <c r="R454" t="inlineStr">
        <is>
          <t>AUD</t>
        </is>
      </c>
      <c r="S454" t="n">
        <v>0</v>
      </c>
      <c r="T454" t="inlineStr">
        <is>
          <t>AUD</t>
        </is>
      </c>
      <c r="U454" t="n">
        <v>0</v>
      </c>
    </row>
    <row r="455">
      <c r="A455" s="5" t="inlineStr">
        <is>
          <t>01a152b9-77f3-74e8-8484-34cd61e5e9d6</t>
        </is>
      </c>
      <c r="C455" s="5" t="inlineStr">
        <is>
          <t>01a152b9-6e67-75da-8adb-b03e5d07fd21</t>
        </is>
      </c>
      <c r="D455" s="4" t="n">
        <v>46314.24593762994</v>
      </c>
      <c r="E455" s="4" t="n">
        <v>46314.24593763007</v>
      </c>
      <c r="F455" t="b">
        <v>1</v>
      </c>
      <c r="G455" t="n">
        <v/>
      </c>
      <c r="H455" t="inlineStr">
        <is>
          <t>CUV</t>
        </is>
      </c>
      <c r="I455" t="inlineStr">
        <is>
          <t>Clinuvel Pharmaceuticals Ltd</t>
        </is>
      </c>
      <c r="J455" t="inlineStr">
        <is>
          <t>AUD</t>
        </is>
      </c>
      <c r="K455" s="5" t="inlineStr">
        <is>
          <t>01a152b9-6ee2-7577-bddd-382bc3853fde</t>
        </is>
      </c>
      <c r="M455" t="inlineStr">
        <is>
          <t>UNKNOWN</t>
        </is>
      </c>
      <c r="N455" t="inlineStr">
        <is>
          <t>DEFAULT</t>
        </is>
      </c>
      <c r="Q455" t="n">
        <v>0</v>
      </c>
      <c r="R455" t="inlineStr">
        <is>
          <t>AUD</t>
        </is>
      </c>
      <c r="S455" t="n">
        <v>0</v>
      </c>
      <c r="T455" t="inlineStr">
        <is>
          <t>AUD</t>
        </is>
      </c>
      <c r="U455" t="n">
        <v>0</v>
      </c>
    </row>
    <row r="456">
      <c r="A456" s="5" t="inlineStr">
        <is>
          <t>01a152b9-77f6-77c6-947c-cc1984ff788e</t>
        </is>
      </c>
      <c r="C456" s="5" t="inlineStr">
        <is>
          <t>01a152b9-6e67-75da-8adb-b03e5d07fd21</t>
        </is>
      </c>
      <c r="D456" s="4" t="n">
        <v>46314.24593766563</v>
      </c>
      <c r="E456" s="4" t="n">
        <v>46314.24593766572</v>
      </c>
      <c r="F456" t="b">
        <v>1</v>
      </c>
      <c r="G456" t="n">
        <v/>
      </c>
      <c r="H456" t="inlineStr">
        <is>
          <t>DGSM</t>
        </is>
      </c>
      <c r="I456" t="inlineStr">
        <is>
          <t>Dimensional Global Small Company - Active ETF</t>
        </is>
      </c>
      <c r="J456" t="inlineStr">
        <is>
          <t>AUD</t>
        </is>
      </c>
      <c r="K456" s="5" t="inlineStr">
        <is>
          <t>01a152b9-6ee2-7577-bddd-382bc3853fde</t>
        </is>
      </c>
      <c r="M456" t="inlineStr">
        <is>
          <t>UNKNOWN</t>
        </is>
      </c>
      <c r="N456" t="inlineStr">
        <is>
          <t>DEFAULT</t>
        </is>
      </c>
      <c r="Q456" t="n">
        <v>0</v>
      </c>
      <c r="R456" t="inlineStr">
        <is>
          <t>AUD</t>
        </is>
      </c>
      <c r="S456" t="n">
        <v>0</v>
      </c>
      <c r="T456" t="inlineStr">
        <is>
          <t>AUD</t>
        </is>
      </c>
      <c r="U456" t="n">
        <v>0</v>
      </c>
    </row>
    <row r="457">
      <c r="A457" s="5" t="inlineStr">
        <is>
          <t>01a152b9-77f9-70c4-94d6-cacb3165f1b7</t>
        </is>
      </c>
      <c r="C457" s="5" t="inlineStr">
        <is>
          <t>01a152b9-6e67-75da-8adb-b03e5d07fd21</t>
        </is>
      </c>
      <c r="D457" s="4" t="n">
        <v>46314.24593770358</v>
      </c>
      <c r="E457" s="4" t="n">
        <v>46314.24593770367</v>
      </c>
      <c r="F457" t="b">
        <v>1</v>
      </c>
      <c r="G457" t="n">
        <v/>
      </c>
      <c r="H457" t="inlineStr">
        <is>
          <t>DHHF</t>
        </is>
      </c>
      <c r="I457" t="inlineStr">
        <is>
          <t>Betashares Diversified All Growth ETF</t>
        </is>
      </c>
      <c r="J457" t="inlineStr">
        <is>
          <t>AUD</t>
        </is>
      </c>
      <c r="K457" s="5" t="inlineStr">
        <is>
          <t>01a152b9-6ee2-7577-bddd-382bc3853fde</t>
        </is>
      </c>
      <c r="M457" t="inlineStr">
        <is>
          <t>UNIT_TRUST</t>
        </is>
      </c>
      <c r="N457" t="inlineStr">
        <is>
          <t>SUGGESTED</t>
        </is>
      </c>
      <c r="Q457" t="n">
        <v>0</v>
      </c>
      <c r="R457" t="inlineStr">
        <is>
          <t>AUD</t>
        </is>
      </c>
      <c r="S457" t="n">
        <v>0</v>
      </c>
      <c r="T457" t="inlineStr">
        <is>
          <t>AUD</t>
        </is>
      </c>
      <c r="U457" t="n">
        <v>0</v>
      </c>
    </row>
    <row r="458">
      <c r="A458" s="5" t="inlineStr">
        <is>
          <t>01a152b9-77fd-7383-93f5-c1286a0962e7</t>
        </is>
      </c>
      <c r="C458" s="5" t="inlineStr">
        <is>
          <t>01a152b9-6e67-75da-8adb-b03e5d07fd21</t>
        </is>
      </c>
      <c r="D458" s="4" t="n">
        <v>46314.2459377478</v>
      </c>
      <c r="E458" s="4" t="n">
        <v>46314.2459377479</v>
      </c>
      <c r="F458" t="b">
        <v>1</v>
      </c>
      <c r="G458" t="n">
        <v/>
      </c>
      <c r="H458" t="inlineStr">
        <is>
          <t>QOR</t>
        </is>
      </c>
      <c r="I458" t="inlineStr">
        <is>
          <t>QORIA Ltd</t>
        </is>
      </c>
      <c r="J458" t="inlineStr">
        <is>
          <t>AUD</t>
        </is>
      </c>
      <c r="K458" s="5" t="inlineStr">
        <is>
          <t>01a152b9-6ee2-7577-bddd-382bc3853fde</t>
        </is>
      </c>
      <c r="M458" t="inlineStr">
        <is>
          <t>UNKNOWN</t>
        </is>
      </c>
      <c r="N458" t="inlineStr">
        <is>
          <t>DEFAULT</t>
        </is>
      </c>
      <c r="Q458" t="n">
        <v>0</v>
      </c>
      <c r="R458" t="inlineStr">
        <is>
          <t>AUD</t>
        </is>
      </c>
      <c r="S458" t="n">
        <v>0</v>
      </c>
      <c r="T458" t="inlineStr">
        <is>
          <t>AUD</t>
        </is>
      </c>
      <c r="U458" t="n">
        <v>0</v>
      </c>
    </row>
    <row r="459">
      <c r="A459" s="5" t="inlineStr">
        <is>
          <t>01a152b9-7800-7706-8a65-9ce465bce09d</t>
        </is>
      </c>
      <c r="C459" s="5" t="inlineStr">
        <is>
          <t>01a152b9-6e67-75da-8adb-b03e5d07fd21</t>
        </is>
      </c>
      <c r="D459" s="4" t="n">
        <v>46314.245937787</v>
      </c>
      <c r="E459" s="4" t="n">
        <v>46314.24593778711</v>
      </c>
      <c r="F459" t="b">
        <v>1</v>
      </c>
      <c r="G459" t="n">
        <v/>
      </c>
      <c r="H459" t="inlineStr">
        <is>
          <t>ASIA</t>
        </is>
      </c>
      <c r="I459" t="inlineStr">
        <is>
          <t>Betashares Asia Technology Tigers ETF</t>
        </is>
      </c>
      <c r="J459" t="inlineStr">
        <is>
          <t>AUD</t>
        </is>
      </c>
      <c r="K459" s="5" t="inlineStr">
        <is>
          <t>01a152b9-6ee2-7577-bddd-382bc3853fde</t>
        </is>
      </c>
      <c r="M459" t="inlineStr">
        <is>
          <t>UNIT_TRUST</t>
        </is>
      </c>
      <c r="N459" t="inlineStr">
        <is>
          <t>SUGGESTED</t>
        </is>
      </c>
      <c r="Q459" t="n">
        <v>0</v>
      </c>
      <c r="R459" t="inlineStr">
        <is>
          <t>AUD</t>
        </is>
      </c>
      <c r="S459" t="n">
        <v>0</v>
      </c>
      <c r="T459" t="inlineStr">
        <is>
          <t>AUD</t>
        </is>
      </c>
      <c r="U459" t="n">
        <v>0</v>
      </c>
    </row>
    <row r="460">
      <c r="A460" s="5" t="inlineStr">
        <is>
          <t>01a152b9-7804-753e-8d9b-65fa35ef503b</t>
        </is>
      </c>
      <c r="C460" s="5" t="inlineStr">
        <is>
          <t>01a152b9-6e67-75da-8adb-b03e5d07fd21</t>
        </is>
      </c>
      <c r="D460" s="4" t="n">
        <v>46314.24593783677</v>
      </c>
      <c r="E460" s="4" t="n">
        <v>46314.24593783687</v>
      </c>
      <c r="F460" t="b">
        <v>1</v>
      </c>
      <c r="G460" t="n">
        <v/>
      </c>
      <c r="H460" t="inlineStr">
        <is>
          <t>MVA</t>
        </is>
      </c>
      <c r="I460" t="inlineStr">
        <is>
          <t>Vaneck Australian Property ETF</t>
        </is>
      </c>
      <c r="J460" t="inlineStr">
        <is>
          <t>AUD</t>
        </is>
      </c>
      <c r="K460" s="5" t="inlineStr">
        <is>
          <t>01a152b9-6ee2-7577-bddd-382bc3853fde</t>
        </is>
      </c>
      <c r="M460" t="inlineStr">
        <is>
          <t>UNIT_TRUST</t>
        </is>
      </c>
      <c r="N460" t="inlineStr">
        <is>
          <t>SUGGESTED</t>
        </is>
      </c>
      <c r="Q460" t="n">
        <v>0</v>
      </c>
      <c r="R460" t="inlineStr">
        <is>
          <t>AUD</t>
        </is>
      </c>
      <c r="S460" t="n">
        <v>0</v>
      </c>
      <c r="T460" t="inlineStr">
        <is>
          <t>AUD</t>
        </is>
      </c>
      <c r="U460" t="n">
        <v>0</v>
      </c>
    </row>
    <row r="461">
      <c r="A461" s="5" t="inlineStr">
        <is>
          <t>01a152b9-7809-7721-85c6-09d4e2fd98d8</t>
        </is>
      </c>
      <c r="C461" s="5" t="inlineStr">
        <is>
          <t>01a152b9-6e67-75da-8adb-b03e5d07fd21</t>
        </is>
      </c>
      <c r="D461" s="4" t="n">
        <v>46314.24593788413</v>
      </c>
      <c r="E461" s="4" t="n">
        <v>46314.24593788424</v>
      </c>
      <c r="F461" t="b">
        <v>1</v>
      </c>
      <c r="G461" t="n">
        <v/>
      </c>
      <c r="H461" t="inlineStr">
        <is>
          <t>AEF</t>
        </is>
      </c>
      <c r="I461" t="inlineStr">
        <is>
          <t>Australian Ethical Investment Ltd</t>
        </is>
      </c>
      <c r="J461" t="inlineStr">
        <is>
          <t>AUD</t>
        </is>
      </c>
      <c r="K461" s="5" t="inlineStr">
        <is>
          <t>01a152b9-6ee2-7577-bddd-382bc3853fde</t>
        </is>
      </c>
      <c r="M461" t="inlineStr">
        <is>
          <t>UNKNOWN</t>
        </is>
      </c>
      <c r="N461" t="inlineStr">
        <is>
          <t>DEFAULT</t>
        </is>
      </c>
      <c r="Q461" t="n">
        <v>0</v>
      </c>
      <c r="R461" t="inlineStr">
        <is>
          <t>AUD</t>
        </is>
      </c>
      <c r="S461" t="n">
        <v>0</v>
      </c>
      <c r="T461" t="inlineStr">
        <is>
          <t>AUD</t>
        </is>
      </c>
      <c r="U461" t="n">
        <v>0</v>
      </c>
    </row>
    <row r="462">
      <c r="A462" s="5" t="inlineStr">
        <is>
          <t>01a152b9-780c-733d-9c5b-36b0ba682611</t>
        </is>
      </c>
      <c r="C462" s="5" t="inlineStr">
        <is>
          <t>01a152b9-6e67-75da-8adb-b03e5d07fd21</t>
        </is>
      </c>
      <c r="D462" s="4" t="n">
        <v>46314.24593792727</v>
      </c>
      <c r="E462" s="4" t="n">
        <v>46314.24593792739</v>
      </c>
      <c r="F462" t="b">
        <v>1</v>
      </c>
      <c r="G462" t="n">
        <v/>
      </c>
      <c r="H462" t="inlineStr">
        <is>
          <t>DRO</t>
        </is>
      </c>
      <c r="I462" t="inlineStr">
        <is>
          <t>Droneshield Ltd</t>
        </is>
      </c>
      <c r="J462" t="inlineStr">
        <is>
          <t>AUD</t>
        </is>
      </c>
      <c r="K462" s="5" t="inlineStr">
        <is>
          <t>01a152b9-6ee2-7577-bddd-382bc3853fde</t>
        </is>
      </c>
      <c r="M462" t="inlineStr">
        <is>
          <t>UNKNOWN</t>
        </is>
      </c>
      <c r="N462" t="inlineStr">
        <is>
          <t>DEFAULT</t>
        </is>
      </c>
      <c r="Q462" t="n">
        <v>0</v>
      </c>
      <c r="R462" t="inlineStr">
        <is>
          <t>AUD</t>
        </is>
      </c>
      <c r="S462" t="n">
        <v>0</v>
      </c>
      <c r="T462" t="inlineStr">
        <is>
          <t>AUD</t>
        </is>
      </c>
      <c r="U462" t="n">
        <v>0</v>
      </c>
    </row>
    <row r="463">
      <c r="A463" s="5" t="inlineStr">
        <is>
          <t>01a152b9-7810-73f4-b33a-803200454fd3</t>
        </is>
      </c>
      <c r="C463" s="5" t="inlineStr">
        <is>
          <t>01a152b9-6e67-75da-8adb-b03e5d07fd21</t>
        </is>
      </c>
      <c r="D463" s="4" t="n">
        <v>46314.24593796467</v>
      </c>
      <c r="E463" s="4" t="n">
        <v>46314.24593796476</v>
      </c>
      <c r="F463" t="b">
        <v>1</v>
      </c>
      <c r="G463" t="n">
        <v/>
      </c>
      <c r="H463" t="inlineStr">
        <is>
          <t>PCI</t>
        </is>
      </c>
      <c r="I463" t="inlineStr">
        <is>
          <t>Perpetual Credit Income Trust</t>
        </is>
      </c>
      <c r="J463" t="inlineStr">
        <is>
          <t>AUD</t>
        </is>
      </c>
      <c r="K463" s="5" t="inlineStr">
        <is>
          <t>01a152b9-6ee2-7577-bddd-382bc3853fde</t>
        </is>
      </c>
      <c r="M463" t="inlineStr">
        <is>
          <t>UNKNOWN</t>
        </is>
      </c>
      <c r="N463" t="inlineStr">
        <is>
          <t>DEFAULT</t>
        </is>
      </c>
      <c r="Q463" t="n">
        <v>0</v>
      </c>
      <c r="R463" t="inlineStr">
        <is>
          <t>AUD</t>
        </is>
      </c>
      <c r="S463" t="n">
        <v>0</v>
      </c>
      <c r="T463" t="inlineStr">
        <is>
          <t>AUD</t>
        </is>
      </c>
      <c r="U463" t="n">
        <v>0</v>
      </c>
    </row>
    <row r="464">
      <c r="A464" s="5" t="inlineStr">
        <is>
          <t>01a152b9-7813-7602-8b20-0846287bd423</t>
        </is>
      </c>
      <c r="C464" s="5" t="inlineStr">
        <is>
          <t>01a152b9-6e67-75da-8adb-b03e5d07fd21</t>
        </is>
      </c>
      <c r="D464" s="4" t="n">
        <v>46314.24593799953</v>
      </c>
      <c r="E464" s="4" t="n">
        <v>46314.24593799965</v>
      </c>
      <c r="F464" t="b">
        <v>1</v>
      </c>
      <c r="G464" t="n">
        <v/>
      </c>
      <c r="H464" t="inlineStr">
        <is>
          <t>BMN</t>
        </is>
      </c>
      <c r="I464" t="inlineStr">
        <is>
          <t>Bannerman Energy Ltd</t>
        </is>
      </c>
      <c r="J464" t="inlineStr">
        <is>
          <t>AUD</t>
        </is>
      </c>
      <c r="K464" s="5" t="inlineStr">
        <is>
          <t>01a152b9-6ee2-7577-bddd-382bc3853fde</t>
        </is>
      </c>
      <c r="M464" t="inlineStr">
        <is>
          <t>UNKNOWN</t>
        </is>
      </c>
      <c r="N464" t="inlineStr">
        <is>
          <t>DEFAULT</t>
        </is>
      </c>
      <c r="Q464" t="n">
        <v>0</v>
      </c>
      <c r="R464" t="inlineStr">
        <is>
          <t>AUD</t>
        </is>
      </c>
      <c r="S464" t="n">
        <v>0</v>
      </c>
      <c r="T464" t="inlineStr">
        <is>
          <t>AUD</t>
        </is>
      </c>
      <c r="U464" t="n">
        <v>0</v>
      </c>
    </row>
    <row r="465">
      <c r="A465" s="5" t="inlineStr">
        <is>
          <t>01a152b9-7816-77c6-9c78-558632a40b4b</t>
        </is>
      </c>
      <c r="C465" s="5" t="inlineStr">
        <is>
          <t>01a152b9-6e67-75da-8adb-b03e5d07fd21</t>
        </is>
      </c>
      <c r="D465" s="4" t="n">
        <v>46314.24593803442</v>
      </c>
      <c r="E465" s="4" t="n">
        <v>46314.24593803452</v>
      </c>
      <c r="F465" t="b">
        <v>1</v>
      </c>
      <c r="G465" t="n">
        <v/>
      </c>
      <c r="H465" t="inlineStr">
        <is>
          <t>FGG</t>
        </is>
      </c>
      <c r="I465" t="inlineStr">
        <is>
          <t>Future Generation Global Ltd</t>
        </is>
      </c>
      <c r="J465" t="inlineStr">
        <is>
          <t>AUD</t>
        </is>
      </c>
      <c r="K465" s="5" t="inlineStr">
        <is>
          <t>01a152b9-6ee2-7577-bddd-382bc3853fde</t>
        </is>
      </c>
      <c r="M465" t="inlineStr">
        <is>
          <t>UNKNOWN</t>
        </is>
      </c>
      <c r="N465" t="inlineStr">
        <is>
          <t>DEFAULT</t>
        </is>
      </c>
      <c r="Q465" t="n">
        <v>0</v>
      </c>
      <c r="R465" t="inlineStr">
        <is>
          <t>AUD</t>
        </is>
      </c>
      <c r="S465" t="n">
        <v>0</v>
      </c>
      <c r="T465" t="inlineStr">
        <is>
          <t>AUD</t>
        </is>
      </c>
      <c r="U465" t="n">
        <v>0</v>
      </c>
    </row>
    <row r="466">
      <c r="A466" s="5" t="inlineStr">
        <is>
          <t>01a152b9-7819-727d-a318-38147b4e050a</t>
        </is>
      </c>
      <c r="C466" s="5" t="inlineStr">
        <is>
          <t>01a152b9-6e67-75da-8adb-b03e5d07fd21</t>
        </is>
      </c>
      <c r="D466" s="4" t="n">
        <v>46314.24593807418</v>
      </c>
      <c r="E466" s="4" t="n">
        <v>46314.24593807434</v>
      </c>
      <c r="F466" t="b">
        <v>1</v>
      </c>
      <c r="G466" t="n">
        <v/>
      </c>
      <c r="H466" t="inlineStr">
        <is>
          <t>IHWL</t>
        </is>
      </c>
      <c r="I466" t="inlineStr">
        <is>
          <t>Ishares Core MSCI World Ex Aus Esg (Aud Hed) ETF</t>
        </is>
      </c>
      <c r="J466" t="inlineStr">
        <is>
          <t>AUD</t>
        </is>
      </c>
      <c r="K466" s="5" t="inlineStr">
        <is>
          <t>01a152b9-6ee2-7577-bddd-382bc3853fde</t>
        </is>
      </c>
      <c r="M466" t="inlineStr">
        <is>
          <t>UNIT_TRUST</t>
        </is>
      </c>
      <c r="N466" t="inlineStr">
        <is>
          <t>SUGGESTED</t>
        </is>
      </c>
      <c r="Q466" t="n">
        <v>0</v>
      </c>
      <c r="R466" t="inlineStr">
        <is>
          <t>AUD</t>
        </is>
      </c>
      <c r="S466" t="n">
        <v>0</v>
      </c>
      <c r="T466" t="inlineStr">
        <is>
          <t>AUD</t>
        </is>
      </c>
      <c r="U466" t="n">
        <v>0</v>
      </c>
    </row>
    <row r="467">
      <c r="A467" s="5" t="inlineStr">
        <is>
          <t>01a152b9-781c-778a-8a45-83b838e78421</t>
        </is>
      </c>
      <c r="C467" s="5" t="inlineStr">
        <is>
          <t>01a152b9-6e67-75da-8adb-b03e5d07fd21</t>
        </is>
      </c>
      <c r="D467" s="4" t="n">
        <v>46314.2459381135</v>
      </c>
      <c r="E467" s="4" t="n">
        <v>46314.2459381136</v>
      </c>
      <c r="F467" t="b">
        <v>1</v>
      </c>
      <c r="G467" t="n">
        <v/>
      </c>
      <c r="H467" t="inlineStr">
        <is>
          <t>SLF</t>
        </is>
      </c>
      <c r="I467" t="inlineStr">
        <is>
          <t>SPDR S&amp;P/ASX 200 Listed Property Fund</t>
        </is>
      </c>
      <c r="J467" t="inlineStr">
        <is>
          <t>AUD</t>
        </is>
      </c>
      <c r="K467" s="5" t="inlineStr">
        <is>
          <t>01a152b9-6ee2-7577-bddd-382bc3853fde</t>
        </is>
      </c>
      <c r="M467" t="inlineStr">
        <is>
          <t>UNIT_TRUST</t>
        </is>
      </c>
      <c r="N467" t="inlineStr">
        <is>
          <t>SUGGESTED</t>
        </is>
      </c>
      <c r="Q467" t="n">
        <v>0</v>
      </c>
      <c r="R467" t="inlineStr">
        <is>
          <t>AUD</t>
        </is>
      </c>
      <c r="S467" t="n">
        <v>0</v>
      </c>
      <c r="T467" t="inlineStr">
        <is>
          <t>AUD</t>
        </is>
      </c>
      <c r="U467" t="n">
        <v>0</v>
      </c>
    </row>
    <row r="468">
      <c r="A468" s="5" t="inlineStr">
        <is>
          <t>01a152b9-7820-774f-8a2d-804e3d345129</t>
        </is>
      </c>
      <c r="C468" s="5" t="inlineStr">
        <is>
          <t>01a152b9-6e67-75da-8adb-b03e5d07fd21</t>
        </is>
      </c>
      <c r="D468" s="4" t="n">
        <v>46314.24593815165</v>
      </c>
      <c r="E468" s="4" t="n">
        <v>46314.24593815175</v>
      </c>
      <c r="F468" t="b">
        <v>1</v>
      </c>
      <c r="G468" t="n">
        <v/>
      </c>
      <c r="H468" t="inlineStr">
        <is>
          <t>WBT</t>
        </is>
      </c>
      <c r="I468" t="inlineStr">
        <is>
          <t>Weebit Nano Ltd</t>
        </is>
      </c>
      <c r="J468" t="inlineStr">
        <is>
          <t>AUD</t>
        </is>
      </c>
      <c r="K468" s="5" t="inlineStr">
        <is>
          <t>01a152b9-6ee2-7577-bddd-382bc3853fde</t>
        </is>
      </c>
      <c r="M468" t="inlineStr">
        <is>
          <t>UNKNOWN</t>
        </is>
      </c>
      <c r="N468" t="inlineStr">
        <is>
          <t>DEFAULT</t>
        </is>
      </c>
      <c r="Q468" t="n">
        <v>0</v>
      </c>
      <c r="R468" t="inlineStr">
        <is>
          <t>AUD</t>
        </is>
      </c>
      <c r="S468" t="n">
        <v>0</v>
      </c>
      <c r="T468" t="inlineStr">
        <is>
          <t>AUD</t>
        </is>
      </c>
      <c r="U468" t="n">
        <v>0</v>
      </c>
    </row>
    <row r="469">
      <c r="A469" s="5" t="inlineStr">
        <is>
          <t>01a152b9-7823-70d7-b9bf-0e87639f12fc</t>
        </is>
      </c>
      <c r="C469" s="5" t="inlineStr">
        <is>
          <t>01a152b9-6e67-75da-8adb-b03e5d07fd21</t>
        </is>
      </c>
      <c r="D469" s="4" t="n">
        <v>46314.24593818789</v>
      </c>
      <c r="E469" s="4" t="n">
        <v>46314.24593818799</v>
      </c>
      <c r="F469" t="b">
        <v>1</v>
      </c>
      <c r="G469" t="n">
        <v/>
      </c>
      <c r="H469" t="inlineStr">
        <is>
          <t>YMAX</t>
        </is>
      </c>
      <c r="I469" t="inlineStr">
        <is>
          <t>Betashares Aus Top 20 Equity Yield MAX Fund (Managed Fund)</t>
        </is>
      </c>
      <c r="J469" t="inlineStr">
        <is>
          <t>AUD</t>
        </is>
      </c>
      <c r="K469" s="5" t="inlineStr">
        <is>
          <t>01a152b9-6ee2-7577-bddd-382bc3853fde</t>
        </is>
      </c>
      <c r="M469" t="inlineStr">
        <is>
          <t>UNKNOWN</t>
        </is>
      </c>
      <c r="N469" t="inlineStr">
        <is>
          <t>DEFAULT</t>
        </is>
      </c>
      <c r="Q469" t="n">
        <v>0</v>
      </c>
      <c r="R469" t="inlineStr">
        <is>
          <t>AUD</t>
        </is>
      </c>
      <c r="S469" t="n">
        <v>0</v>
      </c>
      <c r="T469" t="inlineStr">
        <is>
          <t>AUD</t>
        </is>
      </c>
      <c r="U469" t="n">
        <v>0</v>
      </c>
    </row>
    <row r="470">
      <c r="A470" s="5" t="inlineStr">
        <is>
          <t>01a152b9-7826-7287-8e1f-3bfee02bb718</t>
        </is>
      </c>
      <c r="C470" s="5" t="inlineStr">
        <is>
          <t>01a152b9-6e67-75da-8adb-b03e5d07fd21</t>
        </is>
      </c>
      <c r="D470" s="4" t="n">
        <v>46314.24593822787</v>
      </c>
      <c r="E470" s="4" t="n">
        <v>46314.24593822796</v>
      </c>
      <c r="F470" t="b">
        <v>1</v>
      </c>
      <c r="G470" t="n">
        <v/>
      </c>
      <c r="H470" t="inlineStr">
        <is>
          <t>ACDC</t>
        </is>
      </c>
      <c r="I470" t="inlineStr">
        <is>
          <t>Global X Battery Tech &amp; Lithium ETF</t>
        </is>
      </c>
      <c r="J470" t="inlineStr">
        <is>
          <t>AUD</t>
        </is>
      </c>
      <c r="K470" s="5" t="inlineStr">
        <is>
          <t>01a152b9-6ee2-7577-bddd-382bc3853fde</t>
        </is>
      </c>
      <c r="M470" t="inlineStr">
        <is>
          <t>UNKNOWN</t>
        </is>
      </c>
      <c r="N470" t="inlineStr">
        <is>
          <t>DEFAULT</t>
        </is>
      </c>
      <c r="Q470" t="n">
        <v>0</v>
      </c>
      <c r="R470" t="inlineStr">
        <is>
          <t>AUD</t>
        </is>
      </c>
      <c r="S470" t="n">
        <v>0</v>
      </c>
      <c r="T470" t="inlineStr">
        <is>
          <t>AUD</t>
        </is>
      </c>
      <c r="U470" t="n">
        <v>0</v>
      </c>
    </row>
    <row r="471">
      <c r="A471" s="5" t="inlineStr">
        <is>
          <t>01a152b9-7829-74af-984b-1fda449dbd36</t>
        </is>
      </c>
      <c r="C471" s="5" t="inlineStr">
        <is>
          <t>01a152b9-6e67-75da-8adb-b03e5d07fd21</t>
        </is>
      </c>
      <c r="D471" s="4" t="n">
        <v>46314.24593826068</v>
      </c>
      <c r="E471" s="4" t="n">
        <v>46314.24593826078</v>
      </c>
      <c r="F471" t="b">
        <v>1</v>
      </c>
      <c r="G471" t="n">
        <v/>
      </c>
      <c r="H471" t="inlineStr">
        <is>
          <t>IAGPE</t>
        </is>
      </c>
      <c r="I471" t="inlineStr">
        <is>
          <t>Insurance Australia Group Ltd</t>
        </is>
      </c>
      <c r="J471" t="inlineStr">
        <is>
          <t>AUD</t>
        </is>
      </c>
      <c r="K471" s="5" t="inlineStr">
        <is>
          <t>01a152b9-6ee2-7577-bddd-382bc3853fde</t>
        </is>
      </c>
      <c r="M471" t="inlineStr">
        <is>
          <t>UNKNOWN</t>
        </is>
      </c>
      <c r="N471" t="inlineStr">
        <is>
          <t>DEFAULT</t>
        </is>
      </c>
      <c r="Q471" t="n">
        <v>0</v>
      </c>
      <c r="R471" t="inlineStr">
        <is>
          <t>AUD</t>
        </is>
      </c>
      <c r="S471" t="n">
        <v>0</v>
      </c>
      <c r="T471" t="inlineStr">
        <is>
          <t>AUD</t>
        </is>
      </c>
      <c r="U471" t="n">
        <v>0</v>
      </c>
    </row>
    <row r="472">
      <c r="A472" s="5" t="inlineStr">
        <is>
          <t>01a152b9-782c-7426-97e6-c95e5aa4e03d</t>
        </is>
      </c>
      <c r="C472" s="5" t="inlineStr">
        <is>
          <t>01a152b9-6e67-75da-8adb-b03e5d07fd21</t>
        </is>
      </c>
      <c r="D472" s="4" t="n">
        <v>46314.24593829313</v>
      </c>
      <c r="E472" s="4" t="n">
        <v>46314.24593829322</v>
      </c>
      <c r="F472" t="b">
        <v>1</v>
      </c>
      <c r="G472" t="n">
        <v/>
      </c>
      <c r="H472" t="inlineStr">
        <is>
          <t>HCW</t>
        </is>
      </c>
      <c r="I472" t="inlineStr">
        <is>
          <t>Healthco Healthcare and Wellness REIT</t>
        </is>
      </c>
      <c r="J472" t="inlineStr">
        <is>
          <t>AUD</t>
        </is>
      </c>
      <c r="K472" s="5" t="inlineStr">
        <is>
          <t>01a152b9-6ee2-7577-bddd-382bc3853fde</t>
        </is>
      </c>
      <c r="M472" t="inlineStr">
        <is>
          <t>UNKNOWN</t>
        </is>
      </c>
      <c r="N472" t="inlineStr">
        <is>
          <t>DEFAULT</t>
        </is>
      </c>
      <c r="Q472" t="n">
        <v>0</v>
      </c>
      <c r="R472" t="inlineStr">
        <is>
          <t>AUD</t>
        </is>
      </c>
      <c r="S472" t="n">
        <v>0</v>
      </c>
      <c r="T472" t="inlineStr">
        <is>
          <t>AUD</t>
        </is>
      </c>
      <c r="U472" t="n">
        <v>0</v>
      </c>
    </row>
    <row r="473">
      <c r="A473" s="5" t="inlineStr">
        <is>
          <t>01a152b9-782f-7066-bbb5-5ffae96c810e</t>
        </is>
      </c>
      <c r="C473" s="5" t="inlineStr">
        <is>
          <t>01a152b9-6e67-75da-8adb-b03e5d07fd21</t>
        </is>
      </c>
      <c r="D473" s="4" t="n">
        <v>46314.24593832944</v>
      </c>
      <c r="E473" s="4" t="n">
        <v>46314.24593832954</v>
      </c>
      <c r="F473" t="b">
        <v>1</v>
      </c>
      <c r="G473" t="n">
        <v/>
      </c>
      <c r="H473" t="inlineStr">
        <is>
          <t>BENPH</t>
        </is>
      </c>
      <c r="I473" t="inlineStr">
        <is>
          <t>Bendigo and Adelaide Bank Ltd</t>
        </is>
      </c>
      <c r="J473" t="inlineStr">
        <is>
          <t>AUD</t>
        </is>
      </c>
      <c r="K473" s="5" t="inlineStr">
        <is>
          <t>01a152b9-6ee2-7577-bddd-382bc3853fde</t>
        </is>
      </c>
      <c r="M473" t="inlineStr">
        <is>
          <t>UNKNOWN</t>
        </is>
      </c>
      <c r="N473" t="inlineStr">
        <is>
          <t>DEFAULT</t>
        </is>
      </c>
      <c r="Q473" t="n">
        <v>0</v>
      </c>
      <c r="R473" t="inlineStr">
        <is>
          <t>AUD</t>
        </is>
      </c>
      <c r="S473" t="n">
        <v>0</v>
      </c>
      <c r="T473" t="inlineStr">
        <is>
          <t>AUD</t>
        </is>
      </c>
      <c r="U473" t="n">
        <v>0</v>
      </c>
    </row>
    <row r="474">
      <c r="A474" s="5" t="inlineStr">
        <is>
          <t>01a152b9-7832-776f-8115-77decf198622</t>
        </is>
      </c>
      <c r="C474" s="5" t="inlineStr">
        <is>
          <t>01a152b9-6e67-75da-8adb-b03e5d07fd21</t>
        </is>
      </c>
      <c r="D474" s="4" t="n">
        <v>46314.24593836698</v>
      </c>
      <c r="E474" s="4" t="n">
        <v>46314.24593836707</v>
      </c>
      <c r="F474" t="b">
        <v>1</v>
      </c>
      <c r="G474" t="n">
        <v/>
      </c>
      <c r="H474" t="inlineStr">
        <is>
          <t>IVE</t>
        </is>
      </c>
      <c r="I474" t="inlineStr">
        <is>
          <t>Ishares MSCI Eafe ETF</t>
        </is>
      </c>
      <c r="J474" t="inlineStr">
        <is>
          <t>AUD</t>
        </is>
      </c>
      <c r="K474" s="5" t="inlineStr">
        <is>
          <t>01a152b9-6ee2-7577-bddd-382bc3853fde</t>
        </is>
      </c>
      <c r="M474" t="inlineStr">
        <is>
          <t>UNKNOWN</t>
        </is>
      </c>
      <c r="N474" t="inlineStr">
        <is>
          <t>DEFAULT</t>
        </is>
      </c>
      <c r="Q474" t="n">
        <v>0</v>
      </c>
      <c r="R474" t="inlineStr">
        <is>
          <t>AUD</t>
        </is>
      </c>
      <c r="S474" t="n">
        <v>0</v>
      </c>
      <c r="T474" t="inlineStr">
        <is>
          <t>AUD</t>
        </is>
      </c>
      <c r="U474" t="n">
        <v>0</v>
      </c>
    </row>
    <row r="475">
      <c r="A475" s="5" t="inlineStr">
        <is>
          <t>01a152b9-7835-7019-a639-304b0f1251ec</t>
        </is>
      </c>
      <c r="C475" s="5" t="inlineStr">
        <is>
          <t>01a152b9-6e67-75da-8adb-b03e5d07fd21</t>
        </is>
      </c>
      <c r="D475" s="4" t="n">
        <v>46314.24593840062</v>
      </c>
      <c r="E475" s="4" t="n">
        <v>46314.24593840072</v>
      </c>
      <c r="F475" t="b">
        <v>1</v>
      </c>
      <c r="G475" t="n">
        <v/>
      </c>
      <c r="H475" t="inlineStr">
        <is>
          <t>OCA</t>
        </is>
      </c>
      <c r="I475" t="inlineStr">
        <is>
          <t>Oceania Healthcare Ltd</t>
        </is>
      </c>
      <c r="J475" t="inlineStr">
        <is>
          <t>AUD</t>
        </is>
      </c>
      <c r="K475" s="5" t="inlineStr">
        <is>
          <t>01a152b9-6ee2-7577-bddd-382bc3853fde</t>
        </is>
      </c>
      <c r="M475" t="inlineStr">
        <is>
          <t>UNKNOWN</t>
        </is>
      </c>
      <c r="N475" t="inlineStr">
        <is>
          <t>DEFAULT</t>
        </is>
      </c>
      <c r="Q475" t="n">
        <v>0</v>
      </c>
      <c r="R475" t="inlineStr">
        <is>
          <t>AUD</t>
        </is>
      </c>
      <c r="S475" t="n">
        <v>0</v>
      </c>
      <c r="T475" t="inlineStr">
        <is>
          <t>AUD</t>
        </is>
      </c>
      <c r="U475" t="n">
        <v>0</v>
      </c>
    </row>
    <row r="476">
      <c r="A476" s="5" t="inlineStr">
        <is>
          <t>01a152b9-7839-76d0-a4ff-c3058e7fb5d1</t>
        </is>
      </c>
      <c r="C476" s="5" t="inlineStr">
        <is>
          <t>01a152b9-6e67-75da-8adb-b03e5d07fd21</t>
        </is>
      </c>
      <c r="D476" s="4" t="n">
        <v>46314.24593844301</v>
      </c>
      <c r="E476" s="4" t="n">
        <v>46314.24593844313</v>
      </c>
      <c r="F476" t="b">
        <v>1</v>
      </c>
      <c r="G476" t="n">
        <v/>
      </c>
      <c r="H476" t="inlineStr">
        <is>
          <t>IFM</t>
        </is>
      </c>
      <c r="I476" t="inlineStr">
        <is>
          <t>Infomedia Ltd</t>
        </is>
      </c>
      <c r="J476" t="inlineStr">
        <is>
          <t>AUD</t>
        </is>
      </c>
      <c r="K476" s="5" t="inlineStr">
        <is>
          <t>01a152b9-6ee2-7577-bddd-382bc3853fde</t>
        </is>
      </c>
      <c r="M476" t="inlineStr">
        <is>
          <t>UNKNOWN</t>
        </is>
      </c>
      <c r="N476" t="inlineStr">
        <is>
          <t>DEFAULT</t>
        </is>
      </c>
      <c r="Q476" t="n">
        <v>0</v>
      </c>
      <c r="R476" t="inlineStr">
        <is>
          <t>AUD</t>
        </is>
      </c>
      <c r="S476" t="n">
        <v>0</v>
      </c>
      <c r="T476" t="inlineStr">
        <is>
          <t>AUD</t>
        </is>
      </c>
      <c r="U476" t="n">
        <v>0</v>
      </c>
    </row>
    <row r="477">
      <c r="A477" s="5" t="inlineStr">
        <is>
          <t>01a152b9-783c-74eb-9767-612c410f39ce</t>
        </is>
      </c>
      <c r="C477" s="5" t="inlineStr">
        <is>
          <t>01a152b9-6e67-75da-8adb-b03e5d07fd21</t>
        </is>
      </c>
      <c r="D477" s="4" t="n">
        <v>46314.2459384802</v>
      </c>
      <c r="E477" s="4" t="n">
        <v>46314.24593848029</v>
      </c>
      <c r="F477" t="b">
        <v>1</v>
      </c>
      <c r="G477" t="n">
        <v/>
      </c>
      <c r="H477" t="inlineStr">
        <is>
          <t>BHYB</t>
        </is>
      </c>
      <c r="I477" t="inlineStr">
        <is>
          <t>Betashares Australian Major Bank Hybrids INDEX ETF</t>
        </is>
      </c>
      <c r="J477" t="inlineStr">
        <is>
          <t>AUD</t>
        </is>
      </c>
      <c r="K477" s="5" t="inlineStr">
        <is>
          <t>01a152b9-6ee2-7577-bddd-382bc3853fde</t>
        </is>
      </c>
      <c r="M477" t="inlineStr">
        <is>
          <t>UNKNOWN</t>
        </is>
      </c>
      <c r="N477" t="inlineStr">
        <is>
          <t>DEFAULT</t>
        </is>
      </c>
      <c r="Q477" t="n">
        <v>0</v>
      </c>
      <c r="R477" t="inlineStr">
        <is>
          <t>AUD</t>
        </is>
      </c>
      <c r="S477" t="n">
        <v>0</v>
      </c>
      <c r="T477" t="inlineStr">
        <is>
          <t>AUD</t>
        </is>
      </c>
      <c r="U477" t="n">
        <v>0</v>
      </c>
    </row>
    <row r="478">
      <c r="A478" s="5" t="inlineStr">
        <is>
          <t>01a152b9-783f-777f-9098-bed298c7409e</t>
        </is>
      </c>
      <c r="C478" s="5" t="inlineStr">
        <is>
          <t>01a152b9-6e67-75da-8adb-b03e5d07fd21</t>
        </is>
      </c>
      <c r="D478" s="4" t="n">
        <v>46314.24593851969</v>
      </c>
      <c r="E478" s="4" t="n">
        <v>46314.24593851982</v>
      </c>
      <c r="F478" t="b">
        <v>1</v>
      </c>
      <c r="G478" t="n">
        <v/>
      </c>
      <c r="H478" t="inlineStr">
        <is>
          <t>VETH</t>
        </is>
      </c>
      <c r="I478" t="inlineStr">
        <is>
          <t>Vanguard Ethically Conscious Australian Shares ETF</t>
        </is>
      </c>
      <c r="J478" t="inlineStr">
        <is>
          <t>AUD</t>
        </is>
      </c>
      <c r="K478" s="5" t="inlineStr">
        <is>
          <t>01a152b9-6ee2-7577-bddd-382bc3853fde</t>
        </is>
      </c>
      <c r="M478" t="inlineStr">
        <is>
          <t>UNKNOWN</t>
        </is>
      </c>
      <c r="N478" t="inlineStr">
        <is>
          <t>DEFAULT</t>
        </is>
      </c>
      <c r="Q478" t="n">
        <v>0</v>
      </c>
      <c r="R478" t="inlineStr">
        <is>
          <t>AUD</t>
        </is>
      </c>
      <c r="S478" t="n">
        <v>0</v>
      </c>
      <c r="T478" t="inlineStr">
        <is>
          <t>AUD</t>
        </is>
      </c>
      <c r="U478" t="n">
        <v>0</v>
      </c>
    </row>
    <row r="479">
      <c r="A479" s="5" t="inlineStr">
        <is>
          <t>01a152b9-7843-70bc-bbca-f9d7e24e022c</t>
        </is>
      </c>
      <c r="C479" s="5" t="inlineStr">
        <is>
          <t>01a152b9-6e67-75da-8adb-b03e5d07fd21</t>
        </is>
      </c>
      <c r="D479" s="4" t="n">
        <v>46314.24593856298</v>
      </c>
      <c r="E479" s="4" t="n">
        <v>46314.24593856306</v>
      </c>
      <c r="F479" t="b">
        <v>1</v>
      </c>
      <c r="G479" t="n">
        <v/>
      </c>
      <c r="H479" t="inlineStr">
        <is>
          <t>GEAR</t>
        </is>
      </c>
      <c r="I479" t="inlineStr">
        <is>
          <t>Betashares Geared Australian Equity Fund (Hedge Fund)</t>
        </is>
      </c>
      <c r="J479" t="inlineStr">
        <is>
          <t>AUD</t>
        </is>
      </c>
      <c r="K479" s="5" t="inlineStr">
        <is>
          <t>01a152b9-6ee2-7577-bddd-382bc3853fde</t>
        </is>
      </c>
      <c r="M479" t="inlineStr">
        <is>
          <t>UNKNOWN</t>
        </is>
      </c>
      <c r="N479" t="inlineStr">
        <is>
          <t>DEFAULT</t>
        </is>
      </c>
      <c r="Q479" t="n">
        <v>0</v>
      </c>
      <c r="R479" t="inlineStr">
        <is>
          <t>AUD</t>
        </is>
      </c>
      <c r="S479" t="n">
        <v>0</v>
      </c>
      <c r="T479" t="inlineStr">
        <is>
          <t>AUD</t>
        </is>
      </c>
      <c r="U479" t="n">
        <v>0</v>
      </c>
    </row>
    <row r="480">
      <c r="A480" s="5" t="inlineStr">
        <is>
          <t>01a152b9-7847-71a7-9b1d-7164407d7d2a</t>
        </is>
      </c>
      <c r="C480" s="5" t="inlineStr">
        <is>
          <t>01a152b9-6e67-75da-8adb-b03e5d07fd21</t>
        </is>
      </c>
      <c r="D480" s="4" t="n">
        <v>46314.24593860424</v>
      </c>
      <c r="E480" s="4" t="n">
        <v>46314.24593860435</v>
      </c>
      <c r="F480" t="b">
        <v>1</v>
      </c>
      <c r="G480" t="n">
        <v/>
      </c>
      <c r="H480" t="inlineStr">
        <is>
          <t>IHOO</t>
        </is>
      </c>
      <c r="I480" t="inlineStr">
        <is>
          <t>Ishares Global 100 Aud Hedged ETF</t>
        </is>
      </c>
      <c r="J480" t="inlineStr">
        <is>
          <t>AUD</t>
        </is>
      </c>
      <c r="K480" s="5" t="inlineStr">
        <is>
          <t>01a152b9-6ee2-7577-bddd-382bc3853fde</t>
        </is>
      </c>
      <c r="M480" t="inlineStr">
        <is>
          <t>UNIT_TRUST</t>
        </is>
      </c>
      <c r="N480" t="inlineStr">
        <is>
          <t>SUGGESTED</t>
        </is>
      </c>
      <c r="Q480" t="n">
        <v>0</v>
      </c>
      <c r="R480" t="inlineStr">
        <is>
          <t>AUD</t>
        </is>
      </c>
      <c r="S480" t="n">
        <v>0</v>
      </c>
      <c r="T480" t="inlineStr">
        <is>
          <t>AUD</t>
        </is>
      </c>
      <c r="U480" t="n">
        <v>0</v>
      </c>
    </row>
    <row r="481">
      <c r="A481" s="5" t="inlineStr">
        <is>
          <t>01a152b9-784a-7055-b4cc-f891025b2fc9</t>
        </is>
      </c>
      <c r="C481" s="5" t="inlineStr">
        <is>
          <t>01a152b9-6e67-75da-8adb-b03e5d07fd21</t>
        </is>
      </c>
      <c r="D481" s="4" t="n">
        <v>46314.24593864589</v>
      </c>
      <c r="E481" s="4" t="n">
        <v>46314.24593864601</v>
      </c>
      <c r="F481" t="b">
        <v>1</v>
      </c>
      <c r="G481" t="n">
        <v/>
      </c>
      <c r="H481" t="inlineStr">
        <is>
          <t>AEL</t>
        </is>
      </c>
      <c r="I481" t="inlineStr">
        <is>
          <t>Amplitude Energy Ltd</t>
        </is>
      </c>
      <c r="J481" t="inlineStr">
        <is>
          <t>AUD</t>
        </is>
      </c>
      <c r="K481" s="5" t="inlineStr">
        <is>
          <t>01a152b9-6ee2-7577-bddd-382bc3853fde</t>
        </is>
      </c>
      <c r="M481" t="inlineStr">
        <is>
          <t>UNKNOWN</t>
        </is>
      </c>
      <c r="N481" t="inlineStr">
        <is>
          <t>DEFAULT</t>
        </is>
      </c>
      <c r="Q481" t="n">
        <v>0</v>
      </c>
      <c r="R481" t="inlineStr">
        <is>
          <t>AUD</t>
        </is>
      </c>
      <c r="S481" t="n">
        <v>0</v>
      </c>
      <c r="T481" t="inlineStr">
        <is>
          <t>AUD</t>
        </is>
      </c>
      <c r="U481" t="n">
        <v>0</v>
      </c>
    </row>
    <row r="482">
      <c r="A482" s="5" t="inlineStr">
        <is>
          <t>01a152b9-784d-71c7-9342-89f0c02bdafb</t>
        </is>
      </c>
      <c r="C482" s="5" t="inlineStr">
        <is>
          <t>01a152b9-6e67-75da-8adb-b03e5d07fd21</t>
        </is>
      </c>
      <c r="D482" s="4" t="n">
        <v>46314.24593868085</v>
      </c>
      <c r="E482" s="4" t="n">
        <v>46314.24593868094</v>
      </c>
      <c r="F482" t="b">
        <v>1</v>
      </c>
      <c r="G482" t="n">
        <v/>
      </c>
      <c r="H482" t="inlineStr">
        <is>
          <t>VISM</t>
        </is>
      </c>
      <c r="I482" t="inlineStr">
        <is>
          <t>Vanguard MSCI International Small Companies INDEX ETF</t>
        </is>
      </c>
      <c r="J482" t="inlineStr">
        <is>
          <t>AUD</t>
        </is>
      </c>
      <c r="K482" s="5" t="inlineStr">
        <is>
          <t>01a152b9-6ee2-7577-bddd-382bc3853fde</t>
        </is>
      </c>
      <c r="M482" t="inlineStr">
        <is>
          <t>UNIT_TRUST</t>
        </is>
      </c>
      <c r="N482" t="inlineStr">
        <is>
          <t>SUGGESTED</t>
        </is>
      </c>
      <c r="Q482" t="n">
        <v>0</v>
      </c>
      <c r="R482" t="inlineStr">
        <is>
          <t>AUD</t>
        </is>
      </c>
      <c r="S482" t="n">
        <v>0</v>
      </c>
      <c r="T482" t="inlineStr">
        <is>
          <t>AUD</t>
        </is>
      </c>
      <c r="U482" t="n">
        <v>0</v>
      </c>
    </row>
    <row r="483">
      <c r="A483" s="5" t="inlineStr">
        <is>
          <t>01a152b9-7851-7487-8f7b-718b6bbdfcac</t>
        </is>
      </c>
      <c r="C483" s="5" t="inlineStr">
        <is>
          <t>01a152b9-6e67-75da-8adb-b03e5d07fd21</t>
        </is>
      </c>
      <c r="D483" s="4" t="n">
        <v>46314.2459387194</v>
      </c>
      <c r="E483" s="4" t="n">
        <v>46314.24593871948</v>
      </c>
      <c r="F483" t="b">
        <v>1</v>
      </c>
      <c r="G483" t="n">
        <v/>
      </c>
      <c r="H483" t="inlineStr">
        <is>
          <t>FGX</t>
        </is>
      </c>
      <c r="I483" t="inlineStr">
        <is>
          <t>Future Generation Australia Ltd</t>
        </is>
      </c>
      <c r="J483" t="inlineStr">
        <is>
          <t>AUD</t>
        </is>
      </c>
      <c r="K483" s="5" t="inlineStr">
        <is>
          <t>01a152b9-6ee2-7577-bddd-382bc3853fde</t>
        </is>
      </c>
      <c r="M483" t="inlineStr">
        <is>
          <t>UNKNOWN</t>
        </is>
      </c>
      <c r="N483" t="inlineStr">
        <is>
          <t>DEFAULT</t>
        </is>
      </c>
      <c r="Q483" t="n">
        <v>0</v>
      </c>
      <c r="R483" t="inlineStr">
        <is>
          <t>AUD</t>
        </is>
      </c>
      <c r="S483" t="n">
        <v>0</v>
      </c>
      <c r="T483" t="inlineStr">
        <is>
          <t>AUD</t>
        </is>
      </c>
      <c r="U483" t="n">
        <v>0</v>
      </c>
    </row>
    <row r="484">
      <c r="A484" s="5" t="inlineStr">
        <is>
          <t>01a152b9-7854-7688-853c-7f245221749c</t>
        </is>
      </c>
      <c r="C484" s="5" t="inlineStr">
        <is>
          <t>01a152b9-6e67-75da-8adb-b03e5d07fd21</t>
        </is>
      </c>
      <c r="D484" s="4" t="n">
        <v>46314.24593875712</v>
      </c>
      <c r="E484" s="4" t="n">
        <v>46314.24593875721</v>
      </c>
      <c r="F484" t="b">
        <v>1</v>
      </c>
      <c r="G484" t="n">
        <v/>
      </c>
      <c r="H484" t="inlineStr">
        <is>
          <t>FFM</t>
        </is>
      </c>
      <c r="I484" t="inlineStr">
        <is>
          <t>Firefly Metals Ltd</t>
        </is>
      </c>
      <c r="J484" t="inlineStr">
        <is>
          <t>AUD</t>
        </is>
      </c>
      <c r="K484" s="5" t="inlineStr">
        <is>
          <t>01a152b9-6ee2-7577-bddd-382bc3853fde</t>
        </is>
      </c>
      <c r="M484" t="inlineStr">
        <is>
          <t>UNKNOWN</t>
        </is>
      </c>
      <c r="N484" t="inlineStr">
        <is>
          <t>DEFAULT</t>
        </is>
      </c>
      <c r="Q484" t="n">
        <v>0</v>
      </c>
      <c r="R484" t="inlineStr">
        <is>
          <t>AUD</t>
        </is>
      </c>
      <c r="S484" t="n">
        <v>0</v>
      </c>
      <c r="T484" t="inlineStr">
        <is>
          <t>AUD</t>
        </is>
      </c>
      <c r="U484" t="n">
        <v>0</v>
      </c>
    </row>
    <row r="485">
      <c r="A485" s="5" t="inlineStr">
        <is>
          <t>01a152b9-7858-71e2-984c-8647879bb42e</t>
        </is>
      </c>
      <c r="C485" s="5" t="inlineStr">
        <is>
          <t>01a152b9-6e67-75da-8adb-b03e5d07fd21</t>
        </is>
      </c>
      <c r="D485" s="4" t="n">
        <v>46314.24593880061</v>
      </c>
      <c r="E485" s="4" t="n">
        <v>46314.24593880076</v>
      </c>
      <c r="F485" t="b">
        <v>1</v>
      </c>
      <c r="G485" t="n">
        <v/>
      </c>
      <c r="H485" t="inlineStr">
        <is>
          <t>KGN</t>
        </is>
      </c>
      <c r="I485" t="inlineStr">
        <is>
          <t>Kogan.com Ltd</t>
        </is>
      </c>
      <c r="J485" t="inlineStr">
        <is>
          <t>AUD</t>
        </is>
      </c>
      <c r="K485" s="5" t="inlineStr">
        <is>
          <t>01a152b9-6ee2-7577-bddd-382bc3853fde</t>
        </is>
      </c>
      <c r="M485" t="inlineStr">
        <is>
          <t>UNKNOWN</t>
        </is>
      </c>
      <c r="N485" t="inlineStr">
        <is>
          <t>DEFAULT</t>
        </is>
      </c>
      <c r="Q485" t="n">
        <v>0</v>
      </c>
      <c r="R485" t="inlineStr">
        <is>
          <t>AUD</t>
        </is>
      </c>
      <c r="S485" t="n">
        <v>0</v>
      </c>
      <c r="T485" t="inlineStr">
        <is>
          <t>AUD</t>
        </is>
      </c>
      <c r="U485" t="n">
        <v>0</v>
      </c>
    </row>
    <row r="486">
      <c r="A486" s="5" t="inlineStr">
        <is>
          <t>01a152b9-785b-742e-955b-900b5fe0bcb6</t>
        </is>
      </c>
      <c r="C486" s="5" t="inlineStr">
        <is>
          <t>01a152b9-6e67-75da-8adb-b03e5d07fd21</t>
        </is>
      </c>
      <c r="D486" s="4" t="n">
        <v>46314.24593883905</v>
      </c>
      <c r="E486" s="4" t="n">
        <v>46314.24593883918</v>
      </c>
      <c r="F486" t="b">
        <v>1</v>
      </c>
      <c r="G486" t="n">
        <v/>
      </c>
      <c r="H486" t="inlineStr">
        <is>
          <t>WTN</t>
        </is>
      </c>
      <c r="I486" t="inlineStr">
        <is>
          <t>Winton Land Ltd</t>
        </is>
      </c>
      <c r="J486" t="inlineStr">
        <is>
          <t>AUD</t>
        </is>
      </c>
      <c r="K486" s="5" t="inlineStr">
        <is>
          <t>01a152b9-6ee2-7577-bddd-382bc3853fde</t>
        </is>
      </c>
      <c r="M486" t="inlineStr">
        <is>
          <t>UNKNOWN</t>
        </is>
      </c>
      <c r="N486" t="inlineStr">
        <is>
          <t>DEFAULT</t>
        </is>
      </c>
      <c r="Q486" t="n">
        <v>0</v>
      </c>
      <c r="R486" t="inlineStr">
        <is>
          <t>AUD</t>
        </is>
      </c>
      <c r="S486" t="n">
        <v>0</v>
      </c>
      <c r="T486" t="inlineStr">
        <is>
          <t>AUD</t>
        </is>
      </c>
      <c r="U486" t="n">
        <v>0</v>
      </c>
    </row>
    <row r="487">
      <c r="A487" s="5" t="inlineStr">
        <is>
          <t>01a152b9-785f-7320-8770-f7daa561b005</t>
        </is>
      </c>
      <c r="C487" s="5" t="inlineStr">
        <is>
          <t>01a152b9-6e67-75da-8adb-b03e5d07fd21</t>
        </is>
      </c>
      <c r="D487" s="4" t="n">
        <v>46314.24593888706</v>
      </c>
      <c r="E487" s="4" t="n">
        <v>46314.2459388872</v>
      </c>
      <c r="F487" t="b">
        <v>1</v>
      </c>
      <c r="G487" t="n">
        <v/>
      </c>
      <c r="H487" t="inlineStr">
        <is>
          <t>CCL</t>
        </is>
      </c>
      <c r="I487" t="inlineStr">
        <is>
          <t>Cuscal Ltd</t>
        </is>
      </c>
      <c r="J487" t="inlineStr">
        <is>
          <t>AUD</t>
        </is>
      </c>
      <c r="K487" s="5" t="inlineStr">
        <is>
          <t>01a152b9-6ee2-7577-bddd-382bc3853fde</t>
        </is>
      </c>
      <c r="M487" t="inlineStr">
        <is>
          <t>UNKNOWN</t>
        </is>
      </c>
      <c r="N487" t="inlineStr">
        <is>
          <t>DEFAULT</t>
        </is>
      </c>
      <c r="Q487" t="n">
        <v>0</v>
      </c>
      <c r="R487" t="inlineStr">
        <is>
          <t>AUD</t>
        </is>
      </c>
      <c r="S487" t="n">
        <v>0</v>
      </c>
      <c r="T487" t="inlineStr">
        <is>
          <t>AUD</t>
        </is>
      </c>
      <c r="U487" t="n">
        <v>0</v>
      </c>
    </row>
    <row r="488">
      <c r="A488" s="5" t="inlineStr">
        <is>
          <t>01a152b9-7863-7293-ae91-3616e99f0fcb</t>
        </is>
      </c>
      <c r="C488" s="5" t="inlineStr">
        <is>
          <t>01a152b9-6e67-75da-8adb-b03e5d07fd21</t>
        </is>
      </c>
      <c r="D488" s="4" t="n">
        <v>46314.24593893068</v>
      </c>
      <c r="E488" s="4" t="n">
        <v>46314.24593893081</v>
      </c>
      <c r="F488" t="b">
        <v>1</v>
      </c>
      <c r="G488" t="n">
        <v/>
      </c>
      <c r="H488" t="inlineStr">
        <is>
          <t>PYC</t>
        </is>
      </c>
      <c r="I488" t="inlineStr">
        <is>
          <t>PYC Therapeutics Ltd</t>
        </is>
      </c>
      <c r="J488" t="inlineStr">
        <is>
          <t>AUD</t>
        </is>
      </c>
      <c r="K488" s="5" t="inlineStr">
        <is>
          <t>01a152b9-6ee2-7577-bddd-382bc3853fde</t>
        </is>
      </c>
      <c r="M488" t="inlineStr">
        <is>
          <t>UNKNOWN</t>
        </is>
      </c>
      <c r="N488" t="inlineStr">
        <is>
          <t>DEFAULT</t>
        </is>
      </c>
      <c r="Q488" t="n">
        <v>0</v>
      </c>
      <c r="R488" t="inlineStr">
        <is>
          <t>AUD</t>
        </is>
      </c>
      <c r="S488" t="n">
        <v>0</v>
      </c>
      <c r="T488" t="inlineStr">
        <is>
          <t>AUD</t>
        </is>
      </c>
      <c r="U488" t="n">
        <v>0</v>
      </c>
    </row>
    <row r="489">
      <c r="A489" s="5" t="inlineStr">
        <is>
          <t>01a152b9-7866-75b4-8f1a-59a52bef2e6f</t>
        </is>
      </c>
      <c r="C489" s="5" t="inlineStr">
        <is>
          <t>01a152b9-6e67-75da-8adb-b03e5d07fd21</t>
        </is>
      </c>
      <c r="D489" s="4" t="n">
        <v>46314.24593896816</v>
      </c>
      <c r="E489" s="4" t="n">
        <v>46314.24593896834</v>
      </c>
      <c r="F489" t="b">
        <v>1</v>
      </c>
      <c r="G489" t="n">
        <v/>
      </c>
      <c r="H489" t="inlineStr">
        <is>
          <t>GNP</t>
        </is>
      </c>
      <c r="I489" t="inlineStr">
        <is>
          <t>Genusplus Group Ltd</t>
        </is>
      </c>
      <c r="J489" t="inlineStr">
        <is>
          <t>AUD</t>
        </is>
      </c>
      <c r="K489" s="5" t="inlineStr">
        <is>
          <t>01a152b9-6ee2-7577-bddd-382bc3853fde</t>
        </is>
      </c>
      <c r="M489" t="inlineStr">
        <is>
          <t>UNKNOWN</t>
        </is>
      </c>
      <c r="N489" t="inlineStr">
        <is>
          <t>DEFAULT</t>
        </is>
      </c>
      <c r="Q489" t="n">
        <v>0</v>
      </c>
      <c r="R489" t="inlineStr">
        <is>
          <t>AUD</t>
        </is>
      </c>
      <c r="S489" t="n">
        <v>0</v>
      </c>
      <c r="T489" t="inlineStr">
        <is>
          <t>AUD</t>
        </is>
      </c>
      <c r="U489" t="n">
        <v>0</v>
      </c>
    </row>
    <row r="490">
      <c r="A490" s="5" t="inlineStr">
        <is>
          <t>01a152b9-7869-722f-9334-af3eaa7fcb24</t>
        </is>
      </c>
      <c r="C490" s="5" t="inlineStr">
        <is>
          <t>01a152b9-6e67-75da-8adb-b03e5d07fd21</t>
        </is>
      </c>
      <c r="D490" s="4" t="n">
        <v>46314.24593900586</v>
      </c>
      <c r="E490" s="4" t="n">
        <v>46314.24593900597</v>
      </c>
      <c r="F490" t="b">
        <v>1</v>
      </c>
      <c r="G490" t="n">
        <v/>
      </c>
      <c r="H490" t="inlineStr">
        <is>
          <t>SRV</t>
        </is>
      </c>
      <c r="I490" t="inlineStr">
        <is>
          <t>Servcorp Ltd</t>
        </is>
      </c>
      <c r="J490" t="inlineStr">
        <is>
          <t>AUD</t>
        </is>
      </c>
      <c r="K490" s="5" t="inlineStr">
        <is>
          <t>01a152b9-6ee2-7577-bddd-382bc3853fde</t>
        </is>
      </c>
      <c r="M490" t="inlineStr">
        <is>
          <t>UNKNOWN</t>
        </is>
      </c>
      <c r="N490" t="inlineStr">
        <is>
          <t>DEFAULT</t>
        </is>
      </c>
      <c r="Q490" t="n">
        <v>0</v>
      </c>
      <c r="R490" t="inlineStr">
        <is>
          <t>AUD</t>
        </is>
      </c>
      <c r="S490" t="n">
        <v>0</v>
      </c>
      <c r="T490" t="inlineStr">
        <is>
          <t>AUD</t>
        </is>
      </c>
      <c r="U490" t="n">
        <v>0</v>
      </c>
    </row>
    <row r="491">
      <c r="A491" s="5" t="inlineStr">
        <is>
          <t>01a152b9-786d-7479-bc09-fcfb446b515f</t>
        </is>
      </c>
      <c r="C491" s="5" t="inlineStr">
        <is>
          <t>01a152b9-6e67-75da-8adb-b03e5d07fd21</t>
        </is>
      </c>
      <c r="D491" s="4" t="n">
        <v>46314.24593904956</v>
      </c>
      <c r="E491" s="4" t="n">
        <v>46314.24593904972</v>
      </c>
      <c r="F491" t="b">
        <v>1</v>
      </c>
      <c r="G491" t="n">
        <v/>
      </c>
      <c r="H491" t="inlineStr">
        <is>
          <t>HNDQ</t>
        </is>
      </c>
      <c r="I491" t="inlineStr">
        <is>
          <t>Betashares Nasdaq 100 Currency Hedged ETF</t>
        </is>
      </c>
      <c r="J491" t="inlineStr">
        <is>
          <t>AUD</t>
        </is>
      </c>
      <c r="K491" s="5" t="inlineStr">
        <is>
          <t>01a152b9-6ee2-7577-bddd-382bc3853fde</t>
        </is>
      </c>
      <c r="M491" t="inlineStr">
        <is>
          <t>UNIT_TRUST</t>
        </is>
      </c>
      <c r="N491" t="inlineStr">
        <is>
          <t>SUGGESTED</t>
        </is>
      </c>
      <c r="Q491" t="n">
        <v>0</v>
      </c>
      <c r="R491" t="inlineStr">
        <is>
          <t>AUD</t>
        </is>
      </c>
      <c r="S491" t="n">
        <v>0</v>
      </c>
      <c r="T491" t="inlineStr">
        <is>
          <t>AUD</t>
        </is>
      </c>
      <c r="U491" t="n">
        <v>0</v>
      </c>
    </row>
    <row r="492">
      <c r="A492" s="5" t="inlineStr">
        <is>
          <t>01a152b9-7871-779d-938f-abbc1defdbb2</t>
        </is>
      </c>
      <c r="C492" s="5" t="inlineStr">
        <is>
          <t>01a152b9-6e67-75da-8adb-b03e5d07fd21</t>
        </is>
      </c>
      <c r="D492" s="4" t="n">
        <v>46314.24593909775</v>
      </c>
      <c r="E492" s="4" t="n">
        <v>46314.24593909787</v>
      </c>
      <c r="F492" t="b">
        <v>1</v>
      </c>
      <c r="G492" t="n">
        <v/>
      </c>
      <c r="H492" t="inlineStr">
        <is>
          <t>CTT</t>
        </is>
      </c>
      <c r="I492" t="inlineStr">
        <is>
          <t>Cettire Ltd</t>
        </is>
      </c>
      <c r="J492" t="inlineStr">
        <is>
          <t>AUD</t>
        </is>
      </c>
      <c r="K492" s="5" t="inlineStr">
        <is>
          <t>01a152b9-6ee2-7577-bddd-382bc3853fde</t>
        </is>
      </c>
      <c r="M492" t="inlineStr">
        <is>
          <t>UNKNOWN</t>
        </is>
      </c>
      <c r="N492" t="inlineStr">
        <is>
          <t>DEFAULT</t>
        </is>
      </c>
      <c r="Q492" t="n">
        <v>0</v>
      </c>
      <c r="R492" t="inlineStr">
        <is>
          <t>AUD</t>
        </is>
      </c>
      <c r="S492" t="n">
        <v>0</v>
      </c>
      <c r="T492" t="inlineStr">
        <is>
          <t>AUD</t>
        </is>
      </c>
      <c r="U492" t="n">
        <v>0</v>
      </c>
    </row>
    <row r="493">
      <c r="A493" s="5" t="inlineStr">
        <is>
          <t>01a152b9-7875-70d7-b8ae-f90de76ff1df</t>
        </is>
      </c>
      <c r="C493" s="5" t="inlineStr">
        <is>
          <t>01a152b9-6e67-75da-8adb-b03e5d07fd21</t>
        </is>
      </c>
      <c r="D493" s="4" t="n">
        <v>46314.24593913639</v>
      </c>
      <c r="E493" s="4" t="n">
        <v>46314.2459391365</v>
      </c>
      <c r="F493" t="b">
        <v>1</v>
      </c>
      <c r="G493" t="n">
        <v/>
      </c>
      <c r="H493" t="inlineStr">
        <is>
          <t>KPG</t>
        </is>
      </c>
      <c r="I493" t="inlineStr">
        <is>
          <t>Kelly Partners Group Holdings Ltd</t>
        </is>
      </c>
      <c r="J493" t="inlineStr">
        <is>
          <t>AUD</t>
        </is>
      </c>
      <c r="K493" s="5" t="inlineStr">
        <is>
          <t>01a152b9-6ee2-7577-bddd-382bc3853fde</t>
        </is>
      </c>
      <c r="M493" t="inlineStr">
        <is>
          <t>UNKNOWN</t>
        </is>
      </c>
      <c r="N493" t="inlineStr">
        <is>
          <t>DEFAULT</t>
        </is>
      </c>
      <c r="Q493" t="n">
        <v>0</v>
      </c>
      <c r="R493" t="inlineStr">
        <is>
          <t>AUD</t>
        </is>
      </c>
      <c r="S493" t="n">
        <v>0</v>
      </c>
      <c r="T493" t="inlineStr">
        <is>
          <t>AUD</t>
        </is>
      </c>
      <c r="U493" t="n">
        <v>0</v>
      </c>
    </row>
    <row r="494">
      <c r="A494" s="5" t="inlineStr">
        <is>
          <t>01a152b9-7878-72ef-a597-ac0ffc73a19c</t>
        </is>
      </c>
      <c r="C494" s="5" t="inlineStr">
        <is>
          <t>01a152b9-6e67-75da-8adb-b03e5d07fd21</t>
        </is>
      </c>
      <c r="D494" s="4" t="n">
        <v>46314.24593917706</v>
      </c>
      <c r="E494" s="4" t="n">
        <v>46314.24593917718</v>
      </c>
      <c r="F494" t="b">
        <v>1</v>
      </c>
      <c r="G494" t="n">
        <v/>
      </c>
      <c r="H494" t="inlineStr">
        <is>
          <t>OZBD</t>
        </is>
      </c>
      <c r="I494" t="inlineStr">
        <is>
          <t>Betashares Australian Composite Bond ETF</t>
        </is>
      </c>
      <c r="J494" t="inlineStr">
        <is>
          <t>AUD</t>
        </is>
      </c>
      <c r="K494" s="5" t="inlineStr">
        <is>
          <t>01a152b9-6ee2-7577-bddd-382bc3853fde</t>
        </is>
      </c>
      <c r="M494" t="inlineStr">
        <is>
          <t>UNKNOWN</t>
        </is>
      </c>
      <c r="N494" t="inlineStr">
        <is>
          <t>DEFAULT</t>
        </is>
      </c>
      <c r="Q494" t="n">
        <v>0</v>
      </c>
      <c r="R494" t="inlineStr">
        <is>
          <t>AUD</t>
        </is>
      </c>
      <c r="S494" t="n">
        <v>0</v>
      </c>
      <c r="T494" t="inlineStr">
        <is>
          <t>AUD</t>
        </is>
      </c>
      <c r="U494" t="n">
        <v>0</v>
      </c>
    </row>
    <row r="495">
      <c r="A495" s="5" t="inlineStr">
        <is>
          <t>01a152b9-787b-7300-9523-9981d3d55656</t>
        </is>
      </c>
      <c r="C495" s="5" t="inlineStr">
        <is>
          <t>01a152b9-6e67-75da-8adb-b03e5d07fd21</t>
        </is>
      </c>
      <c r="D495" s="4" t="n">
        <v>46314.24593921474</v>
      </c>
      <c r="E495" s="4" t="n">
        <v>46314.24593921486</v>
      </c>
      <c r="F495" t="b">
        <v>1</v>
      </c>
      <c r="G495" t="n">
        <v/>
      </c>
      <c r="H495" t="inlineStr">
        <is>
          <t>KSC</t>
        </is>
      </c>
      <c r="I495" t="inlineStr">
        <is>
          <t>K &amp; S Corporation Ltd</t>
        </is>
      </c>
      <c r="J495" t="inlineStr">
        <is>
          <t>AUD</t>
        </is>
      </c>
      <c r="K495" s="5" t="inlineStr">
        <is>
          <t>01a152b9-6ee2-7577-bddd-382bc3853fde</t>
        </is>
      </c>
      <c r="M495" t="inlineStr">
        <is>
          <t>UNKNOWN</t>
        </is>
      </c>
      <c r="N495" t="inlineStr">
        <is>
          <t>DEFAULT</t>
        </is>
      </c>
      <c r="Q495" t="n">
        <v>0</v>
      </c>
      <c r="R495" t="inlineStr">
        <is>
          <t>AUD</t>
        </is>
      </c>
      <c r="S495" t="n">
        <v>0</v>
      </c>
      <c r="T495" t="inlineStr">
        <is>
          <t>AUD</t>
        </is>
      </c>
      <c r="U495" t="n">
        <v>0</v>
      </c>
    </row>
    <row r="496">
      <c r="A496" s="5" t="inlineStr">
        <is>
          <t>01a152b9-787f-76cf-89e7-eddc2215de5f</t>
        </is>
      </c>
      <c r="C496" s="5" t="inlineStr">
        <is>
          <t>01a152b9-6e67-75da-8adb-b03e5d07fd21</t>
        </is>
      </c>
      <c r="D496" s="4" t="n">
        <v>46314.24593925942</v>
      </c>
      <c r="E496" s="4" t="n">
        <v>46314.24593925956</v>
      </c>
      <c r="F496" t="b">
        <v>1</v>
      </c>
      <c r="G496" t="n">
        <v/>
      </c>
      <c r="H496" t="inlineStr">
        <is>
          <t>MYS</t>
        </is>
      </c>
      <c r="I496" t="inlineStr">
        <is>
          <t>Mystate Ltd</t>
        </is>
      </c>
      <c r="J496" t="inlineStr">
        <is>
          <t>AUD</t>
        </is>
      </c>
      <c r="K496" s="5" t="inlineStr">
        <is>
          <t>01a152b9-6ee2-7577-bddd-382bc3853fde</t>
        </is>
      </c>
      <c r="M496" t="inlineStr">
        <is>
          <t>UNKNOWN</t>
        </is>
      </c>
      <c r="N496" t="inlineStr">
        <is>
          <t>DEFAULT</t>
        </is>
      </c>
      <c r="Q496" t="n">
        <v>0</v>
      </c>
      <c r="R496" t="inlineStr">
        <is>
          <t>AUD</t>
        </is>
      </c>
      <c r="S496" t="n">
        <v>0</v>
      </c>
      <c r="T496" t="inlineStr">
        <is>
          <t>AUD</t>
        </is>
      </c>
      <c r="U496" t="n">
        <v>0</v>
      </c>
    </row>
    <row r="497">
      <c r="A497" s="5" t="inlineStr">
        <is>
          <t>01a152b9-7883-70ef-ac2e-7084b651f51c</t>
        </is>
      </c>
      <c r="C497" s="5" t="inlineStr">
        <is>
          <t>01a152b9-6e67-75da-8adb-b03e5d07fd21</t>
        </is>
      </c>
      <c r="D497" s="4" t="n">
        <v>46314.24593929743</v>
      </c>
      <c r="E497" s="4" t="n">
        <v>46314.24593929756</v>
      </c>
      <c r="F497" t="b">
        <v>1</v>
      </c>
      <c r="G497" t="n">
        <v/>
      </c>
      <c r="H497" t="inlineStr">
        <is>
          <t>APZ</t>
        </is>
      </c>
      <c r="I497" t="inlineStr">
        <is>
          <t>Aspen Group</t>
        </is>
      </c>
      <c r="J497" t="inlineStr">
        <is>
          <t>AUD</t>
        </is>
      </c>
      <c r="K497" s="5" t="inlineStr">
        <is>
          <t>01a152b9-6ee2-7577-bddd-382bc3853fde</t>
        </is>
      </c>
      <c r="M497" t="inlineStr">
        <is>
          <t>UNKNOWN</t>
        </is>
      </c>
      <c r="N497" t="inlineStr">
        <is>
          <t>DEFAULT</t>
        </is>
      </c>
      <c r="Q497" t="n">
        <v>0</v>
      </c>
      <c r="R497" t="inlineStr">
        <is>
          <t>AUD</t>
        </is>
      </c>
      <c r="S497" t="n">
        <v>0</v>
      </c>
      <c r="T497" t="inlineStr">
        <is>
          <t>AUD</t>
        </is>
      </c>
      <c r="U497" t="n">
        <v>0</v>
      </c>
    </row>
    <row r="498">
      <c r="A498" s="5" t="inlineStr">
        <is>
          <t>01a152b9-7886-731d-bd3b-bfff50c7262d</t>
        </is>
      </c>
      <c r="C498" s="5" t="inlineStr">
        <is>
          <t>01a152b9-6e67-75da-8adb-b03e5d07fd21</t>
        </is>
      </c>
      <c r="D498" s="4" t="n">
        <v>46314.24593933942</v>
      </c>
      <c r="E498" s="4" t="n">
        <v>46314.24593933955</v>
      </c>
      <c r="F498" t="b">
        <v>1</v>
      </c>
      <c r="G498" t="n">
        <v/>
      </c>
      <c r="H498" t="inlineStr">
        <is>
          <t>IMM</t>
        </is>
      </c>
      <c r="I498" t="inlineStr">
        <is>
          <t>Immutep Ltd</t>
        </is>
      </c>
      <c r="J498" t="inlineStr">
        <is>
          <t>AUD</t>
        </is>
      </c>
      <c r="K498" s="5" t="inlineStr">
        <is>
          <t>01a152b9-6ee2-7577-bddd-382bc3853fde</t>
        </is>
      </c>
      <c r="M498" t="inlineStr">
        <is>
          <t>UNKNOWN</t>
        </is>
      </c>
      <c r="N498" t="inlineStr">
        <is>
          <t>DEFAULT</t>
        </is>
      </c>
      <c r="Q498" t="n">
        <v>0</v>
      </c>
      <c r="R498" t="inlineStr">
        <is>
          <t>AUD</t>
        </is>
      </c>
      <c r="S498" t="n">
        <v>0</v>
      </c>
      <c r="T498" t="inlineStr">
        <is>
          <t>AUD</t>
        </is>
      </c>
      <c r="U498" t="n">
        <v>0</v>
      </c>
    </row>
    <row r="499">
      <c r="A499" s="5" t="inlineStr">
        <is>
          <t>01a152b9-788a-73a5-b9f4-958f700a758a</t>
        </is>
      </c>
      <c r="C499" s="5" t="inlineStr">
        <is>
          <t>01a152b9-6e67-75da-8adb-b03e5d07fd21</t>
        </is>
      </c>
      <c r="D499" s="4" t="n">
        <v>46314.24593937728</v>
      </c>
      <c r="E499" s="4" t="n">
        <v>46314.2459393774</v>
      </c>
      <c r="F499" t="b">
        <v>1</v>
      </c>
      <c r="G499" t="n">
        <v/>
      </c>
      <c r="H499" t="inlineStr">
        <is>
          <t>LRS</t>
        </is>
      </c>
      <c r="I499" t="inlineStr">
        <is>
          <t>Latin Resources Ltd</t>
        </is>
      </c>
      <c r="J499" t="inlineStr">
        <is>
          <t>AUD</t>
        </is>
      </c>
      <c r="K499" s="5" t="inlineStr">
        <is>
          <t>01a152b9-6ee2-7577-bddd-382bc3853fde</t>
        </is>
      </c>
      <c r="M499" t="inlineStr">
        <is>
          <t>UNKNOWN</t>
        </is>
      </c>
      <c r="N499" t="inlineStr">
        <is>
          <t>DEFAULT</t>
        </is>
      </c>
      <c r="Q499" t="n">
        <v>0</v>
      </c>
      <c r="R499" t="inlineStr">
        <is>
          <t>AUD</t>
        </is>
      </c>
      <c r="S499" t="n">
        <v>0</v>
      </c>
      <c r="T499" t="inlineStr">
        <is>
          <t>AUD</t>
        </is>
      </c>
      <c r="U499" t="n">
        <v>0</v>
      </c>
    </row>
    <row r="500">
      <c r="A500" s="5" t="inlineStr">
        <is>
          <t>01a152b9-788d-7760-a7d4-4f43e1a6298b</t>
        </is>
      </c>
      <c r="C500" s="5" t="inlineStr">
        <is>
          <t>01a152b9-6e67-75da-8adb-b03e5d07fd21</t>
        </is>
      </c>
      <c r="D500" s="4" t="n">
        <v>46314.24593942242</v>
      </c>
      <c r="E500" s="4" t="n">
        <v>46314.24593942257</v>
      </c>
      <c r="F500" t="b">
        <v>1</v>
      </c>
      <c r="G500" t="n">
        <v/>
      </c>
      <c r="H500" t="inlineStr">
        <is>
          <t>IJH</t>
        </is>
      </c>
      <c r="I500" t="inlineStr">
        <is>
          <t>Ishares S&amp;P Mid-Cap ETF</t>
        </is>
      </c>
      <c r="J500" t="inlineStr">
        <is>
          <t>AUD</t>
        </is>
      </c>
      <c r="K500" s="5" t="inlineStr">
        <is>
          <t>01a152b9-6ee2-7577-bddd-382bc3853fde</t>
        </is>
      </c>
      <c r="M500" t="inlineStr">
        <is>
          <t>UNKNOWN</t>
        </is>
      </c>
      <c r="N500" t="inlineStr">
        <is>
          <t>DEFAULT</t>
        </is>
      </c>
      <c r="Q500" t="n">
        <v>0</v>
      </c>
      <c r="R500" t="inlineStr">
        <is>
          <t>AUD</t>
        </is>
      </c>
      <c r="S500" t="n">
        <v>0</v>
      </c>
      <c r="T500" t="inlineStr">
        <is>
          <t>AUD</t>
        </is>
      </c>
      <c r="U500" t="n">
        <v>0</v>
      </c>
    </row>
    <row r="501">
      <c r="A501" s="5" t="inlineStr">
        <is>
          <t>01a152b9-7891-77c9-85cf-662458226c6e</t>
        </is>
      </c>
      <c r="C501" s="5" t="inlineStr">
        <is>
          <t>01a152b9-6e67-75da-8adb-b03e5d07fd21</t>
        </is>
      </c>
      <c r="D501" s="4" t="n">
        <v>46314.24593946531</v>
      </c>
      <c r="E501" s="4" t="n">
        <v>46314.24593946541</v>
      </c>
      <c r="F501" t="b">
        <v>1</v>
      </c>
      <c r="G501" t="n">
        <v/>
      </c>
      <c r="H501" t="inlineStr">
        <is>
          <t>VAE</t>
        </is>
      </c>
      <c r="I501" t="inlineStr">
        <is>
          <t>Vanguard Ftse Asia Ex Japan Shares INDEX ETF</t>
        </is>
      </c>
      <c r="J501" t="inlineStr">
        <is>
          <t>AUD</t>
        </is>
      </c>
      <c r="K501" s="5" t="inlineStr">
        <is>
          <t>01a152b9-6ee2-7577-bddd-382bc3853fde</t>
        </is>
      </c>
      <c r="M501" t="inlineStr">
        <is>
          <t>UNIT_TRUST</t>
        </is>
      </c>
      <c r="N501" t="inlineStr">
        <is>
          <t>SUGGESTED</t>
        </is>
      </c>
      <c r="Q501" t="n">
        <v>0</v>
      </c>
      <c r="R501" t="inlineStr">
        <is>
          <t>AUD</t>
        </is>
      </c>
      <c r="S501" t="n">
        <v>0</v>
      </c>
      <c r="T501" t="inlineStr">
        <is>
          <t>AUD</t>
        </is>
      </c>
      <c r="U501" t="n">
        <v>0</v>
      </c>
    </row>
    <row r="502">
      <c r="A502" s="5" t="inlineStr">
        <is>
          <t>01a152b9-7895-73a6-b345-5acc40e92007</t>
        </is>
      </c>
      <c r="C502" s="5" t="inlineStr">
        <is>
          <t>01a152b9-6e67-75da-8adb-b03e5d07fd21</t>
        </is>
      </c>
      <c r="D502" s="4" t="n">
        <v>46314.24593950837</v>
      </c>
      <c r="E502" s="4" t="n">
        <v>46314.24593950847</v>
      </c>
      <c r="F502" t="b">
        <v>1</v>
      </c>
      <c r="G502" t="n">
        <v/>
      </c>
      <c r="H502" t="inlineStr">
        <is>
          <t>REIT</t>
        </is>
      </c>
      <c r="I502" t="inlineStr">
        <is>
          <t>Vaneck Ftse International Property (Aud Hedged) ETF</t>
        </is>
      </c>
      <c r="J502" t="inlineStr">
        <is>
          <t>AUD</t>
        </is>
      </c>
      <c r="K502" s="5" t="inlineStr">
        <is>
          <t>01a152b9-6ee2-7577-bddd-382bc3853fde</t>
        </is>
      </c>
      <c r="M502" t="inlineStr">
        <is>
          <t>UNKNOWN</t>
        </is>
      </c>
      <c r="N502" t="inlineStr">
        <is>
          <t>DEFAULT</t>
        </is>
      </c>
      <c r="Q502" t="n">
        <v>0</v>
      </c>
      <c r="R502" t="inlineStr">
        <is>
          <t>AUD</t>
        </is>
      </c>
      <c r="S502" t="n">
        <v>0</v>
      </c>
      <c r="T502" t="inlineStr">
        <is>
          <t>AUD</t>
        </is>
      </c>
      <c r="U502" t="n">
        <v>0</v>
      </c>
    </row>
    <row r="503">
      <c r="A503" s="5" t="inlineStr">
        <is>
          <t>01a152b9-7899-736e-81a6-b163ca83e02a</t>
        </is>
      </c>
      <c r="C503" s="5" t="inlineStr">
        <is>
          <t>01a152b9-6e67-75da-8adb-b03e5d07fd21</t>
        </is>
      </c>
      <c r="D503" s="4" t="n">
        <v>46314.24593955243</v>
      </c>
      <c r="E503" s="4" t="n">
        <v>46314.24593955256</v>
      </c>
      <c r="F503" t="b">
        <v>1</v>
      </c>
      <c r="G503" t="n">
        <v/>
      </c>
      <c r="H503" t="inlineStr">
        <is>
          <t>FSF</t>
        </is>
      </c>
      <c r="I503" t="inlineStr">
        <is>
          <t>Fonterra Shareholders' Fund</t>
        </is>
      </c>
      <c r="J503" t="inlineStr">
        <is>
          <t>AUD</t>
        </is>
      </c>
      <c r="K503" s="5" t="inlineStr">
        <is>
          <t>01a152b9-6ee2-7577-bddd-382bc3853fde</t>
        </is>
      </c>
      <c r="M503" t="inlineStr">
        <is>
          <t>UNKNOWN</t>
        </is>
      </c>
      <c r="N503" t="inlineStr">
        <is>
          <t>DEFAULT</t>
        </is>
      </c>
      <c r="Q503" t="n">
        <v>0</v>
      </c>
      <c r="R503" t="inlineStr">
        <is>
          <t>AUD</t>
        </is>
      </c>
      <c r="S503" t="n">
        <v>0</v>
      </c>
      <c r="T503" t="inlineStr">
        <is>
          <t>AUD</t>
        </is>
      </c>
      <c r="U503" t="n">
        <v>0</v>
      </c>
    </row>
    <row r="504">
      <c r="A504" s="5" t="inlineStr">
        <is>
          <t>01a152b9-789c-7163-b15b-918894ba8338</t>
        </is>
      </c>
      <c r="C504" s="5" t="inlineStr">
        <is>
          <t>01a152b9-6e67-75da-8adb-b03e5d07fd21</t>
        </is>
      </c>
      <c r="D504" s="4" t="n">
        <v>46314.24593959355</v>
      </c>
      <c r="E504" s="4" t="n">
        <v>46314.24593959369</v>
      </c>
      <c r="F504" t="b">
        <v>1</v>
      </c>
      <c r="G504" t="n">
        <v/>
      </c>
      <c r="H504" t="inlineStr">
        <is>
          <t>CHN</t>
        </is>
      </c>
      <c r="I504" t="inlineStr">
        <is>
          <t>Chalice Mining Ltd</t>
        </is>
      </c>
      <c r="J504" t="inlineStr">
        <is>
          <t>AUD</t>
        </is>
      </c>
      <c r="K504" s="5" t="inlineStr">
        <is>
          <t>01a152b9-6ee2-7577-bddd-382bc3853fde</t>
        </is>
      </c>
      <c r="M504" t="inlineStr">
        <is>
          <t>UNKNOWN</t>
        </is>
      </c>
      <c r="N504" t="inlineStr">
        <is>
          <t>DEFAULT</t>
        </is>
      </c>
      <c r="Q504" t="n">
        <v>0</v>
      </c>
      <c r="R504" t="inlineStr">
        <is>
          <t>AUD</t>
        </is>
      </c>
      <c r="S504" t="n">
        <v>0</v>
      </c>
      <c r="T504" t="inlineStr">
        <is>
          <t>AUD</t>
        </is>
      </c>
      <c r="U504" t="n">
        <v>0</v>
      </c>
    </row>
    <row r="505">
      <c r="A505" s="5" t="inlineStr">
        <is>
          <t>01a152b9-78a0-7707-bddc-e80d27f0d907</t>
        </is>
      </c>
      <c r="C505" s="5" t="inlineStr">
        <is>
          <t>01a152b9-6e67-75da-8adb-b03e5d07fd21</t>
        </is>
      </c>
      <c r="D505" s="4" t="n">
        <v>46314.24593963964</v>
      </c>
      <c r="E505" s="4" t="n">
        <v>46314.24593963975</v>
      </c>
      <c r="F505" t="b">
        <v>1</v>
      </c>
      <c r="G505" t="n">
        <v/>
      </c>
      <c r="H505" t="inlineStr">
        <is>
          <t>MHHT</t>
        </is>
      </c>
      <c r="I505" t="inlineStr">
        <is>
          <t>Magellan High Conviction Trust - Active ETF</t>
        </is>
      </c>
      <c r="J505" t="inlineStr">
        <is>
          <t>AUD</t>
        </is>
      </c>
      <c r="K505" s="5" t="inlineStr">
        <is>
          <t>01a152b9-6ee2-7577-bddd-382bc3853fde</t>
        </is>
      </c>
      <c r="M505" t="inlineStr">
        <is>
          <t>UNKNOWN</t>
        </is>
      </c>
      <c r="N505" t="inlineStr">
        <is>
          <t>DEFAULT</t>
        </is>
      </c>
      <c r="Q505" t="n">
        <v>0</v>
      </c>
      <c r="R505" t="inlineStr">
        <is>
          <t>AUD</t>
        </is>
      </c>
      <c r="S505" t="n">
        <v>0</v>
      </c>
      <c r="T505" t="inlineStr">
        <is>
          <t>AUD</t>
        </is>
      </c>
      <c r="U505" t="n">
        <v>0</v>
      </c>
    </row>
    <row r="506">
      <c r="A506" s="5" t="inlineStr">
        <is>
          <t>01a152b9-78a5-739a-a4c4-ca23a1248758</t>
        </is>
      </c>
      <c r="C506" s="5" t="inlineStr">
        <is>
          <t>01a152b9-6e67-75da-8adb-b03e5d07fd21</t>
        </is>
      </c>
      <c r="D506" s="4" t="n">
        <v>46314.2459396901</v>
      </c>
      <c r="E506" s="4" t="n">
        <v>46314.2459396902</v>
      </c>
      <c r="F506" t="b">
        <v>1</v>
      </c>
      <c r="G506" t="n">
        <v/>
      </c>
      <c r="H506" t="inlineStr">
        <is>
          <t>VG1</t>
        </is>
      </c>
      <c r="I506" t="inlineStr">
        <is>
          <t>Vgi Partners Global Investments Ltd</t>
        </is>
      </c>
      <c r="J506" t="inlineStr">
        <is>
          <t>AUD</t>
        </is>
      </c>
      <c r="K506" s="5" t="inlineStr">
        <is>
          <t>01a152b9-6ee2-7577-bddd-382bc3853fde</t>
        </is>
      </c>
      <c r="M506" t="inlineStr">
        <is>
          <t>UNKNOWN</t>
        </is>
      </c>
      <c r="N506" t="inlineStr">
        <is>
          <t>DEFAULT</t>
        </is>
      </c>
      <c r="Q506" t="n">
        <v>0</v>
      </c>
      <c r="R506" t="inlineStr">
        <is>
          <t>AUD</t>
        </is>
      </c>
      <c r="S506" t="n">
        <v>0</v>
      </c>
      <c r="T506" t="inlineStr">
        <is>
          <t>AUD</t>
        </is>
      </c>
      <c r="U506" t="n">
        <v>0</v>
      </c>
    </row>
    <row r="507">
      <c r="A507" s="5" t="inlineStr">
        <is>
          <t>01a152b9-78a9-77db-b609-e2ea484db1f1</t>
        </is>
      </c>
      <c r="C507" s="5" t="inlineStr">
        <is>
          <t>01a152b9-6e67-75da-8adb-b03e5d07fd21</t>
        </is>
      </c>
      <c r="D507" s="4" t="n">
        <v>46314.24593973879</v>
      </c>
      <c r="E507" s="4" t="n">
        <v>46314.24593973893</v>
      </c>
      <c r="F507" t="b">
        <v>1</v>
      </c>
      <c r="G507" t="n">
        <v/>
      </c>
      <c r="H507" t="inlineStr">
        <is>
          <t>MVF</t>
        </is>
      </c>
      <c r="I507" t="inlineStr">
        <is>
          <t>Monash Ivf Group Ltd</t>
        </is>
      </c>
      <c r="J507" t="inlineStr">
        <is>
          <t>AUD</t>
        </is>
      </c>
      <c r="K507" s="5" t="inlineStr">
        <is>
          <t>01a152b9-6ee2-7577-bddd-382bc3853fde</t>
        </is>
      </c>
      <c r="M507" t="inlineStr">
        <is>
          <t>UNKNOWN</t>
        </is>
      </c>
      <c r="N507" t="inlineStr">
        <is>
          <t>DEFAULT</t>
        </is>
      </c>
      <c r="Q507" t="n">
        <v>0</v>
      </c>
      <c r="R507" t="inlineStr">
        <is>
          <t>AUD</t>
        </is>
      </c>
      <c r="S507" t="n">
        <v>0</v>
      </c>
      <c r="T507" t="inlineStr">
        <is>
          <t>AUD</t>
        </is>
      </c>
      <c r="U507" t="n">
        <v>0</v>
      </c>
    </row>
    <row r="508">
      <c r="A508" s="5" t="inlineStr">
        <is>
          <t>01a152b9-78ad-76ff-ac9f-684199265890</t>
        </is>
      </c>
      <c r="C508" s="5" t="inlineStr">
        <is>
          <t>01a152b9-6e67-75da-8adb-b03e5d07fd21</t>
        </is>
      </c>
      <c r="D508" s="4" t="n">
        <v>46314.24593979074</v>
      </c>
      <c r="E508" s="4" t="n">
        <v>46314.24593979087</v>
      </c>
      <c r="F508" t="b">
        <v>1</v>
      </c>
      <c r="G508" t="n">
        <v/>
      </c>
      <c r="H508" t="inlineStr">
        <is>
          <t>SX2</t>
        </is>
      </c>
      <c r="I508" t="inlineStr">
        <is>
          <t>Southern Cross Gold Consolidated Ltd</t>
        </is>
      </c>
      <c r="J508" t="inlineStr">
        <is>
          <t>AUD</t>
        </is>
      </c>
      <c r="K508" s="5" t="inlineStr">
        <is>
          <t>01a152b9-6ee2-7577-bddd-382bc3853fde</t>
        </is>
      </c>
      <c r="M508" t="inlineStr">
        <is>
          <t>UNKNOWN</t>
        </is>
      </c>
      <c r="N508" t="inlineStr">
        <is>
          <t>DEFAULT</t>
        </is>
      </c>
      <c r="Q508" t="n">
        <v>0</v>
      </c>
      <c r="R508" t="inlineStr">
        <is>
          <t>AUD</t>
        </is>
      </c>
      <c r="S508" t="n">
        <v>0</v>
      </c>
      <c r="T508" t="inlineStr">
        <is>
          <t>AUD</t>
        </is>
      </c>
      <c r="U508" t="n">
        <v>0</v>
      </c>
    </row>
    <row r="509">
      <c r="A509" s="5" t="inlineStr">
        <is>
          <t>01a152b9-78b1-76b3-a855-5b9a5c976102</t>
        </is>
      </c>
      <c r="C509" s="5" t="inlineStr">
        <is>
          <t>01a152b9-6e67-75da-8adb-b03e5d07fd21</t>
        </is>
      </c>
      <c r="D509" s="4" t="n">
        <v>46314.24593983303</v>
      </c>
      <c r="E509" s="4" t="n">
        <v>46314.24593983318</v>
      </c>
      <c r="F509" t="b">
        <v>1</v>
      </c>
      <c r="G509" t="n">
        <v/>
      </c>
      <c r="H509" t="inlineStr">
        <is>
          <t>PIC</t>
        </is>
      </c>
      <c r="I509" t="inlineStr">
        <is>
          <t>Perpetual Equity Investment Company Ltd</t>
        </is>
      </c>
      <c r="J509" t="inlineStr">
        <is>
          <t>AUD</t>
        </is>
      </c>
      <c r="K509" s="5" t="inlineStr">
        <is>
          <t>01a152b9-6ee2-7577-bddd-382bc3853fde</t>
        </is>
      </c>
      <c r="M509" t="inlineStr">
        <is>
          <t>COMPANY</t>
        </is>
      </c>
      <c r="N509" t="inlineStr">
        <is>
          <t>SUGGESTED</t>
        </is>
      </c>
      <c r="Q509" t="n">
        <v>0</v>
      </c>
      <c r="R509" t="inlineStr">
        <is>
          <t>AUD</t>
        </is>
      </c>
      <c r="S509" t="n">
        <v>0</v>
      </c>
      <c r="T509" t="inlineStr">
        <is>
          <t>AUD</t>
        </is>
      </c>
      <c r="U509" t="n">
        <v>0</v>
      </c>
    </row>
    <row r="510">
      <c r="A510" s="5" t="inlineStr">
        <is>
          <t>01a152b9-78b5-77a2-8da0-32a212df39c2</t>
        </is>
      </c>
      <c r="C510" s="5" t="inlineStr">
        <is>
          <t>01a152b9-6e67-75da-8adb-b03e5d07fd21</t>
        </is>
      </c>
      <c r="D510" s="4" t="n">
        <v>46314.24593987956</v>
      </c>
      <c r="E510" s="4" t="n">
        <v>46314.24593987968</v>
      </c>
      <c r="F510" t="b">
        <v>1</v>
      </c>
      <c r="G510" t="n">
        <v/>
      </c>
      <c r="H510" t="inlineStr">
        <is>
          <t>GNG</t>
        </is>
      </c>
      <c r="I510" t="inlineStr">
        <is>
          <t>GR Engineering Services Ltd</t>
        </is>
      </c>
      <c r="J510" t="inlineStr">
        <is>
          <t>AUD</t>
        </is>
      </c>
      <c r="K510" s="5" t="inlineStr">
        <is>
          <t>01a152b9-6ee2-7577-bddd-382bc3853fde</t>
        </is>
      </c>
      <c r="M510" t="inlineStr">
        <is>
          <t>UNKNOWN</t>
        </is>
      </c>
      <c r="N510" t="inlineStr">
        <is>
          <t>DEFAULT</t>
        </is>
      </c>
      <c r="Q510" t="n">
        <v>0</v>
      </c>
      <c r="R510" t="inlineStr">
        <is>
          <t>AUD</t>
        </is>
      </c>
      <c r="S510" t="n">
        <v>0</v>
      </c>
      <c r="T510" t="inlineStr">
        <is>
          <t>AUD</t>
        </is>
      </c>
      <c r="U510" t="n">
        <v>0</v>
      </c>
    </row>
    <row r="511">
      <c r="A511" s="5" t="inlineStr">
        <is>
          <t>01a152b9-78b9-7665-b996-f21f6e18d72f</t>
        </is>
      </c>
      <c r="C511" s="5" t="inlineStr">
        <is>
          <t>01a152b9-6e67-75da-8adb-b03e5d07fd21</t>
        </is>
      </c>
      <c r="D511" s="4" t="n">
        <v>46314.24593992271</v>
      </c>
      <c r="E511" s="4" t="n">
        <v>46314.24593992284</v>
      </c>
      <c r="F511" t="b">
        <v>1</v>
      </c>
      <c r="G511" t="n">
        <v/>
      </c>
      <c r="H511" t="inlineStr">
        <is>
          <t>RBD</t>
        </is>
      </c>
      <c r="I511" t="inlineStr">
        <is>
          <t>Restaurant Brands New Zealand Ltd</t>
        </is>
      </c>
      <c r="J511" t="inlineStr">
        <is>
          <t>AUD</t>
        </is>
      </c>
      <c r="K511" s="5" t="inlineStr">
        <is>
          <t>01a152b9-6ee2-7577-bddd-382bc3853fde</t>
        </is>
      </c>
      <c r="M511" t="inlineStr">
        <is>
          <t>UNKNOWN</t>
        </is>
      </c>
      <c r="N511" t="inlineStr">
        <is>
          <t>DEFAULT</t>
        </is>
      </c>
      <c r="Q511" t="n">
        <v>0</v>
      </c>
      <c r="R511" t="inlineStr">
        <is>
          <t>AUD</t>
        </is>
      </c>
      <c r="S511" t="n">
        <v>0</v>
      </c>
      <c r="T511" t="inlineStr">
        <is>
          <t>AUD</t>
        </is>
      </c>
      <c r="U511" t="n">
        <v>0</v>
      </c>
    </row>
    <row r="512">
      <c r="A512" s="5" t="inlineStr">
        <is>
          <t>01a152b9-78bd-71a6-8859-e6585a50ce98</t>
        </is>
      </c>
      <c r="C512" s="5" t="inlineStr">
        <is>
          <t>01a152b9-6e67-75da-8adb-b03e5d07fd21</t>
        </is>
      </c>
      <c r="D512" s="4" t="n">
        <v>46314.24593996687</v>
      </c>
      <c r="E512" s="4" t="n">
        <v>46314.24593996698</v>
      </c>
      <c r="F512" t="b">
        <v>1</v>
      </c>
      <c r="G512" t="n">
        <v/>
      </c>
      <c r="H512" t="inlineStr">
        <is>
          <t>EHL</t>
        </is>
      </c>
      <c r="I512" t="inlineStr">
        <is>
          <t>Emeco Holdings Ltd</t>
        </is>
      </c>
      <c r="J512" t="inlineStr">
        <is>
          <t>AUD</t>
        </is>
      </c>
      <c r="K512" s="5" t="inlineStr">
        <is>
          <t>01a152b9-6ee2-7577-bddd-382bc3853fde</t>
        </is>
      </c>
      <c r="M512" t="inlineStr">
        <is>
          <t>UNKNOWN</t>
        </is>
      </c>
      <c r="N512" t="inlineStr">
        <is>
          <t>DEFAULT</t>
        </is>
      </c>
      <c r="Q512" t="n">
        <v>0</v>
      </c>
      <c r="R512" t="inlineStr">
        <is>
          <t>AUD</t>
        </is>
      </c>
      <c r="S512" t="n">
        <v>0</v>
      </c>
      <c r="T512" t="inlineStr">
        <is>
          <t>AUD</t>
        </is>
      </c>
      <c r="U512" t="n">
        <v>0</v>
      </c>
    </row>
    <row r="513">
      <c r="A513" s="5" t="inlineStr">
        <is>
          <t>01a152b9-78c0-7225-8e79-62e0c6b3b277</t>
        </is>
      </c>
      <c r="C513" s="5" t="inlineStr">
        <is>
          <t>01a152b9-6e67-75da-8adb-b03e5d07fd21</t>
        </is>
      </c>
      <c r="D513" s="4" t="n">
        <v>46314.24594001015</v>
      </c>
      <c r="E513" s="4" t="n">
        <v>46314.24594001029</v>
      </c>
      <c r="F513" t="b">
        <v>1</v>
      </c>
      <c r="G513" t="n">
        <v/>
      </c>
      <c r="H513" t="inlineStr">
        <is>
          <t>SVM</t>
        </is>
      </c>
      <c r="I513" t="inlineStr">
        <is>
          <t>Sovereign Metals Ltd</t>
        </is>
      </c>
      <c r="J513" t="inlineStr">
        <is>
          <t>AUD</t>
        </is>
      </c>
      <c r="K513" s="5" t="inlineStr">
        <is>
          <t>01a152b9-6ee2-7577-bddd-382bc3853fde</t>
        </is>
      </c>
      <c r="M513" t="inlineStr">
        <is>
          <t>UNKNOWN</t>
        </is>
      </c>
      <c r="N513" t="inlineStr">
        <is>
          <t>DEFAULT</t>
        </is>
      </c>
      <c r="Q513" t="n">
        <v>0</v>
      </c>
      <c r="R513" t="inlineStr">
        <is>
          <t>AUD</t>
        </is>
      </c>
      <c r="S513" t="n">
        <v>0</v>
      </c>
      <c r="T513" t="inlineStr">
        <is>
          <t>AUD</t>
        </is>
      </c>
      <c r="U513" t="n">
        <v>0</v>
      </c>
    </row>
    <row r="514">
      <c r="A514" s="5" t="inlineStr">
        <is>
          <t>01a152b9-78c4-72d3-85c9-45aa42ca869b</t>
        </is>
      </c>
      <c r="C514" s="5" t="inlineStr">
        <is>
          <t>01a152b9-6e67-75da-8adb-b03e5d07fd21</t>
        </is>
      </c>
      <c r="D514" s="4" t="n">
        <v>46314.24594005458</v>
      </c>
      <c r="E514" s="4" t="n">
        <v>46314.24594005469</v>
      </c>
      <c r="F514" t="b">
        <v>1</v>
      </c>
      <c r="G514" t="n">
        <v/>
      </c>
      <c r="H514" t="inlineStr">
        <is>
          <t>AQZ</t>
        </is>
      </c>
      <c r="I514" t="inlineStr">
        <is>
          <t>Alliance Aviation Services Ltd</t>
        </is>
      </c>
      <c r="J514" t="inlineStr">
        <is>
          <t>AUD</t>
        </is>
      </c>
      <c r="K514" s="5" t="inlineStr">
        <is>
          <t>01a152b9-6ee2-7577-bddd-382bc3853fde</t>
        </is>
      </c>
      <c r="M514" t="inlineStr">
        <is>
          <t>UNKNOWN</t>
        </is>
      </c>
      <c r="N514" t="inlineStr">
        <is>
          <t>DEFAULT</t>
        </is>
      </c>
      <c r="Q514" t="n">
        <v>0</v>
      </c>
      <c r="R514" t="inlineStr">
        <is>
          <t>AUD</t>
        </is>
      </c>
      <c r="S514" t="n">
        <v>0</v>
      </c>
      <c r="T514" t="inlineStr">
        <is>
          <t>AUD</t>
        </is>
      </c>
      <c r="U514" t="n">
        <v>0</v>
      </c>
    </row>
    <row r="515">
      <c r="A515" s="5" t="inlineStr">
        <is>
          <t>01a152b9-78c8-770a-85df-aace4e8dd5ca</t>
        </is>
      </c>
      <c r="C515" s="5" t="inlineStr">
        <is>
          <t>01a152b9-6e67-75da-8adb-b03e5d07fd21</t>
        </is>
      </c>
      <c r="D515" s="4" t="n">
        <v>46314.24594010016</v>
      </c>
      <c r="E515" s="4" t="n">
        <v>46314.24594010026</v>
      </c>
      <c r="F515" t="b">
        <v>1</v>
      </c>
      <c r="G515" t="n">
        <v/>
      </c>
      <c r="H515" t="inlineStr">
        <is>
          <t>SYI</t>
        </is>
      </c>
      <c r="I515" t="inlineStr">
        <is>
          <t>SPDR MSCI Australia Select High Dividend Yield Fund</t>
        </is>
      </c>
      <c r="J515" t="inlineStr">
        <is>
          <t>AUD</t>
        </is>
      </c>
      <c r="K515" s="5" t="inlineStr">
        <is>
          <t>01a152b9-6ee2-7577-bddd-382bc3853fde</t>
        </is>
      </c>
      <c r="M515" t="inlineStr">
        <is>
          <t>UNKNOWN</t>
        </is>
      </c>
      <c r="N515" t="inlineStr">
        <is>
          <t>DEFAULT</t>
        </is>
      </c>
      <c r="Q515" t="n">
        <v>0</v>
      </c>
      <c r="R515" t="inlineStr">
        <is>
          <t>AUD</t>
        </is>
      </c>
      <c r="S515" t="n">
        <v>0</v>
      </c>
      <c r="T515" t="inlineStr">
        <is>
          <t>AUD</t>
        </is>
      </c>
      <c r="U515" t="n">
        <v>0</v>
      </c>
    </row>
    <row r="516">
      <c r="A516" s="5" t="inlineStr">
        <is>
          <t>01a152b9-78cb-778d-8d68-d92410568953</t>
        </is>
      </c>
      <c r="C516" s="5" t="inlineStr">
        <is>
          <t>01a152b9-6e67-75da-8adb-b03e5d07fd21</t>
        </is>
      </c>
      <c r="D516" s="4" t="n">
        <v>46314.24594013765</v>
      </c>
      <c r="E516" s="4" t="n">
        <v>46314.24594013776</v>
      </c>
      <c r="F516" t="b">
        <v>1</v>
      </c>
      <c r="G516" t="n">
        <v/>
      </c>
      <c r="H516" t="inlineStr">
        <is>
          <t>LYL</t>
        </is>
      </c>
      <c r="I516" t="inlineStr">
        <is>
          <t>Lycopodium Ltd</t>
        </is>
      </c>
      <c r="J516" t="inlineStr">
        <is>
          <t>AUD</t>
        </is>
      </c>
      <c r="K516" s="5" t="inlineStr">
        <is>
          <t>01a152b9-6ee2-7577-bddd-382bc3853fde</t>
        </is>
      </c>
      <c r="M516" t="inlineStr">
        <is>
          <t>UNKNOWN</t>
        </is>
      </c>
      <c r="N516" t="inlineStr">
        <is>
          <t>DEFAULT</t>
        </is>
      </c>
      <c r="Q516" t="n">
        <v>0</v>
      </c>
      <c r="R516" t="inlineStr">
        <is>
          <t>AUD</t>
        </is>
      </c>
      <c r="S516" t="n">
        <v>0</v>
      </c>
      <c r="T516" t="inlineStr">
        <is>
          <t>AUD</t>
        </is>
      </c>
      <c r="U516" t="n">
        <v>0</v>
      </c>
    </row>
    <row r="517">
      <c r="A517" s="5" t="inlineStr">
        <is>
          <t>01a152b9-78cf-7577-af68-84698284fc82</t>
        </is>
      </c>
      <c r="C517" s="5" t="inlineStr">
        <is>
          <t>01a152b9-6e67-75da-8adb-b03e5d07fd21</t>
        </is>
      </c>
      <c r="D517" s="4" t="n">
        <v>46314.24594017838</v>
      </c>
      <c r="E517" s="4" t="n">
        <v>46314.24594017847</v>
      </c>
      <c r="F517" t="b">
        <v>1</v>
      </c>
      <c r="G517" t="n">
        <v/>
      </c>
      <c r="H517" t="inlineStr">
        <is>
          <t>WXOZ</t>
        </is>
      </c>
      <c r="I517" t="inlineStr">
        <is>
          <t>SPDR S&amp;P World Ex Australia Carbon Control Fund</t>
        </is>
      </c>
      <c r="J517" t="inlineStr">
        <is>
          <t>AUD</t>
        </is>
      </c>
      <c r="K517" s="5" t="inlineStr">
        <is>
          <t>01a152b9-6ee2-7577-bddd-382bc3853fde</t>
        </is>
      </c>
      <c r="M517" t="inlineStr">
        <is>
          <t>UNKNOWN</t>
        </is>
      </c>
      <c r="N517" t="inlineStr">
        <is>
          <t>DEFAULT</t>
        </is>
      </c>
      <c r="Q517" t="n">
        <v>0</v>
      </c>
      <c r="R517" t="inlineStr">
        <is>
          <t>AUD</t>
        </is>
      </c>
      <c r="S517" t="n">
        <v>0</v>
      </c>
      <c r="T517" t="inlineStr">
        <is>
          <t>AUD</t>
        </is>
      </c>
      <c r="U517" t="n">
        <v>0</v>
      </c>
    </row>
    <row r="518">
      <c r="A518" s="5" t="inlineStr">
        <is>
          <t>01a152b9-78d2-70a5-861e-2c31312307fb</t>
        </is>
      </c>
      <c r="C518" s="5" t="inlineStr">
        <is>
          <t>01a152b9-6e67-75da-8adb-b03e5d07fd21</t>
        </is>
      </c>
      <c r="D518" s="4" t="n">
        <v>46314.24594021856</v>
      </c>
      <c r="E518" s="4" t="n">
        <v>46314.24594021867</v>
      </c>
      <c r="F518" t="b">
        <v>1</v>
      </c>
      <c r="G518" t="n">
        <v/>
      </c>
      <c r="H518" t="inlineStr">
        <is>
          <t>ADH</t>
        </is>
      </c>
      <c r="I518" t="inlineStr">
        <is>
          <t>Adairs Ltd</t>
        </is>
      </c>
      <c r="J518" t="inlineStr">
        <is>
          <t>AUD</t>
        </is>
      </c>
      <c r="K518" s="5" t="inlineStr">
        <is>
          <t>01a152b9-6ee2-7577-bddd-382bc3853fde</t>
        </is>
      </c>
      <c r="M518" t="inlineStr">
        <is>
          <t>UNKNOWN</t>
        </is>
      </c>
      <c r="N518" t="inlineStr">
        <is>
          <t>DEFAULT</t>
        </is>
      </c>
      <c r="Q518" t="n">
        <v>0</v>
      </c>
      <c r="R518" t="inlineStr">
        <is>
          <t>AUD</t>
        </is>
      </c>
      <c r="S518" t="n">
        <v>0</v>
      </c>
      <c r="T518" t="inlineStr">
        <is>
          <t>AUD</t>
        </is>
      </c>
      <c r="U518" t="n">
        <v>0</v>
      </c>
    </row>
    <row r="519">
      <c r="A519" s="5" t="inlineStr">
        <is>
          <t>01a152b9-78d6-7259-80f8-8c401d446c92</t>
        </is>
      </c>
      <c r="C519" s="5" t="inlineStr">
        <is>
          <t>01a152b9-6e67-75da-8adb-b03e5d07fd21</t>
        </is>
      </c>
      <c r="D519" s="4" t="n">
        <v>46314.24594026033</v>
      </c>
      <c r="E519" s="4" t="n">
        <v>46314.24594026044</v>
      </c>
      <c r="F519" t="b">
        <v>1</v>
      </c>
      <c r="G519" t="n">
        <v/>
      </c>
      <c r="H519" t="inlineStr">
        <is>
          <t>BFG</t>
        </is>
      </c>
      <c r="I519" t="inlineStr">
        <is>
          <t>Bell Financial Group Ltd</t>
        </is>
      </c>
      <c r="J519" t="inlineStr">
        <is>
          <t>AUD</t>
        </is>
      </c>
      <c r="K519" s="5" t="inlineStr">
        <is>
          <t>01a152b9-6ee2-7577-bddd-382bc3853fde</t>
        </is>
      </c>
      <c r="M519" t="inlineStr">
        <is>
          <t>UNKNOWN</t>
        </is>
      </c>
      <c r="N519" t="inlineStr">
        <is>
          <t>DEFAULT</t>
        </is>
      </c>
      <c r="Q519" t="n">
        <v>0</v>
      </c>
      <c r="R519" t="inlineStr">
        <is>
          <t>AUD</t>
        </is>
      </c>
      <c r="S519" t="n">
        <v>0</v>
      </c>
      <c r="T519" t="inlineStr">
        <is>
          <t>AUD</t>
        </is>
      </c>
      <c r="U519" t="n">
        <v>0</v>
      </c>
    </row>
    <row r="520">
      <c r="A520" s="5" t="inlineStr">
        <is>
          <t>01a152b9-78da-76e7-b713-169c41647f2d</t>
        </is>
      </c>
      <c r="C520" s="5" t="inlineStr">
        <is>
          <t>01a152b9-6e67-75da-8adb-b03e5d07fd21</t>
        </is>
      </c>
      <c r="D520" s="4" t="n">
        <v>46314.24594030275</v>
      </c>
      <c r="E520" s="4" t="n">
        <v>46314.24594030283</v>
      </c>
      <c r="F520" t="b">
        <v>1</v>
      </c>
      <c r="G520" t="n">
        <v/>
      </c>
      <c r="H520" t="inlineStr">
        <is>
          <t>CWP</t>
        </is>
      </c>
      <c r="I520" t="inlineStr">
        <is>
          <t>Cedar Woods Properties Ltd</t>
        </is>
      </c>
      <c r="J520" t="inlineStr">
        <is>
          <t>AUD</t>
        </is>
      </c>
      <c r="K520" s="5" t="inlineStr">
        <is>
          <t>01a152b9-6ee2-7577-bddd-382bc3853fde</t>
        </is>
      </c>
      <c r="M520" t="inlineStr">
        <is>
          <t>UNKNOWN</t>
        </is>
      </c>
      <c r="N520" t="inlineStr">
        <is>
          <t>DEFAULT</t>
        </is>
      </c>
      <c r="Q520" t="n">
        <v>0</v>
      </c>
      <c r="R520" t="inlineStr">
        <is>
          <t>AUD</t>
        </is>
      </c>
      <c r="S520" t="n">
        <v>0</v>
      </c>
      <c r="T520" t="inlineStr">
        <is>
          <t>AUD</t>
        </is>
      </c>
      <c r="U520" t="n">
        <v>0</v>
      </c>
    </row>
    <row r="521">
      <c r="A521" s="5" t="inlineStr">
        <is>
          <t>01a152b9-78dd-7253-9d7b-292cbc65bc25</t>
        </is>
      </c>
      <c r="C521" s="5" t="inlineStr">
        <is>
          <t>01a152b9-6e67-75da-8adb-b03e5d07fd21</t>
        </is>
      </c>
      <c r="D521" s="4" t="n">
        <v>46314.24594034452</v>
      </c>
      <c r="E521" s="4" t="n">
        <v>46314.24594034462</v>
      </c>
      <c r="F521" t="b">
        <v>1</v>
      </c>
      <c r="G521" t="n">
        <v/>
      </c>
      <c r="H521" t="inlineStr">
        <is>
          <t>DJRE</t>
        </is>
      </c>
      <c r="I521" t="inlineStr">
        <is>
          <t>SPDR Dow Jones Global Real Estate Esg Fund</t>
        </is>
      </c>
      <c r="J521" t="inlineStr">
        <is>
          <t>AUD</t>
        </is>
      </c>
      <c r="K521" s="5" t="inlineStr">
        <is>
          <t>01a152b9-6ee2-7577-bddd-382bc3853fde</t>
        </is>
      </c>
      <c r="M521" t="inlineStr">
        <is>
          <t>UNKNOWN</t>
        </is>
      </c>
      <c r="N521" t="inlineStr">
        <is>
          <t>DEFAULT</t>
        </is>
      </c>
      <c r="Q521" t="n">
        <v>0</v>
      </c>
      <c r="R521" t="inlineStr">
        <is>
          <t>AUD</t>
        </is>
      </c>
      <c r="S521" t="n">
        <v>0</v>
      </c>
      <c r="T521" t="inlineStr">
        <is>
          <t>AUD</t>
        </is>
      </c>
      <c r="U521" t="n">
        <v>0</v>
      </c>
    </row>
    <row r="522">
      <c r="A522" s="5" t="inlineStr">
        <is>
          <t>01a152b9-78e1-7699-83b0-4f3c8006dd35</t>
        </is>
      </c>
      <c r="C522" s="5" t="inlineStr">
        <is>
          <t>01a152b9-6e67-75da-8adb-b03e5d07fd21</t>
        </is>
      </c>
      <c r="D522" s="4" t="n">
        <v>46314.24594038988</v>
      </c>
      <c r="E522" s="4" t="n">
        <v>46314.24594038998</v>
      </c>
      <c r="F522" t="b">
        <v>1</v>
      </c>
      <c r="G522" t="n">
        <v/>
      </c>
      <c r="H522" t="inlineStr">
        <is>
          <t>SST</t>
        </is>
      </c>
      <c r="I522" t="inlineStr">
        <is>
          <t>Steamships Trading Company Ltd</t>
        </is>
      </c>
      <c r="J522" t="inlineStr">
        <is>
          <t>AUD</t>
        </is>
      </c>
      <c r="K522" s="5" t="inlineStr">
        <is>
          <t>01a152b9-6ee2-7577-bddd-382bc3853fde</t>
        </is>
      </c>
      <c r="M522" t="inlineStr">
        <is>
          <t>UNKNOWN</t>
        </is>
      </c>
      <c r="N522" t="inlineStr">
        <is>
          <t>DEFAULT</t>
        </is>
      </c>
      <c r="Q522" t="n">
        <v>0</v>
      </c>
      <c r="R522" t="inlineStr">
        <is>
          <t>AUD</t>
        </is>
      </c>
      <c r="S522" t="n">
        <v>0</v>
      </c>
      <c r="T522" t="inlineStr">
        <is>
          <t>AUD</t>
        </is>
      </c>
      <c r="U522" t="n">
        <v>0</v>
      </c>
    </row>
    <row r="523">
      <c r="A523" s="5" t="inlineStr">
        <is>
          <t>01a152b9-78e4-711d-b174-eafa25b3706b</t>
        </is>
      </c>
      <c r="C523" s="5" t="inlineStr">
        <is>
          <t>01a152b9-6e67-75da-8adb-b03e5d07fd21</t>
        </is>
      </c>
      <c r="D523" s="4" t="n">
        <v>46314.24594042922</v>
      </c>
      <c r="E523" s="4" t="n">
        <v>46314.24594042932</v>
      </c>
      <c r="F523" t="b">
        <v>1</v>
      </c>
      <c r="G523" t="n">
        <v/>
      </c>
      <c r="H523" t="inlineStr">
        <is>
          <t>WMI</t>
        </is>
      </c>
      <c r="I523" t="inlineStr">
        <is>
          <t>Wam Microcap Ltd</t>
        </is>
      </c>
      <c r="J523" t="inlineStr">
        <is>
          <t>AUD</t>
        </is>
      </c>
      <c r="K523" s="5" t="inlineStr">
        <is>
          <t>01a152b9-6ee2-7577-bddd-382bc3853fde</t>
        </is>
      </c>
      <c r="M523" t="inlineStr">
        <is>
          <t>COMPANY</t>
        </is>
      </c>
      <c r="N523" t="inlineStr">
        <is>
          <t>SUGGESTED</t>
        </is>
      </c>
      <c r="Q523" t="n">
        <v>0</v>
      </c>
      <c r="R523" t="inlineStr">
        <is>
          <t>AUD</t>
        </is>
      </c>
      <c r="S523" t="n">
        <v>0</v>
      </c>
      <c r="T523" t="inlineStr">
        <is>
          <t>AUD</t>
        </is>
      </c>
      <c r="U523" t="n">
        <v>0</v>
      </c>
    </row>
    <row r="524">
      <c r="A524" s="5" t="inlineStr">
        <is>
          <t>01a152b9-78e9-73c0-809d-c1fcaa88abf5</t>
        </is>
      </c>
      <c r="C524" s="5" t="inlineStr">
        <is>
          <t>01a152b9-6e67-75da-8adb-b03e5d07fd21</t>
        </is>
      </c>
      <c r="D524" s="4" t="n">
        <v>46314.24594047821</v>
      </c>
      <c r="E524" s="4" t="n">
        <v>46314.2459404783</v>
      </c>
      <c r="F524" t="b">
        <v>1</v>
      </c>
      <c r="G524" t="n">
        <v/>
      </c>
      <c r="H524" t="inlineStr">
        <is>
          <t>TRA</t>
        </is>
      </c>
      <c r="I524" t="inlineStr">
        <is>
          <t>Turners Automotive Group Ltd</t>
        </is>
      </c>
      <c r="J524" t="inlineStr">
        <is>
          <t>AUD</t>
        </is>
      </c>
      <c r="K524" s="5" t="inlineStr">
        <is>
          <t>01a152b9-6ee2-7577-bddd-382bc3853fde</t>
        </is>
      </c>
      <c r="M524" t="inlineStr">
        <is>
          <t>UNKNOWN</t>
        </is>
      </c>
      <c r="N524" t="inlineStr">
        <is>
          <t>DEFAULT</t>
        </is>
      </c>
      <c r="Q524" t="n">
        <v>0</v>
      </c>
      <c r="R524" t="inlineStr">
        <is>
          <t>AUD</t>
        </is>
      </c>
      <c r="S524" t="n">
        <v>0</v>
      </c>
      <c r="T524" t="inlineStr">
        <is>
          <t>AUD</t>
        </is>
      </c>
      <c r="U524" t="n">
        <v>0</v>
      </c>
    </row>
    <row r="525">
      <c r="A525" s="5" t="inlineStr">
        <is>
          <t>01a152b9-78ec-772e-bd80-caf9a8f3cf22</t>
        </is>
      </c>
      <c r="C525" s="5" t="inlineStr">
        <is>
          <t>01a152b9-6e67-75da-8adb-b03e5d07fd21</t>
        </is>
      </c>
      <c r="D525" s="4" t="n">
        <v>46314.24594052</v>
      </c>
      <c r="E525" s="4" t="n">
        <v>46314.24594052012</v>
      </c>
      <c r="F525" t="b">
        <v>1</v>
      </c>
      <c r="G525" t="n">
        <v/>
      </c>
      <c r="H525" t="inlineStr">
        <is>
          <t>TWR</t>
        </is>
      </c>
      <c r="I525" t="inlineStr">
        <is>
          <t>Tower Ltd</t>
        </is>
      </c>
      <c r="J525" t="inlineStr">
        <is>
          <t>AUD</t>
        </is>
      </c>
      <c r="K525" s="5" t="inlineStr">
        <is>
          <t>01a152b9-6ee2-7577-bddd-382bc3853fde</t>
        </is>
      </c>
      <c r="M525" t="inlineStr">
        <is>
          <t>UNKNOWN</t>
        </is>
      </c>
      <c r="N525" t="inlineStr">
        <is>
          <t>DEFAULT</t>
        </is>
      </c>
      <c r="Q525" t="n">
        <v>0</v>
      </c>
      <c r="R525" t="inlineStr">
        <is>
          <t>AUD</t>
        </is>
      </c>
      <c r="S525" t="n">
        <v>0</v>
      </c>
      <c r="T525" t="inlineStr">
        <is>
          <t>AUD</t>
        </is>
      </c>
      <c r="U525" t="n">
        <v>0</v>
      </c>
    </row>
    <row r="526">
      <c r="A526" s="5" t="inlineStr">
        <is>
          <t>01a152b9-78f0-7105-9b78-8fbdeae3728c</t>
        </is>
      </c>
      <c r="C526" s="5" t="inlineStr">
        <is>
          <t>01a152b9-6e67-75da-8adb-b03e5d07fd21</t>
        </is>
      </c>
      <c r="D526" s="4" t="n">
        <v>46314.24594056287</v>
      </c>
      <c r="E526" s="4" t="n">
        <v>46314.24594056298</v>
      </c>
      <c r="F526" t="b">
        <v>1</v>
      </c>
      <c r="G526" t="n">
        <v/>
      </c>
      <c r="H526" t="inlineStr">
        <is>
          <t>INR</t>
        </is>
      </c>
      <c r="I526" t="inlineStr">
        <is>
          <t>Ioneer Ltd</t>
        </is>
      </c>
      <c r="J526" t="inlineStr">
        <is>
          <t>AUD</t>
        </is>
      </c>
      <c r="K526" s="5" t="inlineStr">
        <is>
          <t>01a152b9-6ee2-7577-bddd-382bc3853fde</t>
        </is>
      </c>
      <c r="M526" t="inlineStr">
        <is>
          <t>UNKNOWN</t>
        </is>
      </c>
      <c r="N526" t="inlineStr">
        <is>
          <t>DEFAULT</t>
        </is>
      </c>
      <c r="Q526" t="n">
        <v>0</v>
      </c>
      <c r="R526" t="inlineStr">
        <is>
          <t>AUD</t>
        </is>
      </c>
      <c r="S526" t="n">
        <v>0</v>
      </c>
      <c r="T526" t="inlineStr">
        <is>
          <t>AUD</t>
        </is>
      </c>
      <c r="U526" t="n">
        <v>0</v>
      </c>
    </row>
    <row r="527">
      <c r="A527" s="5" t="inlineStr">
        <is>
          <t>01a152b9-78f4-7541-a269-026b85c7f135</t>
        </is>
      </c>
      <c r="C527" s="5" t="inlineStr">
        <is>
          <t>01a152b9-6e67-75da-8adb-b03e5d07fd21</t>
        </is>
      </c>
      <c r="D527" s="4" t="n">
        <v>46314.24594060444</v>
      </c>
      <c r="E527" s="4" t="n">
        <v>46314.24594060452</v>
      </c>
      <c r="F527" t="b">
        <v>1</v>
      </c>
      <c r="G527" t="n">
        <v/>
      </c>
      <c r="H527" t="inlineStr">
        <is>
          <t>VBLD</t>
        </is>
      </c>
      <c r="I527" t="inlineStr">
        <is>
          <t>Vanguard Global Infrastructure INDEX ETF</t>
        </is>
      </c>
      <c r="J527" t="inlineStr">
        <is>
          <t>AUD</t>
        </is>
      </c>
      <c r="K527" s="5" t="inlineStr">
        <is>
          <t>01a152b9-6ee2-7577-bddd-382bc3853fde</t>
        </is>
      </c>
      <c r="M527" t="inlineStr">
        <is>
          <t>UNKNOWN</t>
        </is>
      </c>
      <c r="N527" t="inlineStr">
        <is>
          <t>DEFAULT</t>
        </is>
      </c>
      <c r="Q527" t="n">
        <v>0</v>
      </c>
      <c r="R527" t="inlineStr">
        <is>
          <t>AUD</t>
        </is>
      </c>
      <c r="S527" t="n">
        <v>0</v>
      </c>
      <c r="T527" t="inlineStr">
        <is>
          <t>AUD</t>
        </is>
      </c>
      <c r="U527" t="n">
        <v>0</v>
      </c>
    </row>
    <row r="528">
      <c r="A528" s="5" t="inlineStr">
        <is>
          <t>01a152b9-78f7-738f-ada0-6cea28482b37</t>
        </is>
      </c>
      <c r="C528" s="5" t="inlineStr">
        <is>
          <t>01a152b9-6e67-75da-8adb-b03e5d07fd21</t>
        </is>
      </c>
      <c r="D528" s="4" t="n">
        <v>46314.24594064167</v>
      </c>
      <c r="E528" s="4" t="n">
        <v>46314.24594064176</v>
      </c>
      <c r="F528" t="b">
        <v>1</v>
      </c>
      <c r="G528" t="n">
        <v/>
      </c>
      <c r="H528" t="inlineStr">
        <is>
          <t>TYR</t>
        </is>
      </c>
      <c r="I528" t="inlineStr">
        <is>
          <t>Tyro Payments Ltd</t>
        </is>
      </c>
      <c r="J528" t="inlineStr">
        <is>
          <t>AUD</t>
        </is>
      </c>
      <c r="K528" s="5" t="inlineStr">
        <is>
          <t>01a152b9-6ee2-7577-bddd-382bc3853fde</t>
        </is>
      </c>
      <c r="M528" t="inlineStr">
        <is>
          <t>UNKNOWN</t>
        </is>
      </c>
      <c r="N528" t="inlineStr">
        <is>
          <t>DEFAULT</t>
        </is>
      </c>
      <c r="Q528" t="n">
        <v>0</v>
      </c>
      <c r="R528" t="inlineStr">
        <is>
          <t>AUD</t>
        </is>
      </c>
      <c r="S528" t="n">
        <v>0</v>
      </c>
      <c r="T528" t="inlineStr">
        <is>
          <t>AUD</t>
        </is>
      </c>
      <c r="U528" t="n">
        <v>0</v>
      </c>
    </row>
    <row r="529">
      <c r="A529" s="5" t="inlineStr">
        <is>
          <t>01a152b9-78fa-77da-9ee5-d93271d36881</t>
        </is>
      </c>
      <c r="C529" s="5" t="inlineStr">
        <is>
          <t>01a152b9-6e67-75da-8adb-b03e5d07fd21</t>
        </is>
      </c>
      <c r="D529" s="4" t="n">
        <v>46314.24594067654</v>
      </c>
      <c r="E529" s="4" t="n">
        <v>46314.24594067664</v>
      </c>
      <c r="F529" t="b">
        <v>1</v>
      </c>
      <c r="G529" t="n">
        <v/>
      </c>
      <c r="H529" t="inlineStr">
        <is>
          <t>BC8</t>
        </is>
      </c>
      <c r="I529" t="inlineStr">
        <is>
          <t>Black Cat Syndicate Ltd</t>
        </is>
      </c>
      <c r="J529" t="inlineStr">
        <is>
          <t>AUD</t>
        </is>
      </c>
      <c r="K529" s="5" t="inlineStr">
        <is>
          <t>01a152b9-6ee2-7577-bddd-382bc3853fde</t>
        </is>
      </c>
      <c r="M529" t="inlineStr">
        <is>
          <t>UNKNOWN</t>
        </is>
      </c>
      <c r="N529" t="inlineStr">
        <is>
          <t>DEFAULT</t>
        </is>
      </c>
      <c r="Q529" t="n">
        <v>0</v>
      </c>
      <c r="R529" t="inlineStr">
        <is>
          <t>AUD</t>
        </is>
      </c>
      <c r="S529" t="n">
        <v>0</v>
      </c>
      <c r="T529" t="inlineStr">
        <is>
          <t>AUD</t>
        </is>
      </c>
      <c r="U529" t="n">
        <v>0</v>
      </c>
    </row>
    <row r="530">
      <c r="A530" s="5" t="inlineStr">
        <is>
          <t>01a152b9-78fe-713e-b0b6-32c12c5fb73b</t>
        </is>
      </c>
      <c r="C530" s="5" t="inlineStr">
        <is>
          <t>01a152b9-6e67-75da-8adb-b03e5d07fd21</t>
        </is>
      </c>
      <c r="D530" s="4" t="n">
        <v>46314.24594072049</v>
      </c>
      <c r="E530" s="4" t="n">
        <v>46314.24594072061</v>
      </c>
      <c r="F530" t="b">
        <v>1</v>
      </c>
      <c r="G530" t="n">
        <v/>
      </c>
      <c r="H530" t="inlineStr">
        <is>
          <t>AFG</t>
        </is>
      </c>
      <c r="I530" t="inlineStr">
        <is>
          <t>Australian Finance Group Ltd</t>
        </is>
      </c>
      <c r="J530" t="inlineStr">
        <is>
          <t>AUD</t>
        </is>
      </c>
      <c r="K530" s="5" t="inlineStr">
        <is>
          <t>01a152b9-6ee2-7577-bddd-382bc3853fde</t>
        </is>
      </c>
      <c r="M530" t="inlineStr">
        <is>
          <t>UNKNOWN</t>
        </is>
      </c>
      <c r="N530" t="inlineStr">
        <is>
          <t>DEFAULT</t>
        </is>
      </c>
      <c r="Q530" t="n">
        <v>0</v>
      </c>
      <c r="R530" t="inlineStr">
        <is>
          <t>AUD</t>
        </is>
      </c>
      <c r="S530" t="n">
        <v>0</v>
      </c>
      <c r="T530" t="inlineStr">
        <is>
          <t>AUD</t>
        </is>
      </c>
      <c r="U530" t="n">
        <v>0</v>
      </c>
    </row>
    <row r="531">
      <c r="A531" s="5" t="inlineStr">
        <is>
          <t>01a152b9-7902-7688-a67e-49e910e55837</t>
        </is>
      </c>
      <c r="C531" s="5" t="inlineStr">
        <is>
          <t>01a152b9-6e67-75da-8adb-b03e5d07fd21</t>
        </is>
      </c>
      <c r="D531" s="4" t="n">
        <v>46314.24594077026</v>
      </c>
      <c r="E531" s="4" t="n">
        <v>46314.24594077036</v>
      </c>
      <c r="F531" t="b">
        <v>1</v>
      </c>
      <c r="G531" t="n">
        <v/>
      </c>
      <c r="H531" t="inlineStr">
        <is>
          <t>SUNPI</t>
        </is>
      </c>
      <c r="I531" t="inlineStr">
        <is>
          <t>Suncorp Group Ltd</t>
        </is>
      </c>
      <c r="J531" t="inlineStr">
        <is>
          <t>AUD</t>
        </is>
      </c>
      <c r="K531" s="5" t="inlineStr">
        <is>
          <t>01a152b9-6ee2-7577-bddd-382bc3853fde</t>
        </is>
      </c>
      <c r="M531" t="inlineStr">
        <is>
          <t>UNKNOWN</t>
        </is>
      </c>
      <c r="N531" t="inlineStr">
        <is>
          <t>DEFAULT</t>
        </is>
      </c>
      <c r="Q531" t="n">
        <v>0</v>
      </c>
      <c r="R531" t="inlineStr">
        <is>
          <t>AUD</t>
        </is>
      </c>
      <c r="S531" t="n">
        <v>0</v>
      </c>
      <c r="T531" t="inlineStr">
        <is>
          <t>AUD</t>
        </is>
      </c>
      <c r="U531" t="n">
        <v>0</v>
      </c>
    </row>
    <row r="532">
      <c r="A532" s="5" t="inlineStr">
        <is>
          <t>01a152b9-7905-7121-9c40-487b24cabfe3</t>
        </is>
      </c>
      <c r="C532" s="5" t="inlineStr">
        <is>
          <t>01a152b9-6e67-75da-8adb-b03e5d07fd21</t>
        </is>
      </c>
      <c r="D532" s="4" t="n">
        <v>46314.24594080851</v>
      </c>
      <c r="E532" s="4" t="n">
        <v>46314.24594080864</v>
      </c>
      <c r="F532" t="b">
        <v>1</v>
      </c>
      <c r="G532" t="n">
        <v/>
      </c>
      <c r="H532" t="inlineStr">
        <is>
          <t>SKO</t>
        </is>
      </c>
      <c r="I532" t="inlineStr">
        <is>
          <t>Serko Ltd</t>
        </is>
      </c>
      <c r="J532" t="inlineStr">
        <is>
          <t>AUD</t>
        </is>
      </c>
      <c r="K532" s="5" t="inlineStr">
        <is>
          <t>01a152b9-6ee2-7577-bddd-382bc3853fde</t>
        </is>
      </c>
      <c r="M532" t="inlineStr">
        <is>
          <t>UNKNOWN</t>
        </is>
      </c>
      <c r="N532" t="inlineStr">
        <is>
          <t>DEFAULT</t>
        </is>
      </c>
      <c r="Q532" t="n">
        <v>0</v>
      </c>
      <c r="R532" t="inlineStr">
        <is>
          <t>AUD</t>
        </is>
      </c>
      <c r="S532" t="n">
        <v>0</v>
      </c>
      <c r="T532" t="inlineStr">
        <is>
          <t>AUD</t>
        </is>
      </c>
      <c r="U532" t="n">
        <v>0</v>
      </c>
    </row>
    <row r="533">
      <c r="A533" s="5" t="inlineStr">
        <is>
          <t>01a152b9-7909-7766-8293-be307ec9bfb1</t>
        </is>
      </c>
      <c r="C533" s="5" t="inlineStr">
        <is>
          <t>01a152b9-6e67-75da-8adb-b03e5d07fd21</t>
        </is>
      </c>
      <c r="D533" s="4" t="n">
        <v>46314.24594085172</v>
      </c>
      <c r="E533" s="4" t="n">
        <v>46314.24594085186</v>
      </c>
      <c r="F533" t="b">
        <v>1</v>
      </c>
      <c r="G533" t="n">
        <v/>
      </c>
      <c r="H533" t="inlineStr">
        <is>
          <t>BOQPG</t>
        </is>
      </c>
      <c r="I533" t="inlineStr">
        <is>
          <t>Bank of Queensland Ltd</t>
        </is>
      </c>
      <c r="J533" t="inlineStr">
        <is>
          <t>AUD</t>
        </is>
      </c>
      <c r="K533" s="5" t="inlineStr">
        <is>
          <t>01a152b9-6ee2-7577-bddd-382bc3853fde</t>
        </is>
      </c>
      <c r="M533" t="inlineStr">
        <is>
          <t>UNKNOWN</t>
        </is>
      </c>
      <c r="N533" t="inlineStr">
        <is>
          <t>DEFAULT</t>
        </is>
      </c>
      <c r="Q533" t="n">
        <v>0</v>
      </c>
      <c r="R533" t="inlineStr">
        <is>
          <t>AUD</t>
        </is>
      </c>
      <c r="S533" t="n">
        <v>0</v>
      </c>
      <c r="T533" t="inlineStr">
        <is>
          <t>AUD</t>
        </is>
      </c>
      <c r="U533" t="n">
        <v>0</v>
      </c>
    </row>
    <row r="534">
      <c r="A534" s="5" t="inlineStr">
        <is>
          <t>01a152b9-790d-77e4-8863-c7e1994c167c</t>
        </is>
      </c>
      <c r="C534" s="5" t="inlineStr">
        <is>
          <t>01a152b9-6e67-75da-8adb-b03e5d07fd21</t>
        </is>
      </c>
      <c r="D534" s="4" t="n">
        <v>46314.24594089286</v>
      </c>
      <c r="E534" s="4" t="n">
        <v>46314.24594089295</v>
      </c>
      <c r="F534" t="b">
        <v>1</v>
      </c>
      <c r="G534" t="n">
        <v/>
      </c>
      <c r="H534" t="inlineStr">
        <is>
          <t>RARI</t>
        </is>
      </c>
      <c r="I534" t="inlineStr">
        <is>
          <t>Russell Investments Australian Responsible Investment ETF</t>
        </is>
      </c>
      <c r="J534" t="inlineStr">
        <is>
          <t>AUD</t>
        </is>
      </c>
      <c r="K534" s="5" t="inlineStr">
        <is>
          <t>01a152b9-6ee2-7577-bddd-382bc3853fde</t>
        </is>
      </c>
      <c r="M534" t="inlineStr">
        <is>
          <t>UNKNOWN</t>
        </is>
      </c>
      <c r="N534" t="inlineStr">
        <is>
          <t>DEFAULT</t>
        </is>
      </c>
      <c r="Q534" t="n">
        <v>0</v>
      </c>
      <c r="R534" t="inlineStr">
        <is>
          <t>AUD</t>
        </is>
      </c>
      <c r="S534" t="n">
        <v>0</v>
      </c>
      <c r="T534" t="inlineStr">
        <is>
          <t>AUD</t>
        </is>
      </c>
      <c r="U534" t="n">
        <v>0</v>
      </c>
    </row>
    <row r="535">
      <c r="A535" s="5" t="inlineStr">
        <is>
          <t>01a152b9-7910-754f-87b2-5b7db20cd75b</t>
        </is>
      </c>
      <c r="C535" s="5" t="inlineStr">
        <is>
          <t>01a152b9-6e67-75da-8adb-b03e5d07fd21</t>
        </is>
      </c>
      <c r="D535" s="4" t="n">
        <v>46314.24594093068</v>
      </c>
      <c r="E535" s="4" t="n">
        <v>46314.24594093078</v>
      </c>
      <c r="F535" t="b">
        <v>1</v>
      </c>
      <c r="G535" t="n">
        <v/>
      </c>
      <c r="H535" t="inlineStr">
        <is>
          <t>AYUPA</t>
        </is>
      </c>
      <c r="I535" t="inlineStr">
        <is>
          <t>Australian Unity Ltd</t>
        </is>
      </c>
      <c r="J535" t="inlineStr">
        <is>
          <t>AUD</t>
        </is>
      </c>
      <c r="K535" s="5" t="inlineStr">
        <is>
          <t>01a152b9-6ee2-7577-bddd-382bc3853fde</t>
        </is>
      </c>
      <c r="M535" t="inlineStr">
        <is>
          <t>UNKNOWN</t>
        </is>
      </c>
      <c r="N535" t="inlineStr">
        <is>
          <t>DEFAULT</t>
        </is>
      </c>
      <c r="Q535" t="n">
        <v>0</v>
      </c>
      <c r="R535" t="inlineStr">
        <is>
          <t>AUD</t>
        </is>
      </c>
      <c r="S535" t="n">
        <v>0</v>
      </c>
      <c r="T535" t="inlineStr">
        <is>
          <t>AUD</t>
        </is>
      </c>
      <c r="U535" t="n">
        <v>0</v>
      </c>
    </row>
    <row r="536">
      <c r="A536" s="5" t="inlineStr">
        <is>
          <t>01a152b9-7913-7430-9afc-c9c5ddc8b900</t>
        </is>
      </c>
      <c r="C536" s="5" t="inlineStr">
        <is>
          <t>01a152b9-6e67-75da-8adb-b03e5d07fd21</t>
        </is>
      </c>
      <c r="D536" s="4" t="n">
        <v>46314.24594096458</v>
      </c>
      <c r="E536" s="4" t="n">
        <v>46314.24594096468</v>
      </c>
      <c r="F536" t="b">
        <v>1</v>
      </c>
      <c r="G536" t="n">
        <v/>
      </c>
      <c r="H536" t="inlineStr">
        <is>
          <t>SYL</t>
        </is>
      </c>
      <c r="I536" t="inlineStr">
        <is>
          <t>Symal Group Ltd</t>
        </is>
      </c>
      <c r="J536" t="inlineStr">
        <is>
          <t>AUD</t>
        </is>
      </c>
      <c r="K536" s="5" t="inlineStr">
        <is>
          <t>01a152b9-6ee2-7577-bddd-382bc3853fde</t>
        </is>
      </c>
      <c r="M536" t="inlineStr">
        <is>
          <t>UNKNOWN</t>
        </is>
      </c>
      <c r="N536" t="inlineStr">
        <is>
          <t>DEFAULT</t>
        </is>
      </c>
      <c r="Q536" t="n">
        <v>0</v>
      </c>
      <c r="R536" t="inlineStr">
        <is>
          <t>AUD</t>
        </is>
      </c>
      <c r="S536" t="n">
        <v>0</v>
      </c>
      <c r="T536" t="inlineStr">
        <is>
          <t>AUD</t>
        </is>
      </c>
      <c r="U536" t="n">
        <v>0</v>
      </c>
    </row>
    <row r="537">
      <c r="A537" s="5" t="inlineStr">
        <is>
          <t>01a152b9-7916-725e-a064-3ebcfb5b9ffc</t>
        </is>
      </c>
      <c r="C537" s="5" t="inlineStr">
        <is>
          <t>01a152b9-6e67-75da-8adb-b03e5d07fd21</t>
        </is>
      </c>
      <c r="D537" s="4" t="n">
        <v>46314.24594100235</v>
      </c>
      <c r="E537" s="4" t="n">
        <v>46314.24594100245</v>
      </c>
      <c r="F537" t="b">
        <v>1</v>
      </c>
      <c r="G537" t="n">
        <v/>
      </c>
      <c r="H537" t="inlineStr">
        <is>
          <t>PMC</t>
        </is>
      </c>
      <c r="I537" t="inlineStr">
        <is>
          <t>Platinum Capital Ltd</t>
        </is>
      </c>
      <c r="J537" t="inlineStr">
        <is>
          <t>AUD</t>
        </is>
      </c>
      <c r="K537" s="5" t="inlineStr">
        <is>
          <t>01a152b9-6ee2-7577-bddd-382bc3853fde</t>
        </is>
      </c>
      <c r="M537" t="inlineStr">
        <is>
          <t>UNKNOWN</t>
        </is>
      </c>
      <c r="N537" t="inlineStr">
        <is>
          <t>DEFAULT</t>
        </is>
      </c>
      <c r="Q537" t="n">
        <v>0</v>
      </c>
      <c r="R537" t="inlineStr">
        <is>
          <t>AUD</t>
        </is>
      </c>
      <c r="S537" t="n">
        <v>0</v>
      </c>
      <c r="T537" t="inlineStr">
        <is>
          <t>AUD</t>
        </is>
      </c>
      <c r="U537" t="n">
        <v>0</v>
      </c>
    </row>
    <row r="538">
      <c r="A538" s="5" t="inlineStr">
        <is>
          <t>01a152b9-7919-7640-b201-6a4292013a8a</t>
        </is>
      </c>
      <c r="C538" s="5" t="inlineStr">
        <is>
          <t>01a152b9-6e67-75da-8adb-b03e5d07fd21</t>
        </is>
      </c>
      <c r="D538" s="4" t="n">
        <v>46314.24594104172</v>
      </c>
      <c r="E538" s="4" t="n">
        <v>46314.24594104184</v>
      </c>
      <c r="F538" t="b">
        <v>1</v>
      </c>
      <c r="G538" t="n">
        <v/>
      </c>
      <c r="H538" t="inlineStr">
        <is>
          <t>ALI</t>
        </is>
      </c>
      <c r="I538" t="inlineStr">
        <is>
          <t>Argo Global Listed Infrastructure Ltd</t>
        </is>
      </c>
      <c r="J538" t="inlineStr">
        <is>
          <t>AUD</t>
        </is>
      </c>
      <c r="K538" s="5" t="inlineStr">
        <is>
          <t>01a152b9-6ee2-7577-bddd-382bc3853fde</t>
        </is>
      </c>
      <c r="M538" t="inlineStr">
        <is>
          <t>UNKNOWN</t>
        </is>
      </c>
      <c r="N538" t="inlineStr">
        <is>
          <t>DEFAULT</t>
        </is>
      </c>
      <c r="Q538" t="n">
        <v>0</v>
      </c>
      <c r="R538" t="inlineStr">
        <is>
          <t>AUD</t>
        </is>
      </c>
      <c r="S538" t="n">
        <v>0</v>
      </c>
      <c r="T538" t="inlineStr">
        <is>
          <t>AUD</t>
        </is>
      </c>
      <c r="U538" t="n">
        <v>0</v>
      </c>
    </row>
    <row r="539">
      <c r="A539" s="5" t="inlineStr">
        <is>
          <t>01a152b9-791d-7201-99d4-6658f17ac5c2</t>
        </is>
      </c>
      <c r="C539" s="5" t="inlineStr">
        <is>
          <t>01a152b9-6e67-75da-8adb-b03e5d07fd21</t>
        </is>
      </c>
      <c r="D539" s="4" t="n">
        <v>46314.24594108886</v>
      </c>
      <c r="E539" s="4" t="n">
        <v>46314.24594108898</v>
      </c>
      <c r="F539" t="b">
        <v>1</v>
      </c>
      <c r="G539" t="n">
        <v/>
      </c>
      <c r="H539" t="inlineStr">
        <is>
          <t>WCMQ</t>
        </is>
      </c>
      <c r="I539" t="inlineStr">
        <is>
          <t>WCM Quality Global Growth Fund (Quoted Managed Fund)</t>
        </is>
      </c>
      <c r="J539" t="inlineStr">
        <is>
          <t>AUD</t>
        </is>
      </c>
      <c r="K539" s="5" t="inlineStr">
        <is>
          <t>01a152b9-6ee2-7577-bddd-382bc3853fde</t>
        </is>
      </c>
      <c r="M539" t="inlineStr">
        <is>
          <t>UNKNOWN</t>
        </is>
      </c>
      <c r="N539" t="inlineStr">
        <is>
          <t>DEFAULT</t>
        </is>
      </c>
      <c r="Q539" t="n">
        <v>0</v>
      </c>
      <c r="R539" t="inlineStr">
        <is>
          <t>AUD</t>
        </is>
      </c>
      <c r="S539" t="n">
        <v>0</v>
      </c>
      <c r="T539" t="inlineStr">
        <is>
          <t>AUD</t>
        </is>
      </c>
      <c r="U539" t="n">
        <v>0</v>
      </c>
    </row>
    <row r="540">
      <c r="A540" s="5" t="inlineStr">
        <is>
          <t>01a152b9-7922-75e9-b103-d6be2affd973</t>
        </is>
      </c>
      <c r="C540" s="5" t="inlineStr">
        <is>
          <t>01a152b9-6e67-75da-8adb-b03e5d07fd21</t>
        </is>
      </c>
      <c r="D540" s="4" t="n">
        <v>46314.24594113944</v>
      </c>
      <c r="E540" s="4" t="n">
        <v>46314.24594113957</v>
      </c>
      <c r="F540" t="b">
        <v>1</v>
      </c>
      <c r="G540" t="n">
        <v/>
      </c>
      <c r="H540" t="inlineStr">
        <is>
          <t>PPS</t>
        </is>
      </c>
      <c r="I540" t="inlineStr">
        <is>
          <t>Praemium Ltd</t>
        </is>
      </c>
      <c r="J540" t="inlineStr">
        <is>
          <t>AUD</t>
        </is>
      </c>
      <c r="K540" s="5" t="inlineStr">
        <is>
          <t>01a152b9-6ee2-7577-bddd-382bc3853fde</t>
        </is>
      </c>
      <c r="M540" t="inlineStr">
        <is>
          <t>UNKNOWN</t>
        </is>
      </c>
      <c r="N540" t="inlineStr">
        <is>
          <t>DEFAULT</t>
        </is>
      </c>
      <c r="Q540" t="n">
        <v>0</v>
      </c>
      <c r="R540" t="inlineStr">
        <is>
          <t>AUD</t>
        </is>
      </c>
      <c r="S540" t="n">
        <v>0</v>
      </c>
      <c r="T540" t="inlineStr">
        <is>
          <t>AUD</t>
        </is>
      </c>
      <c r="U540" t="n">
        <v>0</v>
      </c>
    </row>
    <row r="541">
      <c r="A541" s="5" t="inlineStr">
        <is>
          <t>01a152b9-7926-74e5-bb50-f5e9cec8b31c</t>
        </is>
      </c>
      <c r="C541" s="5" t="inlineStr">
        <is>
          <t>01a152b9-6e67-75da-8adb-b03e5d07fd21</t>
        </is>
      </c>
      <c r="D541" s="4" t="n">
        <v>46314.24594118298</v>
      </c>
      <c r="E541" s="4" t="n">
        <v>46314.2459411831</v>
      </c>
      <c r="F541" t="b">
        <v>1</v>
      </c>
      <c r="G541" t="n">
        <v/>
      </c>
      <c r="H541" t="inlineStr">
        <is>
          <t>IMR</t>
        </is>
      </c>
      <c r="I541" t="inlineStr">
        <is>
          <t>Imricor Medical Systems Inc</t>
        </is>
      </c>
      <c r="J541" t="inlineStr">
        <is>
          <t>AUD</t>
        </is>
      </c>
      <c r="K541" s="5" t="inlineStr">
        <is>
          <t>01a152b9-6ee2-7577-bddd-382bc3853fde</t>
        </is>
      </c>
      <c r="M541" t="inlineStr">
        <is>
          <t>UNKNOWN</t>
        </is>
      </c>
      <c r="N541" t="inlineStr">
        <is>
          <t>DEFAULT</t>
        </is>
      </c>
      <c r="Q541" t="n">
        <v>0</v>
      </c>
      <c r="R541" t="inlineStr">
        <is>
          <t>AUD</t>
        </is>
      </c>
      <c r="S541" t="n">
        <v>0</v>
      </c>
      <c r="T541" t="inlineStr">
        <is>
          <t>AUD</t>
        </is>
      </c>
      <c r="U541" t="n">
        <v>0</v>
      </c>
    </row>
    <row r="542">
      <c r="A542" s="5" t="inlineStr">
        <is>
          <t>01a152b9-7929-7081-b4e8-09d06f69bbd2</t>
        </is>
      </c>
      <c r="C542" s="5" t="inlineStr">
        <is>
          <t>01a152b9-6e67-75da-8adb-b03e5d07fd21</t>
        </is>
      </c>
      <c r="D542" s="4" t="n">
        <v>46314.24594122775</v>
      </c>
      <c r="E542" s="4" t="n">
        <v>46314.24594122787</v>
      </c>
      <c r="F542" t="b">
        <v>1</v>
      </c>
      <c r="G542" t="n">
        <v/>
      </c>
      <c r="H542" t="inlineStr">
        <is>
          <t>MLX</t>
        </is>
      </c>
      <c r="I542" t="inlineStr">
        <is>
          <t>Metals X Ltd</t>
        </is>
      </c>
      <c r="J542" t="inlineStr">
        <is>
          <t>AUD</t>
        </is>
      </c>
      <c r="K542" s="5" t="inlineStr">
        <is>
          <t>01a152b9-6ee2-7577-bddd-382bc3853fde</t>
        </is>
      </c>
      <c r="M542" t="inlineStr">
        <is>
          <t>UNKNOWN</t>
        </is>
      </c>
      <c r="N542" t="inlineStr">
        <is>
          <t>DEFAULT</t>
        </is>
      </c>
      <c r="Q542" t="n">
        <v>0</v>
      </c>
      <c r="R542" t="inlineStr">
        <is>
          <t>AUD</t>
        </is>
      </c>
      <c r="S542" t="n">
        <v>0</v>
      </c>
      <c r="T542" t="inlineStr">
        <is>
          <t>AUD</t>
        </is>
      </c>
      <c r="U542" t="n">
        <v>0</v>
      </c>
    </row>
    <row r="543">
      <c r="A543" s="5" t="inlineStr">
        <is>
          <t>01a152b9-792d-73a2-8892-1b3e7e3734a5</t>
        </is>
      </c>
      <c r="C543" s="5" t="inlineStr">
        <is>
          <t>01a152b9-6e67-75da-8adb-b03e5d07fd21</t>
        </is>
      </c>
      <c r="D543" s="4" t="n">
        <v>46314.24594127214</v>
      </c>
      <c r="E543" s="4" t="n">
        <v>46314.24594127229</v>
      </c>
      <c r="F543" t="b">
        <v>1</v>
      </c>
      <c r="G543" t="n">
        <v/>
      </c>
      <c r="H543" t="inlineStr">
        <is>
          <t>PTM</t>
        </is>
      </c>
      <c r="I543" t="inlineStr">
        <is>
          <t>Platinum Asset Management Ltd</t>
        </is>
      </c>
      <c r="J543" t="inlineStr">
        <is>
          <t>AUD</t>
        </is>
      </c>
      <c r="K543" s="5" t="inlineStr">
        <is>
          <t>01a152b9-6ee2-7577-bddd-382bc3853fde</t>
        </is>
      </c>
      <c r="M543" t="inlineStr">
        <is>
          <t>UNKNOWN</t>
        </is>
      </c>
      <c r="N543" t="inlineStr">
        <is>
          <t>DEFAULT</t>
        </is>
      </c>
      <c r="Q543" t="n">
        <v>0</v>
      </c>
      <c r="R543" t="inlineStr">
        <is>
          <t>AUD</t>
        </is>
      </c>
      <c r="S543" t="n">
        <v>0</v>
      </c>
      <c r="T543" t="inlineStr">
        <is>
          <t>AUD</t>
        </is>
      </c>
      <c r="U543" t="n">
        <v>0</v>
      </c>
    </row>
    <row r="544">
      <c r="A544" s="5" t="inlineStr">
        <is>
          <t>01a152b9-7931-726a-bddf-a8501edb9d4e</t>
        </is>
      </c>
      <c r="C544" s="5" t="inlineStr">
        <is>
          <t>01a152b9-6e67-75da-8adb-b03e5d07fd21</t>
        </is>
      </c>
      <c r="D544" s="4" t="n">
        <v>46314.24594131792</v>
      </c>
      <c r="E544" s="4" t="n">
        <v>46314.24594131805</v>
      </c>
      <c r="F544" t="b">
        <v>1</v>
      </c>
      <c r="G544" t="n">
        <v/>
      </c>
      <c r="H544" t="inlineStr">
        <is>
          <t>MVR</t>
        </is>
      </c>
      <c r="I544" t="inlineStr">
        <is>
          <t>Vaneck Australian Resources ETF</t>
        </is>
      </c>
      <c r="J544" t="inlineStr">
        <is>
          <t>AUD</t>
        </is>
      </c>
      <c r="K544" s="5" t="inlineStr">
        <is>
          <t>01a152b9-6ee2-7577-bddd-382bc3853fde</t>
        </is>
      </c>
      <c r="M544" t="inlineStr">
        <is>
          <t>UNKNOWN</t>
        </is>
      </c>
      <c r="N544" t="inlineStr">
        <is>
          <t>DEFAULT</t>
        </is>
      </c>
      <c r="Q544" t="n">
        <v>0</v>
      </c>
      <c r="R544" t="inlineStr">
        <is>
          <t>AUD</t>
        </is>
      </c>
      <c r="S544" t="n">
        <v>0</v>
      </c>
      <c r="T544" t="inlineStr">
        <is>
          <t>AUD</t>
        </is>
      </c>
      <c r="U544" t="n">
        <v>0</v>
      </c>
    </row>
    <row r="545">
      <c r="A545" s="5" t="inlineStr">
        <is>
          <t>01a152b9-7935-716d-a76c-02262ad48eda</t>
        </is>
      </c>
      <c r="C545" s="5" t="inlineStr">
        <is>
          <t>01a152b9-6e67-75da-8adb-b03e5d07fd21</t>
        </is>
      </c>
      <c r="D545" s="4" t="n">
        <v>46314.24594136365</v>
      </c>
      <c r="E545" s="4" t="n">
        <v>46314.24594136386</v>
      </c>
      <c r="F545" t="b">
        <v>1</v>
      </c>
      <c r="G545" t="n">
        <v/>
      </c>
      <c r="H545" t="inlineStr">
        <is>
          <t>CGFPC</t>
        </is>
      </c>
      <c r="I545" t="inlineStr">
        <is>
          <t>Challenger Ltd</t>
        </is>
      </c>
      <c r="J545" t="inlineStr">
        <is>
          <t>AUD</t>
        </is>
      </c>
      <c r="K545" s="5" t="inlineStr">
        <is>
          <t>01a152b9-6ee2-7577-bddd-382bc3853fde</t>
        </is>
      </c>
      <c r="M545" t="inlineStr">
        <is>
          <t>UNKNOWN</t>
        </is>
      </c>
      <c r="N545" t="inlineStr">
        <is>
          <t>DEFAULT</t>
        </is>
      </c>
      <c r="Q545" t="n">
        <v>0</v>
      </c>
      <c r="R545" t="inlineStr">
        <is>
          <t>AUD</t>
        </is>
      </c>
      <c r="S545" t="n">
        <v>0</v>
      </c>
      <c r="T545" t="inlineStr">
        <is>
          <t>AUD</t>
        </is>
      </c>
      <c r="U545" t="n">
        <v>0</v>
      </c>
    </row>
    <row r="546">
      <c r="A546" s="5" t="inlineStr">
        <is>
          <t>01a152b9-7939-73fc-8148-f079b99762bd</t>
        </is>
      </c>
      <c r="C546" s="5" t="inlineStr">
        <is>
          <t>01a152b9-6e67-75da-8adb-b03e5d07fd21</t>
        </is>
      </c>
      <c r="D546" s="4" t="n">
        <v>46314.24594141142</v>
      </c>
      <c r="E546" s="4" t="n">
        <v>46314.24594141157</v>
      </c>
      <c r="F546" t="b">
        <v>1</v>
      </c>
      <c r="G546" t="n">
        <v/>
      </c>
      <c r="H546" t="inlineStr">
        <is>
          <t>AVJ</t>
        </is>
      </c>
      <c r="I546" t="inlineStr">
        <is>
          <t>Avjennings Ltd</t>
        </is>
      </c>
      <c r="J546" t="inlineStr">
        <is>
          <t>AUD</t>
        </is>
      </c>
      <c r="K546" s="5" t="inlineStr">
        <is>
          <t>01a152b9-6ee2-7577-bddd-382bc3853fde</t>
        </is>
      </c>
      <c r="M546" t="inlineStr">
        <is>
          <t>UNKNOWN</t>
        </is>
      </c>
      <c r="N546" t="inlineStr">
        <is>
          <t>DEFAULT</t>
        </is>
      </c>
      <c r="Q546" t="n">
        <v>0</v>
      </c>
      <c r="R546" t="inlineStr">
        <is>
          <t>AUD</t>
        </is>
      </c>
      <c r="S546" t="n">
        <v>0</v>
      </c>
      <c r="T546" t="inlineStr">
        <is>
          <t>AUD</t>
        </is>
      </c>
      <c r="U546" t="n">
        <v>0</v>
      </c>
    </row>
    <row r="547">
      <c r="A547" s="5" t="inlineStr">
        <is>
          <t>01a152b9-793d-74d8-8b38-f7bef972f994</t>
        </is>
      </c>
      <c r="C547" s="5" t="inlineStr">
        <is>
          <t>01a152b9-6e67-75da-8adb-b03e5d07fd21</t>
        </is>
      </c>
      <c r="D547" s="4" t="n">
        <v>46314.24594145628</v>
      </c>
      <c r="E547" s="4" t="n">
        <v>46314.24594145641</v>
      </c>
      <c r="F547" t="b">
        <v>1</v>
      </c>
      <c r="G547" t="n">
        <v/>
      </c>
      <c r="H547" t="inlineStr">
        <is>
          <t>SUNPH</t>
        </is>
      </c>
      <c r="I547" t="inlineStr">
        <is>
          <t>Suncorp Group Ltd</t>
        </is>
      </c>
      <c r="J547" t="inlineStr">
        <is>
          <t>AUD</t>
        </is>
      </c>
      <c r="K547" s="5" t="inlineStr">
        <is>
          <t>01a152b9-6ee2-7577-bddd-382bc3853fde</t>
        </is>
      </c>
      <c r="M547" t="inlineStr">
        <is>
          <t>UNKNOWN</t>
        </is>
      </c>
      <c r="N547" t="inlineStr">
        <is>
          <t>DEFAULT</t>
        </is>
      </c>
      <c r="Q547" t="n">
        <v>0</v>
      </c>
      <c r="R547" t="inlineStr">
        <is>
          <t>AUD</t>
        </is>
      </c>
      <c r="S547" t="n">
        <v>0</v>
      </c>
      <c r="T547" t="inlineStr">
        <is>
          <t>AUD</t>
        </is>
      </c>
      <c r="U547" t="n">
        <v>0</v>
      </c>
    </row>
    <row r="548">
      <c r="A548" s="5" t="inlineStr">
        <is>
          <t>01a152b9-7941-7486-9420-c38f3a40bb2b</t>
        </is>
      </c>
      <c r="C548" s="5" t="inlineStr">
        <is>
          <t>01a152b9-6e67-75da-8adb-b03e5d07fd21</t>
        </is>
      </c>
      <c r="D548" s="4" t="n">
        <v>46314.24594149911</v>
      </c>
      <c r="E548" s="4" t="n">
        <v>46314.24594149923</v>
      </c>
      <c r="F548" t="b">
        <v>1</v>
      </c>
      <c r="G548" t="n">
        <v/>
      </c>
      <c r="H548" t="inlineStr">
        <is>
          <t>THL</t>
        </is>
      </c>
      <c r="I548" t="inlineStr">
        <is>
          <t>Tourism Holdings Rentals Ltd</t>
        </is>
      </c>
      <c r="J548" t="inlineStr">
        <is>
          <t>AUD</t>
        </is>
      </c>
      <c r="K548" s="5" t="inlineStr">
        <is>
          <t>01a152b9-6ee2-7577-bddd-382bc3853fde</t>
        </is>
      </c>
      <c r="M548" t="inlineStr">
        <is>
          <t>UNKNOWN</t>
        </is>
      </c>
      <c r="N548" t="inlineStr">
        <is>
          <t>DEFAULT</t>
        </is>
      </c>
      <c r="Q548" t="n">
        <v>0</v>
      </c>
      <c r="R548" t="inlineStr">
        <is>
          <t>AUD</t>
        </is>
      </c>
      <c r="S548" t="n">
        <v>0</v>
      </c>
      <c r="T548" t="inlineStr">
        <is>
          <t>AUD</t>
        </is>
      </c>
      <c r="U548" t="n">
        <v>0</v>
      </c>
    </row>
    <row r="549">
      <c r="A549" s="5" t="inlineStr">
        <is>
          <t>01a152b9-7945-76e0-8aa3-8937ea3ce4ee</t>
        </is>
      </c>
      <c r="C549" s="5" t="inlineStr">
        <is>
          <t>01a152b9-6e67-75da-8adb-b03e5d07fd21</t>
        </is>
      </c>
      <c r="D549" s="4" t="n">
        <v>46314.2459415421</v>
      </c>
      <c r="E549" s="4" t="n">
        <v>46314.24594154222</v>
      </c>
      <c r="F549" t="b">
        <v>1</v>
      </c>
      <c r="G549" t="n">
        <v/>
      </c>
      <c r="H549" t="inlineStr">
        <is>
          <t>ATA</t>
        </is>
      </c>
      <c r="I549" t="inlineStr">
        <is>
          <t>Atturra Ltd</t>
        </is>
      </c>
      <c r="J549" t="inlineStr">
        <is>
          <t>AUD</t>
        </is>
      </c>
      <c r="K549" s="5" t="inlineStr">
        <is>
          <t>01a152b9-6ee2-7577-bddd-382bc3853fde</t>
        </is>
      </c>
      <c r="M549" t="inlineStr">
        <is>
          <t>UNKNOWN</t>
        </is>
      </c>
      <c r="N549" t="inlineStr">
        <is>
          <t>DEFAULT</t>
        </is>
      </c>
      <c r="Q549" t="n">
        <v>0</v>
      </c>
      <c r="R549" t="inlineStr">
        <is>
          <t>AUD</t>
        </is>
      </c>
      <c r="S549" t="n">
        <v>0</v>
      </c>
      <c r="T549" t="inlineStr">
        <is>
          <t>AUD</t>
        </is>
      </c>
      <c r="U549" t="n">
        <v>0</v>
      </c>
    </row>
    <row r="550">
      <c r="A550" s="5" t="inlineStr">
        <is>
          <t>01a152b9-7948-7131-96e2-4ac5811c66bf</t>
        </is>
      </c>
      <c r="C550" s="5" t="inlineStr">
        <is>
          <t>01a152b9-6e67-75da-8adb-b03e5d07fd21</t>
        </is>
      </c>
      <c r="D550" s="4" t="n">
        <v>46314.24594158598</v>
      </c>
      <c r="E550" s="4" t="n">
        <v>46314.24594158611</v>
      </c>
      <c r="F550" t="b">
        <v>1</v>
      </c>
      <c r="G550" t="n">
        <v/>
      </c>
      <c r="H550" t="inlineStr">
        <is>
          <t>RMC</t>
        </is>
      </c>
      <c r="I550" t="inlineStr">
        <is>
          <t>Resimac Group Ltd</t>
        </is>
      </c>
      <c r="J550" t="inlineStr">
        <is>
          <t>AUD</t>
        </is>
      </c>
      <c r="K550" s="5" t="inlineStr">
        <is>
          <t>01a152b9-6ee2-7577-bddd-382bc3853fde</t>
        </is>
      </c>
      <c r="M550" t="inlineStr">
        <is>
          <t>UNKNOWN</t>
        </is>
      </c>
      <c r="N550" t="inlineStr">
        <is>
          <t>DEFAULT</t>
        </is>
      </c>
      <c r="Q550" t="n">
        <v>0</v>
      </c>
      <c r="R550" t="inlineStr">
        <is>
          <t>AUD</t>
        </is>
      </c>
      <c r="S550" t="n">
        <v>0</v>
      </c>
      <c r="T550" t="inlineStr">
        <is>
          <t>AUD</t>
        </is>
      </c>
      <c r="U550" t="n">
        <v>0</v>
      </c>
    </row>
    <row r="551">
      <c r="A551" s="5" t="inlineStr">
        <is>
          <t>01a152b9-794c-72d3-a724-49809126b39d</t>
        </is>
      </c>
      <c r="C551" s="5" t="inlineStr">
        <is>
          <t>01a152b9-6e67-75da-8adb-b03e5d07fd21</t>
        </is>
      </c>
      <c r="D551" s="4" t="n">
        <v>46314.24594163201</v>
      </c>
      <c r="E551" s="4" t="n">
        <v>46314.24594163213</v>
      </c>
      <c r="F551" t="b">
        <v>1</v>
      </c>
      <c r="G551" t="n">
        <v/>
      </c>
      <c r="H551" t="inlineStr">
        <is>
          <t>DXC</t>
        </is>
      </c>
      <c r="I551" t="inlineStr">
        <is>
          <t>Dexus Convenience Retail REIT</t>
        </is>
      </c>
      <c r="J551" t="inlineStr">
        <is>
          <t>AUD</t>
        </is>
      </c>
      <c r="K551" s="5" t="inlineStr">
        <is>
          <t>01a152b9-6ee2-7577-bddd-382bc3853fde</t>
        </is>
      </c>
      <c r="M551" t="inlineStr">
        <is>
          <t>UNKNOWN</t>
        </is>
      </c>
      <c r="N551" t="inlineStr">
        <is>
          <t>DEFAULT</t>
        </is>
      </c>
      <c r="Q551" t="n">
        <v>0</v>
      </c>
      <c r="R551" t="inlineStr">
        <is>
          <t>AUD</t>
        </is>
      </c>
      <c r="S551" t="n">
        <v>0</v>
      </c>
      <c r="T551" t="inlineStr">
        <is>
          <t>AUD</t>
        </is>
      </c>
      <c r="U551" t="n">
        <v>0</v>
      </c>
    </row>
    <row r="552">
      <c r="A552" s="5" t="inlineStr">
        <is>
          <t>01a152b9-7950-758c-8bfb-9e23c0e82bf7</t>
        </is>
      </c>
      <c r="C552" s="5" t="inlineStr">
        <is>
          <t>01a152b9-6e67-75da-8adb-b03e5d07fd21</t>
        </is>
      </c>
      <c r="D552" s="4" t="n">
        <v>46314.24594167434</v>
      </c>
      <c r="E552" s="4" t="n">
        <v>46314.24594167448</v>
      </c>
      <c r="F552" t="b">
        <v>1</v>
      </c>
      <c r="G552" t="n">
        <v/>
      </c>
      <c r="H552" t="inlineStr">
        <is>
          <t>MGX</t>
        </is>
      </c>
      <c r="I552" t="inlineStr">
        <is>
          <t>Mount Gibson Iron Ltd</t>
        </is>
      </c>
      <c r="J552" t="inlineStr">
        <is>
          <t>AUD</t>
        </is>
      </c>
      <c r="K552" s="5" t="inlineStr">
        <is>
          <t>01a152b9-6ee2-7577-bddd-382bc3853fde</t>
        </is>
      </c>
      <c r="M552" t="inlineStr">
        <is>
          <t>UNKNOWN</t>
        </is>
      </c>
      <c r="N552" t="inlineStr">
        <is>
          <t>DEFAULT</t>
        </is>
      </c>
      <c r="Q552" t="n">
        <v>0</v>
      </c>
      <c r="R552" t="inlineStr">
        <is>
          <t>AUD</t>
        </is>
      </c>
      <c r="S552" t="n">
        <v>0</v>
      </c>
      <c r="T552" t="inlineStr">
        <is>
          <t>AUD</t>
        </is>
      </c>
      <c r="U552" t="n">
        <v>0</v>
      </c>
    </row>
    <row r="553">
      <c r="A553" s="5" t="inlineStr">
        <is>
          <t>01a152b9-7954-7137-81e7-21f66ca0ad56</t>
        </is>
      </c>
      <c r="C553" s="5" t="inlineStr">
        <is>
          <t>01a152b9-6e67-75da-8adb-b03e5d07fd21</t>
        </is>
      </c>
      <c r="D553" s="4" t="n">
        <v>46314.24594172168</v>
      </c>
      <c r="E553" s="4" t="n">
        <v>46314.24594172182</v>
      </c>
      <c r="F553" t="b">
        <v>1</v>
      </c>
      <c r="G553" t="n">
        <v/>
      </c>
      <c r="H553" t="inlineStr">
        <is>
          <t>OBL</t>
        </is>
      </c>
      <c r="I553" t="inlineStr">
        <is>
          <t>Omni Bridgeway Ltd</t>
        </is>
      </c>
      <c r="J553" t="inlineStr">
        <is>
          <t>AUD</t>
        </is>
      </c>
      <c r="K553" s="5" t="inlineStr">
        <is>
          <t>01a152b9-6ee2-7577-bddd-382bc3853fde</t>
        </is>
      </c>
      <c r="M553" t="inlineStr">
        <is>
          <t>UNKNOWN</t>
        </is>
      </c>
      <c r="N553" t="inlineStr">
        <is>
          <t>DEFAULT</t>
        </is>
      </c>
      <c r="Q553" t="n">
        <v>0</v>
      </c>
      <c r="R553" t="inlineStr">
        <is>
          <t>AUD</t>
        </is>
      </c>
      <c r="S553" t="n">
        <v>0</v>
      </c>
      <c r="T553" t="inlineStr">
        <is>
          <t>AUD</t>
        </is>
      </c>
      <c r="U553" t="n">
        <v>0</v>
      </c>
    </row>
    <row r="554">
      <c r="A554" s="5" t="inlineStr">
        <is>
          <t>01a152b9-7958-777c-be9e-4001c8c9e986</t>
        </is>
      </c>
      <c r="C554" s="5" t="inlineStr">
        <is>
          <t>01a152b9-6e67-75da-8adb-b03e5d07fd21</t>
        </is>
      </c>
      <c r="D554" s="4" t="n">
        <v>46314.24594176763</v>
      </c>
      <c r="E554" s="4" t="n">
        <v>46314.24594176777</v>
      </c>
      <c r="F554" t="b">
        <v>1</v>
      </c>
      <c r="G554" t="n">
        <v/>
      </c>
      <c r="H554" t="inlineStr">
        <is>
          <t>WQG</t>
        </is>
      </c>
      <c r="I554" t="inlineStr">
        <is>
          <t>WCM Global Growth Ltd</t>
        </is>
      </c>
      <c r="J554" t="inlineStr">
        <is>
          <t>AUD</t>
        </is>
      </c>
      <c r="K554" s="5" t="inlineStr">
        <is>
          <t>01a152b9-6ee2-7577-bddd-382bc3853fde</t>
        </is>
      </c>
      <c r="M554" t="inlineStr">
        <is>
          <t>UNKNOWN</t>
        </is>
      </c>
      <c r="N554" t="inlineStr">
        <is>
          <t>DEFAULT</t>
        </is>
      </c>
      <c r="Q554" t="n">
        <v>0</v>
      </c>
      <c r="R554" t="inlineStr">
        <is>
          <t>AUD</t>
        </is>
      </c>
      <c r="S554" t="n">
        <v>0</v>
      </c>
      <c r="T554" t="inlineStr">
        <is>
          <t>AUD</t>
        </is>
      </c>
      <c r="U554" t="n">
        <v>0</v>
      </c>
    </row>
    <row r="555">
      <c r="A555" s="5" t="inlineStr">
        <is>
          <t>01a152b9-795c-7793-ba8a-689ac2bf0016</t>
        </is>
      </c>
      <c r="C555" s="5" t="inlineStr">
        <is>
          <t>01a152b9-6e67-75da-8adb-b03e5d07fd21</t>
        </is>
      </c>
      <c r="D555" s="4" t="n">
        <v>46314.24594181773</v>
      </c>
      <c r="E555" s="4" t="n">
        <v>46314.24594181785</v>
      </c>
      <c r="F555" t="b">
        <v>1</v>
      </c>
      <c r="G555" t="n">
        <v/>
      </c>
      <c r="H555" t="inlineStr">
        <is>
          <t>SXE</t>
        </is>
      </c>
      <c r="I555" t="inlineStr">
        <is>
          <t>Southern Cross Electrical Engineering Ltd</t>
        </is>
      </c>
      <c r="J555" t="inlineStr">
        <is>
          <t>AUD</t>
        </is>
      </c>
      <c r="K555" s="5" t="inlineStr">
        <is>
          <t>01a152b9-6ee2-7577-bddd-382bc3853fde</t>
        </is>
      </c>
      <c r="M555" t="inlineStr">
        <is>
          <t>UNKNOWN</t>
        </is>
      </c>
      <c r="N555" t="inlineStr">
        <is>
          <t>DEFAULT</t>
        </is>
      </c>
      <c r="Q555" t="n">
        <v>0</v>
      </c>
      <c r="R555" t="inlineStr">
        <is>
          <t>AUD</t>
        </is>
      </c>
      <c r="S555" t="n">
        <v>0</v>
      </c>
      <c r="T555" t="inlineStr">
        <is>
          <t>AUD</t>
        </is>
      </c>
      <c r="U555" t="n">
        <v>0</v>
      </c>
    </row>
    <row r="556">
      <c r="A556" s="5" t="inlineStr">
        <is>
          <t>01a152b9-7960-70b3-ab8c-5e0077c94708</t>
        </is>
      </c>
      <c r="C556" s="5" t="inlineStr">
        <is>
          <t>01a152b9-6e67-75da-8adb-b03e5d07fd21</t>
        </is>
      </c>
      <c r="D556" s="4" t="n">
        <v>46314.24594186292</v>
      </c>
      <c r="E556" s="4" t="n">
        <v>46314.24594186303</v>
      </c>
      <c r="F556" t="b">
        <v>1</v>
      </c>
      <c r="G556" t="n">
        <v/>
      </c>
      <c r="H556" t="inlineStr">
        <is>
          <t>RDY</t>
        </is>
      </c>
      <c r="I556" t="inlineStr">
        <is>
          <t>Readytech Holdings Ltd</t>
        </is>
      </c>
      <c r="J556" t="inlineStr">
        <is>
          <t>AUD</t>
        </is>
      </c>
      <c r="K556" s="5" t="inlineStr">
        <is>
          <t>01a152b9-6ee2-7577-bddd-382bc3853fde</t>
        </is>
      </c>
      <c r="M556" t="inlineStr">
        <is>
          <t>UNKNOWN</t>
        </is>
      </c>
      <c r="N556" t="inlineStr">
        <is>
          <t>DEFAULT</t>
        </is>
      </c>
      <c r="Q556" t="n">
        <v>0</v>
      </c>
      <c r="R556" t="inlineStr">
        <is>
          <t>AUD</t>
        </is>
      </c>
      <c r="S556" t="n">
        <v>0</v>
      </c>
      <c r="T556" t="inlineStr">
        <is>
          <t>AUD</t>
        </is>
      </c>
      <c r="U556" t="n">
        <v>0</v>
      </c>
    </row>
    <row r="557">
      <c r="A557" s="5" t="inlineStr">
        <is>
          <t>01a152b9-7964-76d8-9d44-5ff51615fa27</t>
        </is>
      </c>
      <c r="C557" s="5" t="inlineStr">
        <is>
          <t>01a152b9-6e67-75da-8adb-b03e5d07fd21</t>
        </is>
      </c>
      <c r="D557" s="4" t="n">
        <v>46314.24594190416</v>
      </c>
      <c r="E557" s="4" t="n">
        <v>46314.24594190433</v>
      </c>
      <c r="F557" t="b">
        <v>1</v>
      </c>
      <c r="G557" t="n">
        <v/>
      </c>
      <c r="H557" t="inlineStr">
        <is>
          <t>PE1</t>
        </is>
      </c>
      <c r="I557" t="inlineStr">
        <is>
          <t>Pengana Private Equity Trust</t>
        </is>
      </c>
      <c r="J557" t="inlineStr">
        <is>
          <t>AUD</t>
        </is>
      </c>
      <c r="K557" s="5" t="inlineStr">
        <is>
          <t>01a152b9-6ee2-7577-bddd-382bc3853fde</t>
        </is>
      </c>
      <c r="M557" t="inlineStr">
        <is>
          <t>UNKNOWN</t>
        </is>
      </c>
      <c r="N557" t="inlineStr">
        <is>
          <t>DEFAULT</t>
        </is>
      </c>
      <c r="Q557" t="n">
        <v>0</v>
      </c>
      <c r="R557" t="inlineStr">
        <is>
          <t>AUD</t>
        </is>
      </c>
      <c r="S557" t="n">
        <v>0</v>
      </c>
      <c r="T557" t="inlineStr">
        <is>
          <t>AUD</t>
        </is>
      </c>
      <c r="U557" t="n">
        <v>0</v>
      </c>
    </row>
    <row r="558">
      <c r="A558" s="5" t="inlineStr">
        <is>
          <t>01a152b9-7968-75e5-9cb5-b66648965c89</t>
        </is>
      </c>
      <c r="C558" s="5" t="inlineStr">
        <is>
          <t>01a152b9-6e67-75da-8adb-b03e5d07fd21</t>
        </is>
      </c>
      <c r="D558" s="4" t="n">
        <v>46314.24594194683</v>
      </c>
      <c r="E558" s="4" t="n">
        <v>46314.24594194693</v>
      </c>
      <c r="F558" t="b">
        <v>1</v>
      </c>
      <c r="G558" t="n">
        <v/>
      </c>
      <c r="H558" t="inlineStr">
        <is>
          <t>OCC</t>
        </is>
      </c>
      <c r="I558" t="inlineStr">
        <is>
          <t>Orthocell Ltd</t>
        </is>
      </c>
      <c r="J558" t="inlineStr">
        <is>
          <t>AUD</t>
        </is>
      </c>
      <c r="K558" s="5" t="inlineStr">
        <is>
          <t>01a152b9-6ee2-7577-bddd-382bc3853fde</t>
        </is>
      </c>
      <c r="M558" t="inlineStr">
        <is>
          <t>UNKNOWN</t>
        </is>
      </c>
      <c r="N558" t="inlineStr">
        <is>
          <t>DEFAULT</t>
        </is>
      </c>
      <c r="Q558" t="n">
        <v>0</v>
      </c>
      <c r="R558" t="inlineStr">
        <is>
          <t>AUD</t>
        </is>
      </c>
      <c r="S558" t="n">
        <v>0</v>
      </c>
      <c r="T558" t="inlineStr">
        <is>
          <t>AUD</t>
        </is>
      </c>
      <c r="U558" t="n">
        <v>0</v>
      </c>
    </row>
    <row r="559">
      <c r="A559" s="5" t="inlineStr">
        <is>
          <t>01a152b9-796b-76af-bba2-ba85c0846e7a</t>
        </is>
      </c>
      <c r="C559" s="5" t="inlineStr">
        <is>
          <t>01a152b9-6e67-75da-8adb-b03e5d07fd21</t>
        </is>
      </c>
      <c r="D559" s="4" t="n">
        <v>46314.24594199154</v>
      </c>
      <c r="E559" s="4" t="n">
        <v>46314.24594199166</v>
      </c>
      <c r="F559" t="b">
        <v>1</v>
      </c>
      <c r="G559" t="n">
        <v/>
      </c>
      <c r="H559" t="inlineStr">
        <is>
          <t>IPG</t>
        </is>
      </c>
      <c r="I559" t="inlineStr">
        <is>
          <t>Ipd Group Ltd</t>
        </is>
      </c>
      <c r="J559" t="inlineStr">
        <is>
          <t>AUD</t>
        </is>
      </c>
      <c r="K559" s="5" t="inlineStr">
        <is>
          <t>01a152b9-6ee2-7577-bddd-382bc3853fde</t>
        </is>
      </c>
      <c r="M559" t="inlineStr">
        <is>
          <t>UNKNOWN</t>
        </is>
      </c>
      <c r="N559" t="inlineStr">
        <is>
          <t>DEFAULT</t>
        </is>
      </c>
      <c r="Q559" t="n">
        <v>0</v>
      </c>
      <c r="R559" t="inlineStr">
        <is>
          <t>AUD</t>
        </is>
      </c>
      <c r="S559" t="n">
        <v>0</v>
      </c>
      <c r="T559" t="inlineStr">
        <is>
          <t>AUD</t>
        </is>
      </c>
      <c r="U559" t="n">
        <v>0</v>
      </c>
    </row>
    <row r="560">
      <c r="A560" s="5" t="inlineStr">
        <is>
          <t>01a152b9-796f-711b-b3c2-97cf31c67c44</t>
        </is>
      </c>
      <c r="C560" s="5" t="inlineStr">
        <is>
          <t>01a152b9-6e67-75da-8adb-b03e5d07fd21</t>
        </is>
      </c>
      <c r="D560" s="4" t="n">
        <v>46314.2459420348</v>
      </c>
      <c r="E560" s="4" t="n">
        <v>46314.24594203492</v>
      </c>
      <c r="F560" t="b">
        <v>1</v>
      </c>
      <c r="G560" t="n">
        <v/>
      </c>
      <c r="H560" t="inlineStr">
        <is>
          <t>HTA</t>
        </is>
      </c>
      <c r="I560" t="inlineStr">
        <is>
          <t>Hutchison Telecommunications (Australia) Ltd</t>
        </is>
      </c>
      <c r="J560" t="inlineStr">
        <is>
          <t>AUD</t>
        </is>
      </c>
      <c r="K560" s="5" t="inlineStr">
        <is>
          <t>01a152b9-6ee2-7577-bddd-382bc3853fde</t>
        </is>
      </c>
      <c r="M560" t="inlineStr">
        <is>
          <t>UNKNOWN</t>
        </is>
      </c>
      <c r="N560" t="inlineStr">
        <is>
          <t>DEFAULT</t>
        </is>
      </c>
      <c r="Q560" t="n">
        <v>0</v>
      </c>
      <c r="R560" t="inlineStr">
        <is>
          <t>AUD</t>
        </is>
      </c>
      <c r="S560" t="n">
        <v>0</v>
      </c>
      <c r="T560" t="inlineStr">
        <is>
          <t>AUD</t>
        </is>
      </c>
      <c r="U560" t="n">
        <v>0</v>
      </c>
    </row>
    <row r="561">
      <c r="A561" s="5" t="inlineStr">
        <is>
          <t>01a152b9-7973-753d-96f5-b9419b15495b</t>
        </is>
      </c>
      <c r="C561" s="5" t="inlineStr">
        <is>
          <t>01a152b9-6e67-75da-8adb-b03e5d07fd21</t>
        </is>
      </c>
      <c r="D561" s="4" t="n">
        <v>46314.24594207405</v>
      </c>
      <c r="E561" s="4" t="n">
        <v>46314.24594207416</v>
      </c>
      <c r="F561" t="b">
        <v>1</v>
      </c>
      <c r="G561" t="n">
        <v/>
      </c>
      <c r="H561" t="inlineStr">
        <is>
          <t>PAI</t>
        </is>
      </c>
      <c r="I561" t="inlineStr">
        <is>
          <t>Platinum Asia Investments Ltd</t>
        </is>
      </c>
      <c r="J561" t="inlineStr">
        <is>
          <t>AUD</t>
        </is>
      </c>
      <c r="K561" s="5" t="inlineStr">
        <is>
          <t>01a152b9-6ee2-7577-bddd-382bc3853fde</t>
        </is>
      </c>
      <c r="M561" t="inlineStr">
        <is>
          <t>UNKNOWN</t>
        </is>
      </c>
      <c r="N561" t="inlineStr">
        <is>
          <t>DEFAULT</t>
        </is>
      </c>
      <c r="Q561" t="n">
        <v>0</v>
      </c>
      <c r="R561" t="inlineStr">
        <is>
          <t>AUD</t>
        </is>
      </c>
      <c r="S561" t="n">
        <v>0</v>
      </c>
      <c r="T561" t="inlineStr">
        <is>
          <t>AUD</t>
        </is>
      </c>
      <c r="U561" t="n">
        <v>0</v>
      </c>
    </row>
    <row r="562">
      <c r="A562" s="5" t="inlineStr">
        <is>
          <t>01a152b9-7975-74c0-8d85-743f46fe41cf</t>
        </is>
      </c>
      <c r="C562" s="5" t="inlineStr">
        <is>
          <t>01a152b9-6e67-75da-8adb-b03e5d07fd21</t>
        </is>
      </c>
      <c r="D562" s="4" t="n">
        <v>46314.2459421079</v>
      </c>
      <c r="E562" s="4" t="n">
        <v>46314.245942108</v>
      </c>
      <c r="F562" t="b">
        <v>1</v>
      </c>
      <c r="G562" t="n">
        <v/>
      </c>
      <c r="H562" t="inlineStr">
        <is>
          <t>DUR</t>
        </is>
      </c>
      <c r="I562" t="inlineStr">
        <is>
          <t>Duratec Ltd</t>
        </is>
      </c>
      <c r="J562" t="inlineStr">
        <is>
          <t>AUD</t>
        </is>
      </c>
      <c r="K562" s="5" t="inlineStr">
        <is>
          <t>01a152b9-6ee2-7577-bddd-382bc3853fde</t>
        </is>
      </c>
      <c r="M562" t="inlineStr">
        <is>
          <t>UNKNOWN</t>
        </is>
      </c>
      <c r="N562" t="inlineStr">
        <is>
          <t>DEFAULT</t>
        </is>
      </c>
      <c r="Q562" t="n">
        <v>0</v>
      </c>
      <c r="R562" t="inlineStr">
        <is>
          <t>AUD</t>
        </is>
      </c>
      <c r="S562" t="n">
        <v>0</v>
      </c>
      <c r="T562" t="inlineStr">
        <is>
          <t>AUD</t>
        </is>
      </c>
      <c r="U562" t="n">
        <v>0</v>
      </c>
    </row>
    <row r="563">
      <c r="A563" s="5" t="inlineStr">
        <is>
          <t>01a152b9-7979-7565-a67d-bd7b4ba2f842</t>
        </is>
      </c>
      <c r="C563" s="5" t="inlineStr">
        <is>
          <t>01a152b9-6e67-75da-8adb-b03e5d07fd21</t>
        </is>
      </c>
      <c r="D563" s="4" t="n">
        <v>46314.24594214456</v>
      </c>
      <c r="E563" s="4" t="n">
        <v>46314.24594214465</v>
      </c>
      <c r="F563" t="b">
        <v>1</v>
      </c>
      <c r="G563" t="n">
        <v/>
      </c>
      <c r="H563" t="inlineStr">
        <is>
          <t>EX20</t>
        </is>
      </c>
      <c r="I563" t="inlineStr">
        <is>
          <t>Betashares Australian Ex-20 Portfolio Diversifier ETF</t>
        </is>
      </c>
      <c r="J563" t="inlineStr">
        <is>
          <t>AUD</t>
        </is>
      </c>
      <c r="K563" s="5" t="inlineStr">
        <is>
          <t>01a152b9-6ee2-7577-bddd-382bc3853fde</t>
        </is>
      </c>
      <c r="M563" t="inlineStr">
        <is>
          <t>UNKNOWN</t>
        </is>
      </c>
      <c r="N563" t="inlineStr">
        <is>
          <t>DEFAULT</t>
        </is>
      </c>
      <c r="Q563" t="n">
        <v>0</v>
      </c>
      <c r="R563" t="inlineStr">
        <is>
          <t>AUD</t>
        </is>
      </c>
      <c r="S563" t="n">
        <v>0</v>
      </c>
      <c r="T563" t="inlineStr">
        <is>
          <t>AUD</t>
        </is>
      </c>
      <c r="U563" t="n">
        <v>0</v>
      </c>
    </row>
    <row r="564">
      <c r="A564" s="5" t="inlineStr">
        <is>
          <t>01a152b9-797c-72f6-8cc8-612caf61c3c9</t>
        </is>
      </c>
      <c r="C564" s="5" t="inlineStr">
        <is>
          <t>01a152b9-6e67-75da-8adb-b03e5d07fd21</t>
        </is>
      </c>
      <c r="D564" s="4" t="n">
        <v>46314.24594217818</v>
      </c>
      <c r="E564" s="4" t="n">
        <v>46314.24594217828</v>
      </c>
      <c r="F564" t="b">
        <v>1</v>
      </c>
      <c r="G564" t="n">
        <v/>
      </c>
      <c r="H564" t="inlineStr">
        <is>
          <t>TECH</t>
        </is>
      </c>
      <c r="I564" t="inlineStr">
        <is>
          <t>Global X Morningstar Global Technology ETF</t>
        </is>
      </c>
      <c r="J564" t="inlineStr">
        <is>
          <t>AUD</t>
        </is>
      </c>
      <c r="K564" s="5" t="inlineStr">
        <is>
          <t>01a152b9-6ee2-7577-bddd-382bc3853fde</t>
        </is>
      </c>
      <c r="M564" t="inlineStr">
        <is>
          <t>UNKNOWN</t>
        </is>
      </c>
      <c r="N564" t="inlineStr">
        <is>
          <t>DEFAULT</t>
        </is>
      </c>
      <c r="Q564" t="n">
        <v>0</v>
      </c>
      <c r="R564" t="inlineStr">
        <is>
          <t>AUD</t>
        </is>
      </c>
      <c r="S564" t="n">
        <v>0</v>
      </c>
      <c r="T564" t="inlineStr">
        <is>
          <t>AUD</t>
        </is>
      </c>
      <c r="U564" t="n">
        <v>0</v>
      </c>
    </row>
    <row r="565">
      <c r="A565" s="5" t="inlineStr">
        <is>
          <t>01a152b9-797f-77f4-a80f-b784ae5a6a0e</t>
        </is>
      </c>
      <c r="C565" s="5" t="inlineStr">
        <is>
          <t>01a152b9-6e67-75da-8adb-b03e5d07fd21</t>
        </is>
      </c>
      <c r="D565" s="4" t="n">
        <v>46314.24594221858</v>
      </c>
      <c r="E565" s="4" t="n">
        <v>46314.24594221867</v>
      </c>
      <c r="F565" t="b">
        <v>1</v>
      </c>
      <c r="G565" t="n">
        <v/>
      </c>
      <c r="H565" t="inlineStr">
        <is>
          <t>CDP</t>
        </is>
      </c>
      <c r="I565" t="inlineStr">
        <is>
          <t>Carindale Property Trust</t>
        </is>
      </c>
      <c r="J565" t="inlineStr">
        <is>
          <t>AUD</t>
        </is>
      </c>
      <c r="K565" s="5" t="inlineStr">
        <is>
          <t>01a152b9-6ee2-7577-bddd-382bc3853fde</t>
        </is>
      </c>
      <c r="M565" t="inlineStr">
        <is>
          <t>UNKNOWN</t>
        </is>
      </c>
      <c r="N565" t="inlineStr">
        <is>
          <t>DEFAULT</t>
        </is>
      </c>
      <c r="Q565" t="n">
        <v>0</v>
      </c>
      <c r="R565" t="inlineStr">
        <is>
          <t>AUD</t>
        </is>
      </c>
      <c r="S565" t="n">
        <v>0</v>
      </c>
      <c r="T565" t="inlineStr">
        <is>
          <t>AUD</t>
        </is>
      </c>
      <c r="U565" t="n">
        <v>0</v>
      </c>
    </row>
    <row r="566">
      <c r="A566" s="5" t="inlineStr">
        <is>
          <t>01a152b9-7982-757f-a83c-d311a9653d33</t>
        </is>
      </c>
      <c r="C566" s="5" t="inlineStr">
        <is>
          <t>01a152b9-6e67-75da-8adb-b03e5d07fd21</t>
        </is>
      </c>
      <c r="D566" s="4" t="n">
        <v>46314.2459422567</v>
      </c>
      <c r="E566" s="4" t="n">
        <v>46314.24594225679</v>
      </c>
      <c r="F566" t="b">
        <v>1</v>
      </c>
      <c r="G566" t="n">
        <v/>
      </c>
      <c r="H566" t="inlineStr">
        <is>
          <t>SUNPJ</t>
        </is>
      </c>
      <c r="I566" t="inlineStr">
        <is>
          <t>Suncorp Group Ltd</t>
        </is>
      </c>
      <c r="J566" t="inlineStr">
        <is>
          <t>AUD</t>
        </is>
      </c>
      <c r="K566" s="5" t="inlineStr">
        <is>
          <t>01a152b9-6ee2-7577-bddd-382bc3853fde</t>
        </is>
      </c>
      <c r="M566" t="inlineStr">
        <is>
          <t>UNKNOWN</t>
        </is>
      </c>
      <c r="N566" t="inlineStr">
        <is>
          <t>DEFAULT</t>
        </is>
      </c>
      <c r="Q566" t="n">
        <v>0</v>
      </c>
      <c r="R566" t="inlineStr">
        <is>
          <t>AUD</t>
        </is>
      </c>
      <c r="S566" t="n">
        <v>0</v>
      </c>
      <c r="T566" t="inlineStr">
        <is>
          <t>AUD</t>
        </is>
      </c>
      <c r="U566" t="n">
        <v>0</v>
      </c>
    </row>
    <row r="567">
      <c r="A567" s="5" t="inlineStr">
        <is>
          <t>01a152b9-7985-7463-8bb8-03c97a9013af</t>
        </is>
      </c>
      <c r="C567" s="5" t="inlineStr">
        <is>
          <t>01a152b9-6e67-75da-8adb-b03e5d07fd21</t>
        </is>
      </c>
      <c r="D567" s="4" t="n">
        <v>46314.24594229127</v>
      </c>
      <c r="E567" s="4" t="n">
        <v>46314.24594229139</v>
      </c>
      <c r="F567" t="b">
        <v>1</v>
      </c>
      <c r="G567" t="n">
        <v/>
      </c>
      <c r="H567" t="inlineStr">
        <is>
          <t>CGFPD</t>
        </is>
      </c>
      <c r="I567" t="inlineStr">
        <is>
          <t>Challenger Ltd</t>
        </is>
      </c>
      <c r="J567" t="inlineStr">
        <is>
          <t>AUD</t>
        </is>
      </c>
      <c r="K567" s="5" t="inlineStr">
        <is>
          <t>01a152b9-6ee2-7577-bddd-382bc3853fde</t>
        </is>
      </c>
      <c r="M567" t="inlineStr">
        <is>
          <t>UNKNOWN</t>
        </is>
      </c>
      <c r="N567" t="inlineStr">
        <is>
          <t>DEFAULT</t>
        </is>
      </c>
      <c r="Q567" t="n">
        <v>0</v>
      </c>
      <c r="R567" t="inlineStr">
        <is>
          <t>AUD</t>
        </is>
      </c>
      <c r="S567" t="n">
        <v>0</v>
      </c>
      <c r="T567" t="inlineStr">
        <is>
          <t>AUD</t>
        </is>
      </c>
      <c r="U567" t="n">
        <v>0</v>
      </c>
    </row>
    <row r="568">
      <c r="A568" s="5" t="inlineStr">
        <is>
          <t>01a152b9-7988-74ce-a9be-8341a9fa6b21</t>
        </is>
      </c>
      <c r="C568" s="5" t="inlineStr">
        <is>
          <t>01a152b9-6e67-75da-8adb-b03e5d07fd21</t>
        </is>
      </c>
      <c r="D568" s="4" t="n">
        <v>46314.2459423257</v>
      </c>
      <c r="E568" s="4" t="n">
        <v>46314.24594232579</v>
      </c>
      <c r="F568" t="b">
        <v>1</v>
      </c>
      <c r="G568" t="n">
        <v/>
      </c>
      <c r="H568" t="inlineStr">
        <is>
          <t>IGB</t>
        </is>
      </c>
      <c r="I568" t="inlineStr">
        <is>
          <t>Ishares Treasury ETF</t>
        </is>
      </c>
      <c r="J568" t="inlineStr">
        <is>
          <t>AUD</t>
        </is>
      </c>
      <c r="K568" s="5" t="inlineStr">
        <is>
          <t>01a152b9-6ee2-7577-bddd-382bc3853fde</t>
        </is>
      </c>
      <c r="M568" t="inlineStr">
        <is>
          <t>UNKNOWN</t>
        </is>
      </c>
      <c r="N568" t="inlineStr">
        <is>
          <t>DEFAULT</t>
        </is>
      </c>
      <c r="Q568" t="n">
        <v>0</v>
      </c>
      <c r="R568" t="inlineStr">
        <is>
          <t>AUD</t>
        </is>
      </c>
      <c r="S568" t="n">
        <v>0</v>
      </c>
      <c r="T568" t="inlineStr">
        <is>
          <t>AUD</t>
        </is>
      </c>
      <c r="U568" t="n">
        <v>0</v>
      </c>
    </row>
    <row r="569">
      <c r="A569" s="5" t="inlineStr">
        <is>
          <t>01a152b9-798c-7727-b138-4c6c4fe9faea</t>
        </is>
      </c>
      <c r="C569" s="5" t="inlineStr">
        <is>
          <t>01a152b9-6e67-75da-8adb-b03e5d07fd21</t>
        </is>
      </c>
      <c r="D569" s="4" t="n">
        <v>46314.24594236705</v>
      </c>
      <c r="E569" s="4" t="n">
        <v>46314.24594236714</v>
      </c>
      <c r="F569" t="b">
        <v>1</v>
      </c>
      <c r="G569" t="n">
        <v/>
      </c>
      <c r="H569" t="inlineStr">
        <is>
          <t>AMH</t>
        </is>
      </c>
      <c r="I569" t="inlineStr">
        <is>
          <t>Amcil Ltd</t>
        </is>
      </c>
      <c r="J569" t="inlineStr">
        <is>
          <t>AUD</t>
        </is>
      </c>
      <c r="K569" s="5" t="inlineStr">
        <is>
          <t>01a152b9-6ee2-7577-bddd-382bc3853fde</t>
        </is>
      </c>
      <c r="M569" t="inlineStr">
        <is>
          <t>COMPANY</t>
        </is>
      </c>
      <c r="N569" t="inlineStr">
        <is>
          <t>SUGGESTED</t>
        </is>
      </c>
      <c r="Q569" t="n">
        <v>0</v>
      </c>
      <c r="R569" t="inlineStr">
        <is>
          <t>AUD</t>
        </is>
      </c>
      <c r="S569" t="n">
        <v>0</v>
      </c>
      <c r="T569" t="inlineStr">
        <is>
          <t>AUD</t>
        </is>
      </c>
      <c r="U569" t="n">
        <v>0</v>
      </c>
    </row>
    <row r="570">
      <c r="A570" s="5" t="inlineStr">
        <is>
          <t>01a152b9-7990-74ff-aaf7-a7fb238feb96</t>
        </is>
      </c>
      <c r="C570" s="5" t="inlineStr">
        <is>
          <t>01a152b9-6e67-75da-8adb-b03e5d07fd21</t>
        </is>
      </c>
      <c r="D570" s="4" t="n">
        <v>46314.24594241134</v>
      </c>
      <c r="E570" s="4" t="n">
        <v>46314.24594241143</v>
      </c>
      <c r="F570" t="b">
        <v>1</v>
      </c>
      <c r="G570" t="n">
        <v/>
      </c>
      <c r="H570" t="inlineStr">
        <is>
          <t>KCN</t>
        </is>
      </c>
      <c r="I570" t="inlineStr">
        <is>
          <t>Kingsgate Consolidated Ltd</t>
        </is>
      </c>
      <c r="J570" t="inlineStr">
        <is>
          <t>AUD</t>
        </is>
      </c>
      <c r="K570" s="5" t="inlineStr">
        <is>
          <t>01a152b9-6ee2-7577-bddd-382bc3853fde</t>
        </is>
      </c>
      <c r="M570" t="inlineStr">
        <is>
          <t>UNKNOWN</t>
        </is>
      </c>
      <c r="N570" t="inlineStr">
        <is>
          <t>DEFAULT</t>
        </is>
      </c>
      <c r="Q570" t="n">
        <v>0</v>
      </c>
      <c r="R570" t="inlineStr">
        <is>
          <t>AUD</t>
        </is>
      </c>
      <c r="S570" t="n">
        <v>0</v>
      </c>
      <c r="T570" t="inlineStr">
        <is>
          <t>AUD</t>
        </is>
      </c>
      <c r="U570" t="n">
        <v>0</v>
      </c>
    </row>
    <row r="571">
      <c r="A571" s="5" t="inlineStr">
        <is>
          <t>01a152b9-7993-77b1-8cbe-c0fc4df3ff5d</t>
        </is>
      </c>
      <c r="C571" s="5" t="inlineStr">
        <is>
          <t>01a152b9-6e67-75da-8adb-b03e5d07fd21</t>
        </is>
      </c>
      <c r="D571" s="4" t="n">
        <v>46314.24594245401</v>
      </c>
      <c r="E571" s="4" t="n">
        <v>46314.24594245412</v>
      </c>
      <c r="F571" t="b">
        <v>1</v>
      </c>
      <c r="G571" t="n">
        <v/>
      </c>
      <c r="H571" t="inlineStr">
        <is>
          <t>SEMI</t>
        </is>
      </c>
      <c r="I571" t="inlineStr">
        <is>
          <t>Global X Semiconductor ETF</t>
        </is>
      </c>
      <c r="J571" t="inlineStr">
        <is>
          <t>AUD</t>
        </is>
      </c>
      <c r="K571" s="5" t="inlineStr">
        <is>
          <t>01a152b9-6ee2-7577-bddd-382bc3853fde</t>
        </is>
      </c>
      <c r="M571" t="inlineStr">
        <is>
          <t>UNKNOWN</t>
        </is>
      </c>
      <c r="N571" t="inlineStr">
        <is>
          <t>DEFAULT</t>
        </is>
      </c>
      <c r="Q571" t="n">
        <v>0</v>
      </c>
      <c r="R571" t="inlineStr">
        <is>
          <t>AUD</t>
        </is>
      </c>
      <c r="S571" t="n">
        <v>0</v>
      </c>
      <c r="T571" t="inlineStr">
        <is>
          <t>AUD</t>
        </is>
      </c>
      <c r="U571" t="n">
        <v>0</v>
      </c>
    </row>
    <row r="572">
      <c r="A572" s="5" t="inlineStr">
        <is>
          <t>01a152b9-7997-7701-8735-4d0a1229c937</t>
        </is>
      </c>
      <c r="C572" s="5" t="inlineStr">
        <is>
          <t>01a152b9-6e67-75da-8adb-b03e5d07fd21</t>
        </is>
      </c>
      <c r="D572" s="4" t="n">
        <v>46314.24594249643</v>
      </c>
      <c r="E572" s="4" t="n">
        <v>46314.24594249654</v>
      </c>
      <c r="F572" t="b">
        <v>1</v>
      </c>
      <c r="G572" t="n">
        <v/>
      </c>
      <c r="H572" t="inlineStr">
        <is>
          <t>IAGPF</t>
        </is>
      </c>
      <c r="I572" t="inlineStr">
        <is>
          <t>Insurance Australia Group Ltd</t>
        </is>
      </c>
      <c r="J572" t="inlineStr">
        <is>
          <t>AUD</t>
        </is>
      </c>
      <c r="K572" s="5" t="inlineStr">
        <is>
          <t>01a152b9-6ee2-7577-bddd-382bc3853fde</t>
        </is>
      </c>
      <c r="M572" t="inlineStr">
        <is>
          <t>UNKNOWN</t>
        </is>
      </c>
      <c r="N572" t="inlineStr">
        <is>
          <t>DEFAULT</t>
        </is>
      </c>
      <c r="Q572" t="n">
        <v>0</v>
      </c>
      <c r="R572" t="inlineStr">
        <is>
          <t>AUD</t>
        </is>
      </c>
      <c r="S572" t="n">
        <v>0</v>
      </c>
      <c r="T572" t="inlineStr">
        <is>
          <t>AUD</t>
        </is>
      </c>
      <c r="U572" t="n">
        <v>0</v>
      </c>
    </row>
    <row r="573">
      <c r="A573" s="5" t="inlineStr">
        <is>
          <t>01a152b9-799b-7643-80f9-f92b29f2e8c2</t>
        </is>
      </c>
      <c r="C573" s="5" t="inlineStr">
        <is>
          <t>01a152b9-6e67-75da-8adb-b03e5d07fd21</t>
        </is>
      </c>
      <c r="D573" s="4" t="n">
        <v>46314.24594254026</v>
      </c>
      <c r="E573" s="4" t="n">
        <v>46314.24594254035</v>
      </c>
      <c r="F573" t="b">
        <v>1</v>
      </c>
      <c r="G573" t="n">
        <v/>
      </c>
      <c r="H573" t="inlineStr">
        <is>
          <t>MYX</t>
        </is>
      </c>
      <c r="I573" t="inlineStr">
        <is>
          <t>Mayne Pharma Group Ltd</t>
        </is>
      </c>
      <c r="J573" t="inlineStr">
        <is>
          <t>AUD</t>
        </is>
      </c>
      <c r="K573" s="5" t="inlineStr">
        <is>
          <t>01a152b9-6ee2-7577-bddd-382bc3853fde</t>
        </is>
      </c>
      <c r="M573" t="inlineStr">
        <is>
          <t>UNKNOWN</t>
        </is>
      </c>
      <c r="N573" t="inlineStr">
        <is>
          <t>DEFAULT</t>
        </is>
      </c>
      <c r="Q573" t="n">
        <v>0</v>
      </c>
      <c r="R573" t="inlineStr">
        <is>
          <t>AUD</t>
        </is>
      </c>
      <c r="S573" t="n">
        <v>0</v>
      </c>
      <c r="T573" t="inlineStr">
        <is>
          <t>AUD</t>
        </is>
      </c>
      <c r="U573" t="n">
        <v>0</v>
      </c>
    </row>
    <row r="574">
      <c r="A574" s="5" t="inlineStr">
        <is>
          <t>01a152b9-799e-712c-83c7-c9984d13dc95</t>
        </is>
      </c>
      <c r="C574" s="5" t="inlineStr">
        <is>
          <t>01a152b9-6e67-75da-8adb-b03e5d07fd21</t>
        </is>
      </c>
      <c r="D574" s="4" t="n">
        <v>46314.24594257897</v>
      </c>
      <c r="E574" s="4" t="n">
        <v>46314.24594257907</v>
      </c>
      <c r="F574" t="b">
        <v>1</v>
      </c>
      <c r="G574" t="n">
        <v/>
      </c>
      <c r="H574" t="inlineStr">
        <is>
          <t>SKT</t>
        </is>
      </c>
      <c r="I574" t="inlineStr">
        <is>
          <t>Sky Network Television Ltd</t>
        </is>
      </c>
      <c r="J574" t="inlineStr">
        <is>
          <t>AUD</t>
        </is>
      </c>
      <c r="K574" s="5" t="inlineStr">
        <is>
          <t>01a152b9-6ee2-7577-bddd-382bc3853fde</t>
        </is>
      </c>
      <c r="M574" t="inlineStr">
        <is>
          <t>UNKNOWN</t>
        </is>
      </c>
      <c r="N574" t="inlineStr">
        <is>
          <t>DEFAULT</t>
        </is>
      </c>
      <c r="Q574" t="n">
        <v>0</v>
      </c>
      <c r="R574" t="inlineStr">
        <is>
          <t>AUD</t>
        </is>
      </c>
      <c r="S574" t="n">
        <v>0</v>
      </c>
      <c r="T574" t="inlineStr">
        <is>
          <t>AUD</t>
        </is>
      </c>
      <c r="U574" t="n">
        <v>0</v>
      </c>
    </row>
    <row r="575">
      <c r="A575" s="5" t="inlineStr">
        <is>
          <t>01a152b9-79a1-775a-abff-e414f2eebf25</t>
        </is>
      </c>
      <c r="C575" s="5" t="inlineStr">
        <is>
          <t>01a152b9-6e67-75da-8adb-b03e5d07fd21</t>
        </is>
      </c>
      <c r="D575" s="4" t="n">
        <v>46314.2459426161</v>
      </c>
      <c r="E575" s="4" t="n">
        <v>46314.24594261622</v>
      </c>
      <c r="F575" t="b">
        <v>1</v>
      </c>
      <c r="G575" t="n">
        <v/>
      </c>
      <c r="H575" t="inlineStr">
        <is>
          <t>NVX</t>
        </is>
      </c>
      <c r="I575" t="inlineStr">
        <is>
          <t>Novonix Ltd</t>
        </is>
      </c>
      <c r="J575" t="inlineStr">
        <is>
          <t>AUD</t>
        </is>
      </c>
      <c r="K575" s="5" t="inlineStr">
        <is>
          <t>01a152b9-6ee2-7577-bddd-382bc3853fde</t>
        </is>
      </c>
      <c r="M575" t="inlineStr">
        <is>
          <t>UNKNOWN</t>
        </is>
      </c>
      <c r="N575" t="inlineStr">
        <is>
          <t>DEFAULT</t>
        </is>
      </c>
      <c r="Q575" t="n">
        <v>0</v>
      </c>
      <c r="R575" t="inlineStr">
        <is>
          <t>AUD</t>
        </is>
      </c>
      <c r="S575" t="n">
        <v>0</v>
      </c>
      <c r="T575" t="inlineStr">
        <is>
          <t>AUD</t>
        </is>
      </c>
      <c r="U575" t="n">
        <v>0</v>
      </c>
    </row>
    <row r="576">
      <c r="A576" s="5" t="inlineStr">
        <is>
          <t>01a152b9-79a4-70a5-bdfb-9617d04bdfa1</t>
        </is>
      </c>
      <c r="C576" s="5" t="inlineStr">
        <is>
          <t>01a152b9-6e67-75da-8adb-b03e5d07fd21</t>
        </is>
      </c>
      <c r="D576" s="4" t="n">
        <v>46314.24594265143</v>
      </c>
      <c r="E576" s="4" t="n">
        <v>46314.24594265153</v>
      </c>
      <c r="F576" t="b">
        <v>1</v>
      </c>
      <c r="G576" t="n">
        <v/>
      </c>
      <c r="H576" t="inlineStr">
        <is>
          <t>GBND</t>
        </is>
      </c>
      <c r="I576" t="inlineStr">
        <is>
          <t>Betashares Sustainability Leaders DVRSFD Bond ETF - Cur HDG</t>
        </is>
      </c>
      <c r="J576" t="inlineStr">
        <is>
          <t>AUD</t>
        </is>
      </c>
      <c r="K576" s="5" t="inlineStr">
        <is>
          <t>01a152b9-6ee2-7577-bddd-382bc3853fde</t>
        </is>
      </c>
      <c r="M576" t="inlineStr">
        <is>
          <t>UNKNOWN</t>
        </is>
      </c>
      <c r="N576" t="inlineStr">
        <is>
          <t>DEFAULT</t>
        </is>
      </c>
      <c r="Q576" t="n">
        <v>0</v>
      </c>
      <c r="R576" t="inlineStr">
        <is>
          <t>AUD</t>
        </is>
      </c>
      <c r="S576" t="n">
        <v>0</v>
      </c>
      <c r="T576" t="inlineStr">
        <is>
          <t>AUD</t>
        </is>
      </c>
      <c r="U576" t="n">
        <v>0</v>
      </c>
    </row>
    <row r="577">
      <c r="A577" s="5" t="inlineStr">
        <is>
          <t>01a152b9-79a8-74f4-b242-a3c746c9bbd8</t>
        </is>
      </c>
      <c r="C577" s="5" t="inlineStr">
        <is>
          <t>01a152b9-6e67-75da-8adb-b03e5d07fd21</t>
        </is>
      </c>
      <c r="D577" s="4" t="n">
        <v>46314.24594268707</v>
      </c>
      <c r="E577" s="4" t="n">
        <v>46314.24594268716</v>
      </c>
      <c r="F577" t="b">
        <v>1</v>
      </c>
      <c r="G577" t="n">
        <v/>
      </c>
      <c r="H577" t="inlineStr">
        <is>
          <t>ASG</t>
        </is>
      </c>
      <c r="I577" t="inlineStr">
        <is>
          <t>Autosports Group Ltd</t>
        </is>
      </c>
      <c r="J577" t="inlineStr">
        <is>
          <t>AUD</t>
        </is>
      </c>
      <c r="K577" s="5" t="inlineStr">
        <is>
          <t>01a152b9-6ee2-7577-bddd-382bc3853fde</t>
        </is>
      </c>
      <c r="M577" t="inlineStr">
        <is>
          <t>UNKNOWN</t>
        </is>
      </c>
      <c r="N577" t="inlineStr">
        <is>
          <t>DEFAULT</t>
        </is>
      </c>
      <c r="Q577" t="n">
        <v>0</v>
      </c>
      <c r="R577" t="inlineStr">
        <is>
          <t>AUD</t>
        </is>
      </c>
      <c r="S577" t="n">
        <v>0</v>
      </c>
      <c r="T577" t="inlineStr">
        <is>
          <t>AUD</t>
        </is>
      </c>
      <c r="U577" t="n">
        <v>0</v>
      </c>
    </row>
    <row r="578">
      <c r="A578" s="5" t="inlineStr">
        <is>
          <t>01a152b9-79ab-76ee-bd41-b1971ac2af3c</t>
        </is>
      </c>
      <c r="C578" s="5" t="inlineStr">
        <is>
          <t>01a152b9-6e67-75da-8adb-b03e5d07fd21</t>
        </is>
      </c>
      <c r="D578" s="4" t="n">
        <v>46314.24594273035</v>
      </c>
      <c r="E578" s="4" t="n">
        <v>46314.24594273051</v>
      </c>
      <c r="F578" t="b">
        <v>1</v>
      </c>
      <c r="G578" t="n">
        <v/>
      </c>
      <c r="H578" t="inlineStr">
        <is>
          <t>MMI</t>
        </is>
      </c>
      <c r="I578" t="inlineStr">
        <is>
          <t>Metro Mining Ltd</t>
        </is>
      </c>
      <c r="J578" t="inlineStr">
        <is>
          <t>AUD</t>
        </is>
      </c>
      <c r="K578" s="5" t="inlineStr">
        <is>
          <t>01a152b9-6ee2-7577-bddd-382bc3853fde</t>
        </is>
      </c>
      <c r="M578" t="inlineStr">
        <is>
          <t>UNKNOWN</t>
        </is>
      </c>
      <c r="N578" t="inlineStr">
        <is>
          <t>DEFAULT</t>
        </is>
      </c>
      <c r="Q578" t="n">
        <v>0</v>
      </c>
      <c r="R578" t="inlineStr">
        <is>
          <t>AUD</t>
        </is>
      </c>
      <c r="S578" t="n">
        <v>0</v>
      </c>
      <c r="T578" t="inlineStr">
        <is>
          <t>AUD</t>
        </is>
      </c>
      <c r="U578" t="n">
        <v>0</v>
      </c>
    </row>
    <row r="579">
      <c r="A579" s="5" t="inlineStr">
        <is>
          <t>01a152b9-79af-75ac-a929-365a8b8ffe00</t>
        </is>
      </c>
      <c r="C579" s="5" t="inlineStr">
        <is>
          <t>01a152b9-6e67-75da-8adb-b03e5d07fd21</t>
        </is>
      </c>
      <c r="D579" s="4" t="n">
        <v>46314.24594276946</v>
      </c>
      <c r="E579" s="4" t="n">
        <v>46314.24594276955</v>
      </c>
      <c r="F579" t="b">
        <v>1</v>
      </c>
      <c r="G579" t="n">
        <v/>
      </c>
      <c r="H579" t="inlineStr">
        <is>
          <t>PLUS</t>
        </is>
      </c>
      <c r="I579" t="inlineStr">
        <is>
          <t>Vaneck Australian Corporate Bond Plus ETF</t>
        </is>
      </c>
      <c r="J579" t="inlineStr">
        <is>
          <t>AUD</t>
        </is>
      </c>
      <c r="K579" s="5" t="inlineStr">
        <is>
          <t>01a152b9-6ee2-7577-bddd-382bc3853fde</t>
        </is>
      </c>
      <c r="M579" t="inlineStr">
        <is>
          <t>UNIT_TRUST</t>
        </is>
      </c>
      <c r="N579" t="inlineStr">
        <is>
          <t>SUGGESTED</t>
        </is>
      </c>
      <c r="Q579" t="n">
        <v>0</v>
      </c>
      <c r="R579" t="inlineStr">
        <is>
          <t>AUD</t>
        </is>
      </c>
      <c r="S579" t="n">
        <v>0</v>
      </c>
      <c r="T579" t="inlineStr">
        <is>
          <t>AUD</t>
        </is>
      </c>
      <c r="U579" t="n">
        <v>0</v>
      </c>
    </row>
    <row r="580">
      <c r="A580" s="5" t="inlineStr">
        <is>
          <t>01a152b9-79b2-72c9-85cc-4aab45601457</t>
        </is>
      </c>
      <c r="C580" s="5" t="inlineStr">
        <is>
          <t>01a152b9-6e67-75da-8adb-b03e5d07fd21</t>
        </is>
      </c>
      <c r="D580" s="4" t="n">
        <v>46314.24594281182</v>
      </c>
      <c r="E580" s="4" t="n">
        <v>46314.24594281192</v>
      </c>
      <c r="F580" t="b">
        <v>1</v>
      </c>
      <c r="G580" t="n">
        <v/>
      </c>
      <c r="H580" t="inlineStr">
        <is>
          <t>F100</t>
        </is>
      </c>
      <c r="I580" t="inlineStr">
        <is>
          <t>Betashares Ftse 100 ETF</t>
        </is>
      </c>
      <c r="J580" t="inlineStr">
        <is>
          <t>AUD</t>
        </is>
      </c>
      <c r="K580" s="5" t="inlineStr">
        <is>
          <t>01a152b9-6ee2-7577-bddd-382bc3853fde</t>
        </is>
      </c>
      <c r="M580" t="inlineStr">
        <is>
          <t>UNKNOWN</t>
        </is>
      </c>
      <c r="N580" t="inlineStr">
        <is>
          <t>DEFAULT</t>
        </is>
      </c>
      <c r="Q580" t="n">
        <v>0</v>
      </c>
      <c r="R580" t="inlineStr">
        <is>
          <t>AUD</t>
        </is>
      </c>
      <c r="S580" t="n">
        <v>0</v>
      </c>
      <c r="T580" t="inlineStr">
        <is>
          <t>AUD</t>
        </is>
      </c>
      <c r="U580" t="n">
        <v>0</v>
      </c>
    </row>
    <row r="581">
      <c r="A581" s="5" t="inlineStr">
        <is>
          <t>01a152b9-79b6-74e6-ba77-f2f766555f30</t>
        </is>
      </c>
      <c r="C581" s="5" t="inlineStr">
        <is>
          <t>01a152b9-6e67-75da-8adb-b03e5d07fd21</t>
        </is>
      </c>
      <c r="D581" s="4" t="n">
        <v>46314.24594285023</v>
      </c>
      <c r="E581" s="4" t="n">
        <v>46314.24594285035</v>
      </c>
      <c r="F581" t="b">
        <v>1</v>
      </c>
      <c r="G581" t="n">
        <v/>
      </c>
      <c r="H581" t="inlineStr">
        <is>
          <t>AQLT</t>
        </is>
      </c>
      <c r="I581" t="inlineStr">
        <is>
          <t>Betashares Australian Quality ETF</t>
        </is>
      </c>
      <c r="J581" t="inlineStr">
        <is>
          <t>AUD</t>
        </is>
      </c>
      <c r="K581" s="5" t="inlineStr">
        <is>
          <t>01a152b9-6ee2-7577-bddd-382bc3853fde</t>
        </is>
      </c>
      <c r="M581" t="inlineStr">
        <is>
          <t>UNKNOWN</t>
        </is>
      </c>
      <c r="N581" t="inlineStr">
        <is>
          <t>DEFAULT</t>
        </is>
      </c>
      <c r="Q581" t="n">
        <v>0</v>
      </c>
      <c r="R581" t="inlineStr">
        <is>
          <t>AUD</t>
        </is>
      </c>
      <c r="S581" t="n">
        <v>0</v>
      </c>
      <c r="T581" t="inlineStr">
        <is>
          <t>AUD</t>
        </is>
      </c>
      <c r="U581" t="n">
        <v>0</v>
      </c>
    </row>
    <row r="582">
      <c r="A582" s="5" t="inlineStr">
        <is>
          <t>01a152b9-79b9-717f-a5b9-84588abc5909</t>
        </is>
      </c>
      <c r="C582" s="5" t="inlineStr">
        <is>
          <t>01a152b9-6e67-75da-8adb-b03e5d07fd21</t>
        </is>
      </c>
      <c r="D582" s="4" t="n">
        <v>46314.24594288991</v>
      </c>
      <c r="E582" s="4" t="n">
        <v>46314.24594289</v>
      </c>
      <c r="F582" t="b">
        <v>1</v>
      </c>
      <c r="G582" t="n">
        <v/>
      </c>
      <c r="H582" t="inlineStr">
        <is>
          <t>L1IF</t>
        </is>
      </c>
      <c r="I582" t="inlineStr">
        <is>
          <t>L1 Capital International Fund (Managed Fund)</t>
        </is>
      </c>
      <c r="J582" t="inlineStr">
        <is>
          <t>AUD</t>
        </is>
      </c>
      <c r="K582" s="5" t="inlineStr">
        <is>
          <t>01a152b9-6ee2-7577-bddd-382bc3853fde</t>
        </is>
      </c>
      <c r="M582" t="inlineStr">
        <is>
          <t>UNKNOWN</t>
        </is>
      </c>
      <c r="N582" t="inlineStr">
        <is>
          <t>DEFAULT</t>
        </is>
      </c>
      <c r="Q582" t="n">
        <v>0</v>
      </c>
      <c r="R582" t="inlineStr">
        <is>
          <t>AUD</t>
        </is>
      </c>
      <c r="S582" t="n">
        <v>0</v>
      </c>
      <c r="T582" t="inlineStr">
        <is>
          <t>AUD</t>
        </is>
      </c>
      <c r="U582" t="n">
        <v>0</v>
      </c>
    </row>
    <row r="583">
      <c r="A583" s="5" t="inlineStr">
        <is>
          <t>01a152b9-79bc-718f-874a-b030703db9d9</t>
        </is>
      </c>
      <c r="C583" s="5" t="inlineStr">
        <is>
          <t>01a152b9-6e67-75da-8adb-b03e5d07fd21</t>
        </is>
      </c>
      <c r="D583" s="4" t="n">
        <v>46314.24594292761</v>
      </c>
      <c r="E583" s="4" t="n">
        <v>46314.24594292771</v>
      </c>
      <c r="F583" t="b">
        <v>1</v>
      </c>
      <c r="G583" t="n">
        <v/>
      </c>
      <c r="H583" t="inlineStr">
        <is>
          <t>ACF</t>
        </is>
      </c>
      <c r="I583" t="inlineStr">
        <is>
          <t>Acrow Ltd</t>
        </is>
      </c>
      <c r="J583" t="inlineStr">
        <is>
          <t>AUD</t>
        </is>
      </c>
      <c r="K583" s="5" t="inlineStr">
        <is>
          <t>01a152b9-6ee2-7577-bddd-382bc3853fde</t>
        </is>
      </c>
      <c r="M583" t="inlineStr">
        <is>
          <t>UNKNOWN</t>
        </is>
      </c>
      <c r="N583" t="inlineStr">
        <is>
          <t>DEFAULT</t>
        </is>
      </c>
      <c r="Q583" t="n">
        <v>0</v>
      </c>
      <c r="R583" t="inlineStr">
        <is>
          <t>AUD</t>
        </is>
      </c>
      <c r="S583" t="n">
        <v>0</v>
      </c>
      <c r="T583" t="inlineStr">
        <is>
          <t>AUD</t>
        </is>
      </c>
      <c r="U583" t="n">
        <v>0</v>
      </c>
    </row>
    <row r="584">
      <c r="A584" s="5" t="inlineStr">
        <is>
          <t>01a152b9-79bf-7764-95f2-752b5c960b4d</t>
        </is>
      </c>
      <c r="C584" s="5" t="inlineStr">
        <is>
          <t>01a152b9-6e67-75da-8adb-b03e5d07fd21</t>
        </is>
      </c>
      <c r="D584" s="4" t="n">
        <v>46314.24594296204</v>
      </c>
      <c r="E584" s="4" t="n">
        <v>46314.24594296212</v>
      </c>
      <c r="F584" t="b">
        <v>1</v>
      </c>
      <c r="G584" t="n">
        <v/>
      </c>
      <c r="H584" t="inlineStr">
        <is>
          <t>QMIX</t>
        </is>
      </c>
      <c r="I584" t="inlineStr">
        <is>
          <t>SPDR MSCI World Quality MIX Fund</t>
        </is>
      </c>
      <c r="J584" t="inlineStr">
        <is>
          <t>AUD</t>
        </is>
      </c>
      <c r="K584" s="5" t="inlineStr">
        <is>
          <t>01a152b9-6ee2-7577-bddd-382bc3853fde</t>
        </is>
      </c>
      <c r="M584" t="inlineStr">
        <is>
          <t>UNKNOWN</t>
        </is>
      </c>
      <c r="N584" t="inlineStr">
        <is>
          <t>DEFAULT</t>
        </is>
      </c>
      <c r="Q584" t="n">
        <v>0</v>
      </c>
      <c r="R584" t="inlineStr">
        <is>
          <t>AUD</t>
        </is>
      </c>
      <c r="S584" t="n">
        <v>0</v>
      </c>
      <c r="T584" t="inlineStr">
        <is>
          <t>AUD</t>
        </is>
      </c>
      <c r="U584" t="n">
        <v>0</v>
      </c>
    </row>
    <row r="585">
      <c r="A585" s="5" t="inlineStr">
        <is>
          <t>01a152b9-79c3-758c-a385-1f623fd1c7b6</t>
        </is>
      </c>
      <c r="C585" s="5" t="inlineStr">
        <is>
          <t>01a152b9-6e67-75da-8adb-b03e5d07fd21</t>
        </is>
      </c>
      <c r="D585" s="4" t="n">
        <v>46314.24594300029</v>
      </c>
      <c r="E585" s="4" t="n">
        <v>46314.24594300039</v>
      </c>
      <c r="F585" t="b">
        <v>1</v>
      </c>
      <c r="G585" t="n">
        <v/>
      </c>
      <c r="H585" t="inlineStr">
        <is>
          <t>MAU</t>
        </is>
      </c>
      <c r="I585" t="inlineStr">
        <is>
          <t>Magnetic Resources NL</t>
        </is>
      </c>
      <c r="J585" t="inlineStr">
        <is>
          <t>AUD</t>
        </is>
      </c>
      <c r="K585" s="5" t="inlineStr">
        <is>
          <t>01a152b9-6ee2-7577-bddd-382bc3853fde</t>
        </is>
      </c>
      <c r="M585" t="inlineStr">
        <is>
          <t>UNKNOWN</t>
        </is>
      </c>
      <c r="N585" t="inlineStr">
        <is>
          <t>DEFAULT</t>
        </is>
      </c>
      <c r="Q585" t="n">
        <v>0</v>
      </c>
      <c r="R585" t="inlineStr">
        <is>
          <t>AUD</t>
        </is>
      </c>
      <c r="S585" t="n">
        <v>0</v>
      </c>
      <c r="T585" t="inlineStr">
        <is>
          <t>AUD</t>
        </is>
      </c>
      <c r="U585" t="n">
        <v>0</v>
      </c>
    </row>
    <row r="586">
      <c r="A586" s="5" t="inlineStr">
        <is>
          <t>01a152b9-79c6-7091-b2cf-27ce9ab1e4ba</t>
        </is>
      </c>
      <c r="C586" s="5" t="inlineStr">
        <is>
          <t>01a152b9-6e67-75da-8adb-b03e5d07fd21</t>
        </is>
      </c>
      <c r="D586" s="4" t="n">
        <v>46314.2459430403</v>
      </c>
      <c r="E586" s="4" t="n">
        <v>46314.24594304042</v>
      </c>
      <c r="F586" t="b">
        <v>1</v>
      </c>
      <c r="G586" t="n">
        <v/>
      </c>
      <c r="H586" t="inlineStr">
        <is>
          <t>SGR</t>
        </is>
      </c>
      <c r="I586" t="inlineStr">
        <is>
          <t>The Star Entertainment Group Ltd</t>
        </is>
      </c>
      <c r="J586" t="inlineStr">
        <is>
          <t>AUD</t>
        </is>
      </c>
      <c r="K586" s="5" t="inlineStr">
        <is>
          <t>01a152b9-6ee2-7577-bddd-382bc3853fde</t>
        </is>
      </c>
      <c r="M586" t="inlineStr">
        <is>
          <t>UNKNOWN</t>
        </is>
      </c>
      <c r="N586" t="inlineStr">
        <is>
          <t>DEFAULT</t>
        </is>
      </c>
      <c r="Q586" t="n">
        <v>0</v>
      </c>
      <c r="R586" t="inlineStr">
        <is>
          <t>AUD</t>
        </is>
      </c>
      <c r="S586" t="n">
        <v>0</v>
      </c>
      <c r="T586" t="inlineStr">
        <is>
          <t>AUD</t>
        </is>
      </c>
      <c r="U586" t="n">
        <v>0</v>
      </c>
    </row>
    <row r="587">
      <c r="A587" s="5" t="inlineStr">
        <is>
          <t>01a152b9-79c9-7466-bc2a-2bb3ef0e5f78</t>
        </is>
      </c>
      <c r="C587" s="5" t="inlineStr">
        <is>
          <t>01a152b9-6e67-75da-8adb-b03e5d07fd21</t>
        </is>
      </c>
      <c r="D587" s="4" t="n">
        <v>46314.24594307919</v>
      </c>
      <c r="E587" s="4" t="n">
        <v>46314.2459430793</v>
      </c>
      <c r="F587" t="b">
        <v>1</v>
      </c>
      <c r="G587" t="n">
        <v/>
      </c>
      <c r="H587" t="inlineStr">
        <is>
          <t>MVE</t>
        </is>
      </c>
      <c r="I587" t="inlineStr">
        <is>
          <t>Vaneck S&amp;P/ASX Midcap ETF</t>
        </is>
      </c>
      <c r="J587" t="inlineStr">
        <is>
          <t>AUD</t>
        </is>
      </c>
      <c r="K587" s="5" t="inlineStr">
        <is>
          <t>01a152b9-6ee2-7577-bddd-382bc3853fde</t>
        </is>
      </c>
      <c r="M587" t="inlineStr">
        <is>
          <t>UNKNOWN</t>
        </is>
      </c>
      <c r="N587" t="inlineStr">
        <is>
          <t>DEFAULT</t>
        </is>
      </c>
      <c r="Q587" t="n">
        <v>0</v>
      </c>
      <c r="R587" t="inlineStr">
        <is>
          <t>AUD</t>
        </is>
      </c>
      <c r="S587" t="n">
        <v>0</v>
      </c>
      <c r="T587" t="inlineStr">
        <is>
          <t>AUD</t>
        </is>
      </c>
      <c r="U587" t="n">
        <v>0</v>
      </c>
    </row>
    <row r="588">
      <c r="A588" s="5" t="inlineStr">
        <is>
          <t>01a152b9-79cd-779c-a9d2-f74a7cc9efe9</t>
        </is>
      </c>
      <c r="C588" s="5" t="inlineStr">
        <is>
          <t>01a152b9-6e67-75da-8adb-b03e5d07fd21</t>
        </is>
      </c>
      <c r="D588" s="4" t="n">
        <v>46314.24594312099</v>
      </c>
      <c r="E588" s="4" t="n">
        <v>46314.24594312109</v>
      </c>
      <c r="F588" t="b">
        <v>1</v>
      </c>
      <c r="G588" t="n">
        <v/>
      </c>
      <c r="H588" t="inlineStr">
        <is>
          <t>IGL</t>
        </is>
      </c>
      <c r="I588" t="inlineStr">
        <is>
          <t>Ive Group Ltd</t>
        </is>
      </c>
      <c r="J588" t="inlineStr">
        <is>
          <t>AUD</t>
        </is>
      </c>
      <c r="K588" s="5" t="inlineStr">
        <is>
          <t>01a152b9-6ee2-7577-bddd-382bc3853fde</t>
        </is>
      </c>
      <c r="M588" t="inlineStr">
        <is>
          <t>UNKNOWN</t>
        </is>
      </c>
      <c r="N588" t="inlineStr">
        <is>
          <t>DEFAULT</t>
        </is>
      </c>
      <c r="Q588" t="n">
        <v>0</v>
      </c>
      <c r="R588" t="inlineStr">
        <is>
          <t>AUD</t>
        </is>
      </c>
      <c r="S588" t="n">
        <v>0</v>
      </c>
      <c r="T588" t="inlineStr">
        <is>
          <t>AUD</t>
        </is>
      </c>
      <c r="U588" t="n">
        <v>0</v>
      </c>
    </row>
    <row r="589">
      <c r="A589" s="5" t="inlineStr">
        <is>
          <t>01a152b9-79d1-7517-9366-3c26cd38c8c1</t>
        </is>
      </c>
      <c r="C589" s="5" t="inlineStr">
        <is>
          <t>01a152b9-6e67-75da-8adb-b03e5d07fd21</t>
        </is>
      </c>
      <c r="D589" s="4" t="n">
        <v>46314.24594316215</v>
      </c>
      <c r="E589" s="4" t="n">
        <v>46314.24594316228</v>
      </c>
      <c r="F589" t="b">
        <v>1</v>
      </c>
      <c r="G589" t="n">
        <v/>
      </c>
      <c r="H589" t="inlineStr">
        <is>
          <t>AGX1</t>
        </is>
      </c>
      <c r="I589" t="inlineStr">
        <is>
          <t>Antipodes Global Shares (Quoted Managed Fund)</t>
        </is>
      </c>
      <c r="J589" t="inlineStr">
        <is>
          <t>AUD</t>
        </is>
      </c>
      <c r="K589" s="5" t="inlineStr">
        <is>
          <t>01a152b9-6ee2-7577-bddd-382bc3853fde</t>
        </is>
      </c>
      <c r="M589" t="inlineStr">
        <is>
          <t>UNKNOWN</t>
        </is>
      </c>
      <c r="N589" t="inlineStr">
        <is>
          <t>DEFAULT</t>
        </is>
      </c>
      <c r="Q589" t="n">
        <v>0</v>
      </c>
      <c r="R589" t="inlineStr">
        <is>
          <t>AUD</t>
        </is>
      </c>
      <c r="S589" t="n">
        <v>0</v>
      </c>
      <c r="T589" t="inlineStr">
        <is>
          <t>AUD</t>
        </is>
      </c>
      <c r="U589" t="n">
        <v>0</v>
      </c>
    </row>
    <row r="590">
      <c r="A590" s="5" t="inlineStr">
        <is>
          <t>01a152b9-79d4-756f-95df-45cf91a55782</t>
        </is>
      </c>
      <c r="C590" s="5" t="inlineStr">
        <is>
          <t>01a152b9-6e67-75da-8adb-b03e5d07fd21</t>
        </is>
      </c>
      <c r="D590" s="4" t="n">
        <v>46314.24594320751</v>
      </c>
      <c r="E590" s="4" t="n">
        <v>46314.24594320763</v>
      </c>
      <c r="F590" t="b">
        <v>1</v>
      </c>
      <c r="G590" t="n">
        <v/>
      </c>
      <c r="H590" t="inlineStr">
        <is>
          <t>HZN</t>
        </is>
      </c>
      <c r="I590" t="inlineStr">
        <is>
          <t>Horizon Oil Ltd</t>
        </is>
      </c>
      <c r="J590" t="inlineStr">
        <is>
          <t>AUD</t>
        </is>
      </c>
      <c r="K590" s="5" t="inlineStr">
        <is>
          <t>01a152b9-6ee2-7577-bddd-382bc3853fde</t>
        </is>
      </c>
      <c r="M590" t="inlineStr">
        <is>
          <t>UNKNOWN</t>
        </is>
      </c>
      <c r="N590" t="inlineStr">
        <is>
          <t>DEFAULT</t>
        </is>
      </c>
      <c r="Q590" t="n">
        <v>0</v>
      </c>
      <c r="R590" t="inlineStr">
        <is>
          <t>AUD</t>
        </is>
      </c>
      <c r="S590" t="n">
        <v>0</v>
      </c>
      <c r="T590" t="inlineStr">
        <is>
          <t>AUD</t>
        </is>
      </c>
      <c r="U590" t="n">
        <v>0</v>
      </c>
    </row>
    <row r="591">
      <c r="A591" s="5" t="inlineStr">
        <is>
          <t>01a152b9-79d8-701e-b4b0-df37cc36b661</t>
        </is>
      </c>
      <c r="C591" s="5" t="inlineStr">
        <is>
          <t>01a152b9-6e67-75da-8adb-b03e5d07fd21</t>
        </is>
      </c>
      <c r="D591" s="4" t="n">
        <v>46314.24594325136</v>
      </c>
      <c r="E591" s="4" t="n">
        <v>46314.24594325148</v>
      </c>
      <c r="F591" t="b">
        <v>1</v>
      </c>
      <c r="G591" t="n">
        <v/>
      </c>
      <c r="H591" t="inlineStr">
        <is>
          <t>TTT</t>
        </is>
      </c>
      <c r="I591" t="inlineStr">
        <is>
          <t>Titomic Ltd</t>
        </is>
      </c>
      <c r="J591" t="inlineStr">
        <is>
          <t>AUD</t>
        </is>
      </c>
      <c r="K591" s="5" t="inlineStr">
        <is>
          <t>01a152b9-6ee2-7577-bddd-382bc3853fde</t>
        </is>
      </c>
      <c r="M591" t="inlineStr">
        <is>
          <t>UNKNOWN</t>
        </is>
      </c>
      <c r="N591" t="inlineStr">
        <is>
          <t>DEFAULT</t>
        </is>
      </c>
      <c r="Q591" t="n">
        <v>0</v>
      </c>
      <c r="R591" t="inlineStr">
        <is>
          <t>AUD</t>
        </is>
      </c>
      <c r="S591" t="n">
        <v>0</v>
      </c>
      <c r="T591" t="inlineStr">
        <is>
          <t>AUD</t>
        </is>
      </c>
      <c r="U591" t="n">
        <v>0</v>
      </c>
    </row>
    <row r="592">
      <c r="A592" s="5" t="inlineStr">
        <is>
          <t>01a152b9-79db-772c-877e-a8871b231a27</t>
        </is>
      </c>
      <c r="C592" s="5" t="inlineStr">
        <is>
          <t>01a152b9-6e67-75da-8adb-b03e5d07fd21</t>
        </is>
      </c>
      <c r="D592" s="4" t="n">
        <v>46314.24594328753</v>
      </c>
      <c r="E592" s="4" t="n">
        <v>46314.24594328764</v>
      </c>
      <c r="F592" t="b">
        <v>1</v>
      </c>
      <c r="G592" t="n">
        <v/>
      </c>
      <c r="H592" t="inlineStr">
        <is>
          <t>ALK</t>
        </is>
      </c>
      <c r="I592" t="inlineStr">
        <is>
          <t>Alkane Resources Ltd</t>
        </is>
      </c>
      <c r="J592" t="inlineStr">
        <is>
          <t>AUD</t>
        </is>
      </c>
      <c r="K592" s="5" t="inlineStr">
        <is>
          <t>01a152b9-6ee2-7577-bddd-382bc3853fde</t>
        </is>
      </c>
      <c r="M592" t="inlineStr">
        <is>
          <t>UNKNOWN</t>
        </is>
      </c>
      <c r="N592" t="inlineStr">
        <is>
          <t>DEFAULT</t>
        </is>
      </c>
      <c r="Q592" t="n">
        <v>0</v>
      </c>
      <c r="R592" t="inlineStr">
        <is>
          <t>AUD</t>
        </is>
      </c>
      <c r="S592" t="n">
        <v>0</v>
      </c>
      <c r="T592" t="inlineStr">
        <is>
          <t>AUD</t>
        </is>
      </c>
      <c r="U592" t="n">
        <v>0</v>
      </c>
    </row>
    <row r="593">
      <c r="A593" s="5" t="inlineStr">
        <is>
          <t>01a152b9-79df-77d7-9f11-74e5a654b083</t>
        </is>
      </c>
      <c r="C593" s="5" t="inlineStr">
        <is>
          <t>01a152b9-6e67-75da-8adb-b03e5d07fd21</t>
        </is>
      </c>
      <c r="D593" s="4" t="n">
        <v>46314.24594332803</v>
      </c>
      <c r="E593" s="4" t="n">
        <v>46314.24594332816</v>
      </c>
      <c r="F593" t="b">
        <v>1</v>
      </c>
      <c r="G593" t="n">
        <v/>
      </c>
      <c r="H593" t="inlineStr">
        <is>
          <t>ATEC</t>
        </is>
      </c>
      <c r="I593" t="inlineStr">
        <is>
          <t>Betashares S&amp;P/ASX Australian Technology ETF</t>
        </is>
      </c>
      <c r="J593" t="inlineStr">
        <is>
          <t>AUD</t>
        </is>
      </c>
      <c r="K593" s="5" t="inlineStr">
        <is>
          <t>01a152b9-6ee2-7577-bddd-382bc3853fde</t>
        </is>
      </c>
      <c r="M593" t="inlineStr">
        <is>
          <t>UNKNOWN</t>
        </is>
      </c>
      <c r="N593" t="inlineStr">
        <is>
          <t>DEFAULT</t>
        </is>
      </c>
      <c r="Q593" t="n">
        <v>0</v>
      </c>
      <c r="R593" t="inlineStr">
        <is>
          <t>AUD</t>
        </is>
      </c>
      <c r="S593" t="n">
        <v>0</v>
      </c>
      <c r="T593" t="inlineStr">
        <is>
          <t>AUD</t>
        </is>
      </c>
      <c r="U593" t="n">
        <v>0</v>
      </c>
    </row>
    <row r="594">
      <c r="A594" s="5" t="inlineStr">
        <is>
          <t>01a152b9-79e2-71de-952a-b2af690f6c6f</t>
        </is>
      </c>
      <c r="C594" s="5" t="inlineStr">
        <is>
          <t>01a152b9-6e67-75da-8adb-b03e5d07fd21</t>
        </is>
      </c>
      <c r="D594" s="4" t="n">
        <v>46314.24594336862</v>
      </c>
      <c r="E594" s="4" t="n">
        <v>46314.24594336875</v>
      </c>
      <c r="F594" t="b">
        <v>1</v>
      </c>
      <c r="G594" t="n">
        <v/>
      </c>
      <c r="H594" t="inlineStr">
        <is>
          <t>ARU</t>
        </is>
      </c>
      <c r="I594" t="inlineStr">
        <is>
          <t>Arafura Rare EARTHS Ltd</t>
        </is>
      </c>
      <c r="J594" t="inlineStr">
        <is>
          <t>AUD</t>
        </is>
      </c>
      <c r="K594" s="5" t="inlineStr">
        <is>
          <t>01a152b9-6ee2-7577-bddd-382bc3853fde</t>
        </is>
      </c>
      <c r="M594" t="inlineStr">
        <is>
          <t>UNKNOWN</t>
        </is>
      </c>
      <c r="N594" t="inlineStr">
        <is>
          <t>DEFAULT</t>
        </is>
      </c>
      <c r="Q594" t="n">
        <v>0</v>
      </c>
      <c r="R594" t="inlineStr">
        <is>
          <t>AUD</t>
        </is>
      </c>
      <c r="S594" t="n">
        <v>0</v>
      </c>
      <c r="T594" t="inlineStr">
        <is>
          <t>AUD</t>
        </is>
      </c>
      <c r="U594" t="n">
        <v>0</v>
      </c>
    </row>
    <row r="595">
      <c r="A595" s="5" t="inlineStr">
        <is>
          <t>01a152b9-79e6-72c6-ae46-9f79ebc9fdaa</t>
        </is>
      </c>
      <c r="C595" s="5" t="inlineStr">
        <is>
          <t>01a152b9-6e67-75da-8adb-b03e5d07fd21</t>
        </is>
      </c>
      <c r="D595" s="4" t="n">
        <v>46314.24594341612</v>
      </c>
      <c r="E595" s="4" t="n">
        <v>46314.24594341626</v>
      </c>
      <c r="F595" t="b">
        <v>1</v>
      </c>
      <c r="G595" t="n">
        <v/>
      </c>
      <c r="H595" t="inlineStr">
        <is>
          <t>KSL</t>
        </is>
      </c>
      <c r="I595" t="inlineStr">
        <is>
          <t>Kina Securities Ltd</t>
        </is>
      </c>
      <c r="J595" t="inlineStr">
        <is>
          <t>AUD</t>
        </is>
      </c>
      <c r="K595" s="5" t="inlineStr">
        <is>
          <t>01a152b9-6ee2-7577-bddd-382bc3853fde</t>
        </is>
      </c>
      <c r="M595" t="inlineStr">
        <is>
          <t>UNKNOWN</t>
        </is>
      </c>
      <c r="N595" t="inlineStr">
        <is>
          <t>DEFAULT</t>
        </is>
      </c>
      <c r="Q595" t="n">
        <v>0</v>
      </c>
      <c r="R595" t="inlineStr">
        <is>
          <t>AUD</t>
        </is>
      </c>
      <c r="S595" t="n">
        <v>0</v>
      </c>
      <c r="T595" t="inlineStr">
        <is>
          <t>AUD</t>
        </is>
      </c>
      <c r="U595" t="n">
        <v>0</v>
      </c>
    </row>
    <row r="596">
      <c r="A596" s="5" t="inlineStr">
        <is>
          <t>01a152b9-79eb-7722-914e-e72cc7f0d0b9</t>
        </is>
      </c>
      <c r="C596" s="5" t="inlineStr">
        <is>
          <t>01a152b9-6e67-75da-8adb-b03e5d07fd21</t>
        </is>
      </c>
      <c r="D596" s="4" t="n">
        <v>46314.2459434632</v>
      </c>
      <c r="E596" s="4" t="n">
        <v>46314.24594346341</v>
      </c>
      <c r="F596" t="b">
        <v>1</v>
      </c>
      <c r="G596" t="n">
        <v/>
      </c>
      <c r="H596" t="inlineStr">
        <is>
          <t>PIA</t>
        </is>
      </c>
      <c r="I596" t="inlineStr">
        <is>
          <t>Pengana International Equities Ltd</t>
        </is>
      </c>
      <c r="J596" t="inlineStr">
        <is>
          <t>AUD</t>
        </is>
      </c>
      <c r="K596" s="5" t="inlineStr">
        <is>
          <t>01a152b9-6ee2-7577-bddd-382bc3853fde</t>
        </is>
      </c>
      <c r="M596" t="inlineStr">
        <is>
          <t>UNKNOWN</t>
        </is>
      </c>
      <c r="N596" t="inlineStr">
        <is>
          <t>DEFAULT</t>
        </is>
      </c>
      <c r="Q596" t="n">
        <v>0</v>
      </c>
      <c r="R596" t="inlineStr">
        <is>
          <t>AUD</t>
        </is>
      </c>
      <c r="S596" t="n">
        <v>0</v>
      </c>
      <c r="T596" t="inlineStr">
        <is>
          <t>AUD</t>
        </is>
      </c>
      <c r="U596" t="n">
        <v>0</v>
      </c>
    </row>
    <row r="597">
      <c r="A597" s="5" t="inlineStr">
        <is>
          <t>01a152b9-79ef-77b2-a324-de92655fde5b</t>
        </is>
      </c>
      <c r="C597" s="5" t="inlineStr">
        <is>
          <t>01a152b9-6e67-75da-8adb-b03e5d07fd21</t>
        </is>
      </c>
      <c r="D597" s="4" t="n">
        <v>46314.24594350941</v>
      </c>
      <c r="E597" s="4" t="n">
        <v>46314.24594350955</v>
      </c>
      <c r="F597" t="b">
        <v>1</v>
      </c>
      <c r="G597" t="n">
        <v/>
      </c>
      <c r="H597" t="inlineStr">
        <is>
          <t>CAY</t>
        </is>
      </c>
      <c r="I597" t="inlineStr">
        <is>
          <t>Canyon Resources Ltd</t>
        </is>
      </c>
      <c r="J597" t="inlineStr">
        <is>
          <t>AUD</t>
        </is>
      </c>
      <c r="K597" s="5" t="inlineStr">
        <is>
          <t>01a152b9-6ee2-7577-bddd-382bc3853fde</t>
        </is>
      </c>
      <c r="M597" t="inlineStr">
        <is>
          <t>UNKNOWN</t>
        </is>
      </c>
      <c r="N597" t="inlineStr">
        <is>
          <t>DEFAULT</t>
        </is>
      </c>
      <c r="Q597" t="n">
        <v>0</v>
      </c>
      <c r="R597" t="inlineStr">
        <is>
          <t>AUD</t>
        </is>
      </c>
      <c r="S597" t="n">
        <v>0</v>
      </c>
      <c r="T597" t="inlineStr">
        <is>
          <t>AUD</t>
        </is>
      </c>
      <c r="U597" t="n">
        <v>0</v>
      </c>
    </row>
    <row r="598">
      <c r="A598" s="5" t="inlineStr">
        <is>
          <t>01a152b9-79f2-77da-9ef0-3ebaec478bc6</t>
        </is>
      </c>
      <c r="C598" s="5" t="inlineStr">
        <is>
          <t>01a152b9-6e67-75da-8adb-b03e5d07fd21</t>
        </is>
      </c>
      <c r="D598" s="4" t="n">
        <v>46314.24594355455</v>
      </c>
      <c r="E598" s="4" t="n">
        <v>46314.24594355472</v>
      </c>
      <c r="F598" t="b">
        <v>1</v>
      </c>
      <c r="G598" t="n">
        <v/>
      </c>
      <c r="H598" t="inlineStr">
        <is>
          <t>GLPR</t>
        </is>
      </c>
      <c r="I598" t="inlineStr">
        <is>
          <t>Ishares Ftse GBL Property Ex Aus (Aud Hedged) ETF</t>
        </is>
      </c>
      <c r="J598" t="inlineStr">
        <is>
          <t>AUD</t>
        </is>
      </c>
      <c r="K598" s="5" t="inlineStr">
        <is>
          <t>01a152b9-6ee2-7577-bddd-382bc3853fde</t>
        </is>
      </c>
      <c r="M598" t="inlineStr">
        <is>
          <t>UNKNOWN</t>
        </is>
      </c>
      <c r="N598" t="inlineStr">
        <is>
          <t>DEFAULT</t>
        </is>
      </c>
      <c r="Q598" t="n">
        <v>0</v>
      </c>
      <c r="R598" t="inlineStr">
        <is>
          <t>AUD</t>
        </is>
      </c>
      <c r="S598" t="n">
        <v>0</v>
      </c>
      <c r="T598" t="inlineStr">
        <is>
          <t>AUD</t>
        </is>
      </c>
      <c r="U598" t="n">
        <v>0</v>
      </c>
    </row>
    <row r="599">
      <c r="A599" s="5" t="inlineStr">
        <is>
          <t>01a152b9-79f7-76ea-947c-4f584f912339</t>
        </is>
      </c>
      <c r="C599" s="5" t="inlineStr">
        <is>
          <t>01a152b9-6e67-75da-8adb-b03e5d07fd21</t>
        </is>
      </c>
      <c r="D599" s="4" t="n">
        <v>46314.24594360353</v>
      </c>
      <c r="E599" s="4" t="n">
        <v>46314.2459436037</v>
      </c>
      <c r="F599" t="b">
        <v>1</v>
      </c>
      <c r="G599" t="n">
        <v/>
      </c>
      <c r="H599" t="inlineStr">
        <is>
          <t>IHD</t>
        </is>
      </c>
      <c r="I599" t="inlineStr">
        <is>
          <t>Ishares S&amp;P/ASX DIV Opportunities Esg Screened ETF</t>
        </is>
      </c>
      <c r="J599" t="inlineStr">
        <is>
          <t>AUD</t>
        </is>
      </c>
      <c r="K599" s="5" t="inlineStr">
        <is>
          <t>01a152b9-6ee2-7577-bddd-382bc3853fde</t>
        </is>
      </c>
      <c r="M599" t="inlineStr">
        <is>
          <t>UNKNOWN</t>
        </is>
      </c>
      <c r="N599" t="inlineStr">
        <is>
          <t>DEFAULT</t>
        </is>
      </c>
      <c r="Q599" t="n">
        <v>0</v>
      </c>
      <c r="R599" t="inlineStr">
        <is>
          <t>AUD</t>
        </is>
      </c>
      <c r="S599" t="n">
        <v>0</v>
      </c>
      <c r="T599" t="inlineStr">
        <is>
          <t>AUD</t>
        </is>
      </c>
      <c r="U599" t="n">
        <v>0</v>
      </c>
    </row>
    <row r="600">
      <c r="A600" s="5" t="inlineStr">
        <is>
          <t>01a152b9-79fb-776a-9207-67912eb6611d</t>
        </is>
      </c>
      <c r="C600" s="5" t="inlineStr">
        <is>
          <t>01a152b9-6e67-75da-8adb-b03e5d07fd21</t>
        </is>
      </c>
      <c r="D600" s="4" t="n">
        <v>46314.24594365654</v>
      </c>
      <c r="E600" s="4" t="n">
        <v>46314.2459436567</v>
      </c>
      <c r="F600" t="b">
        <v>1</v>
      </c>
      <c r="G600" t="n">
        <v/>
      </c>
      <c r="H600" t="inlineStr">
        <is>
          <t>SPY</t>
        </is>
      </c>
      <c r="I600" t="inlineStr">
        <is>
          <t>SPDR S&amp;P 500 ETF Trust</t>
        </is>
      </c>
      <c r="J600" t="inlineStr">
        <is>
          <t>AUD</t>
        </is>
      </c>
      <c r="K600" s="5" t="inlineStr">
        <is>
          <t>01a152b9-6ee2-7577-bddd-382bc3853fde</t>
        </is>
      </c>
      <c r="M600" t="inlineStr">
        <is>
          <t>UNIT_TRUST</t>
        </is>
      </c>
      <c r="N600" t="inlineStr">
        <is>
          <t>SUGGESTED</t>
        </is>
      </c>
      <c r="Q600" t="n">
        <v>0</v>
      </c>
      <c r="R600" t="inlineStr">
        <is>
          <t>AUD</t>
        </is>
      </c>
      <c r="S600" t="n">
        <v>0</v>
      </c>
      <c r="T600" t="inlineStr">
        <is>
          <t>AUD</t>
        </is>
      </c>
      <c r="U600" t="n">
        <v>0</v>
      </c>
    </row>
    <row r="601">
      <c r="A601" s="5" t="inlineStr">
        <is>
          <t>01a152b9-7a00-752c-9fdf-1ecf0110eac5</t>
        </is>
      </c>
      <c r="C601" s="5" t="inlineStr">
        <is>
          <t>01a152b9-6e67-75da-8adb-b03e5d07fd21</t>
        </is>
      </c>
      <c r="D601" s="4" t="n">
        <v>46314.2459437155</v>
      </c>
      <c r="E601" s="4" t="n">
        <v>46314.24594371563</v>
      </c>
      <c r="F601" t="b">
        <v>1</v>
      </c>
      <c r="G601" t="n">
        <v/>
      </c>
      <c r="H601" t="inlineStr">
        <is>
          <t>HLO</t>
        </is>
      </c>
      <c r="I601" t="inlineStr">
        <is>
          <t>Helloworld Travel Ltd</t>
        </is>
      </c>
      <c r="J601" t="inlineStr">
        <is>
          <t>AUD</t>
        </is>
      </c>
      <c r="K601" s="5" t="inlineStr">
        <is>
          <t>01a152b9-6ee2-7577-bddd-382bc3853fde</t>
        </is>
      </c>
      <c r="M601" t="inlineStr">
        <is>
          <t>UNKNOWN</t>
        </is>
      </c>
      <c r="N601" t="inlineStr">
        <is>
          <t>DEFAULT</t>
        </is>
      </c>
      <c r="Q601" t="n">
        <v>0</v>
      </c>
      <c r="R601" t="inlineStr">
        <is>
          <t>AUD</t>
        </is>
      </c>
      <c r="S601" t="n">
        <v>0</v>
      </c>
      <c r="T601" t="inlineStr">
        <is>
          <t>AUD</t>
        </is>
      </c>
      <c r="U601" t="n">
        <v>0</v>
      </c>
    </row>
    <row r="602">
      <c r="A602" s="5" t="inlineStr">
        <is>
          <t>01a152b9-7a04-74e3-9467-f9224139aaad</t>
        </is>
      </c>
      <c r="C602" s="5" t="inlineStr">
        <is>
          <t>01a152b9-6e67-75da-8adb-b03e5d07fd21</t>
        </is>
      </c>
      <c r="D602" s="4" t="n">
        <v>46314.24594375365</v>
      </c>
      <c r="E602" s="4" t="n">
        <v>46314.24594375376</v>
      </c>
      <c r="F602" t="b">
        <v>1</v>
      </c>
      <c r="G602" t="n">
        <v/>
      </c>
      <c r="H602" t="inlineStr">
        <is>
          <t>OFX</t>
        </is>
      </c>
      <c r="I602" t="inlineStr">
        <is>
          <t>OFX Group Ltd</t>
        </is>
      </c>
      <c r="J602" t="inlineStr">
        <is>
          <t>AUD</t>
        </is>
      </c>
      <c r="K602" s="5" t="inlineStr">
        <is>
          <t>01a152b9-6ee2-7577-bddd-382bc3853fde</t>
        </is>
      </c>
      <c r="M602" t="inlineStr">
        <is>
          <t>UNKNOWN</t>
        </is>
      </c>
      <c r="N602" t="inlineStr">
        <is>
          <t>DEFAULT</t>
        </is>
      </c>
      <c r="Q602" t="n">
        <v>0</v>
      </c>
      <c r="R602" t="inlineStr">
        <is>
          <t>AUD</t>
        </is>
      </c>
      <c r="S602" t="n">
        <v>0</v>
      </c>
      <c r="T602" t="inlineStr">
        <is>
          <t>AUD</t>
        </is>
      </c>
      <c r="U602" t="n">
        <v>0</v>
      </c>
    </row>
    <row r="603">
      <c r="A603" s="5" t="inlineStr">
        <is>
          <t>01a152b9-7a07-71ba-8962-60ccfd6e203f</t>
        </is>
      </c>
      <c r="C603" s="5" t="inlineStr">
        <is>
          <t>01a152b9-6e67-75da-8adb-b03e5d07fd21</t>
        </is>
      </c>
      <c r="D603" s="4" t="n">
        <v>46314.24594379537</v>
      </c>
      <c r="E603" s="4" t="n">
        <v>46314.24594379547</v>
      </c>
      <c r="F603" t="b">
        <v>1</v>
      </c>
      <c r="G603" t="n">
        <v/>
      </c>
      <c r="H603" t="inlineStr">
        <is>
          <t>PSQ</t>
        </is>
      </c>
      <c r="I603" t="inlineStr">
        <is>
          <t>Pacific Smiles Group Ltd</t>
        </is>
      </c>
      <c r="J603" t="inlineStr">
        <is>
          <t>AUD</t>
        </is>
      </c>
      <c r="K603" s="5" t="inlineStr">
        <is>
          <t>01a152b9-6ee2-7577-bddd-382bc3853fde</t>
        </is>
      </c>
      <c r="M603" t="inlineStr">
        <is>
          <t>UNKNOWN</t>
        </is>
      </c>
      <c r="N603" t="inlineStr">
        <is>
          <t>DEFAULT</t>
        </is>
      </c>
      <c r="Q603" t="n">
        <v>0</v>
      </c>
      <c r="R603" t="inlineStr">
        <is>
          <t>AUD</t>
        </is>
      </c>
      <c r="S603" t="n">
        <v>0</v>
      </c>
      <c r="T603" t="inlineStr">
        <is>
          <t>AUD</t>
        </is>
      </c>
      <c r="U603" t="n">
        <v>0</v>
      </c>
    </row>
    <row r="604">
      <c r="A604" s="5" t="inlineStr">
        <is>
          <t>01a152b9-7a0b-7550-a0b2-0c6d675b507c</t>
        </is>
      </c>
      <c r="C604" s="5" t="inlineStr">
        <is>
          <t>01a152b9-6e67-75da-8adb-b03e5d07fd21</t>
        </is>
      </c>
      <c r="D604" s="4" t="n">
        <v>46314.24594383335</v>
      </c>
      <c r="E604" s="4" t="n">
        <v>46314.24594383346</v>
      </c>
      <c r="F604" t="b">
        <v>1</v>
      </c>
      <c r="G604" t="n">
        <v/>
      </c>
      <c r="H604" t="inlineStr">
        <is>
          <t>WC8</t>
        </is>
      </c>
      <c r="I604" t="inlineStr">
        <is>
          <t>Wildcat Resources Ltd</t>
        </is>
      </c>
      <c r="J604" t="inlineStr">
        <is>
          <t>AUD</t>
        </is>
      </c>
      <c r="K604" s="5" t="inlineStr">
        <is>
          <t>01a152b9-6ee2-7577-bddd-382bc3853fde</t>
        </is>
      </c>
      <c r="M604" t="inlineStr">
        <is>
          <t>UNKNOWN</t>
        </is>
      </c>
      <c r="N604" t="inlineStr">
        <is>
          <t>DEFAULT</t>
        </is>
      </c>
      <c r="Q604" t="n">
        <v>0</v>
      </c>
      <c r="R604" t="inlineStr">
        <is>
          <t>AUD</t>
        </is>
      </c>
      <c r="S604" t="n">
        <v>0</v>
      </c>
      <c r="T604" t="inlineStr">
        <is>
          <t>AUD</t>
        </is>
      </c>
      <c r="U604" t="n">
        <v>0</v>
      </c>
    </row>
    <row r="605">
      <c r="A605" s="5" t="inlineStr">
        <is>
          <t>01a152b9-7a0e-76e7-a802-d4caa7496855</t>
        </is>
      </c>
      <c r="C605" s="5" t="inlineStr">
        <is>
          <t>01a152b9-6e67-75da-8adb-b03e5d07fd21</t>
        </is>
      </c>
      <c r="D605" s="4" t="n">
        <v>46314.24594387637</v>
      </c>
      <c r="E605" s="4" t="n">
        <v>46314.24594387647</v>
      </c>
      <c r="F605" t="b">
        <v>1</v>
      </c>
      <c r="G605" t="n">
        <v/>
      </c>
      <c r="H605" t="inlineStr">
        <is>
          <t>GDI</t>
        </is>
      </c>
      <c r="I605" t="inlineStr">
        <is>
          <t>GDI Property Group</t>
        </is>
      </c>
      <c r="J605" t="inlineStr">
        <is>
          <t>AUD</t>
        </is>
      </c>
      <c r="K605" s="5" t="inlineStr">
        <is>
          <t>01a152b9-6ee2-7577-bddd-382bc3853fde</t>
        </is>
      </c>
      <c r="M605" t="inlineStr">
        <is>
          <t>UNKNOWN</t>
        </is>
      </c>
      <c r="N605" t="inlineStr">
        <is>
          <t>DEFAULT</t>
        </is>
      </c>
      <c r="Q605" t="n">
        <v>0</v>
      </c>
      <c r="R605" t="inlineStr">
        <is>
          <t>AUD</t>
        </is>
      </c>
      <c r="S605" t="n">
        <v>0</v>
      </c>
      <c r="T605" t="inlineStr">
        <is>
          <t>AUD</t>
        </is>
      </c>
      <c r="U605" t="n">
        <v>0</v>
      </c>
    </row>
    <row r="606">
      <c r="A606" s="5" t="inlineStr">
        <is>
          <t>01a152b9-7a12-74b9-ae94-b6c733ea2226</t>
        </is>
      </c>
      <c r="C606" s="5" t="inlineStr">
        <is>
          <t>01a152b9-6e67-75da-8adb-b03e5d07fd21</t>
        </is>
      </c>
      <c r="D606" s="4" t="n">
        <v>46314.24594391774</v>
      </c>
      <c r="E606" s="4" t="n">
        <v>46314.24594391785</v>
      </c>
      <c r="F606" t="b">
        <v>1</v>
      </c>
      <c r="G606" t="n">
        <v/>
      </c>
      <c r="H606" t="inlineStr">
        <is>
          <t>BENPI</t>
        </is>
      </c>
      <c r="I606" t="inlineStr">
        <is>
          <t>Bendigo and Adelaide Bank Ltd</t>
        </is>
      </c>
      <c r="J606" t="inlineStr">
        <is>
          <t>AUD</t>
        </is>
      </c>
      <c r="K606" s="5" t="inlineStr">
        <is>
          <t>01a152b9-6ee2-7577-bddd-382bc3853fde</t>
        </is>
      </c>
      <c r="M606" t="inlineStr">
        <is>
          <t>UNKNOWN</t>
        </is>
      </c>
      <c r="N606" t="inlineStr">
        <is>
          <t>DEFAULT</t>
        </is>
      </c>
      <c r="Q606" t="n">
        <v>0</v>
      </c>
      <c r="R606" t="inlineStr">
        <is>
          <t>AUD</t>
        </is>
      </c>
      <c r="S606" t="n">
        <v>0</v>
      </c>
      <c r="T606" t="inlineStr">
        <is>
          <t>AUD</t>
        </is>
      </c>
      <c r="U606" t="n">
        <v>0</v>
      </c>
    </row>
    <row r="607">
      <c r="A607" s="5" t="inlineStr">
        <is>
          <t>01a152b9-7a15-7177-b286-db0f7689a5ed</t>
        </is>
      </c>
      <c r="C607" s="5" t="inlineStr">
        <is>
          <t>01a152b9-6e67-75da-8adb-b03e5d07fd21</t>
        </is>
      </c>
      <c r="D607" s="4" t="n">
        <v>46314.24594395677</v>
      </c>
      <c r="E607" s="4" t="n">
        <v>46314.24594395688</v>
      </c>
      <c r="F607" t="b">
        <v>1</v>
      </c>
      <c r="G607" t="n">
        <v/>
      </c>
      <c r="H607" t="inlineStr">
        <is>
          <t>SMI</t>
        </is>
      </c>
      <c r="I607" t="inlineStr">
        <is>
          <t>Santana Minerals Ltd</t>
        </is>
      </c>
      <c r="J607" t="inlineStr">
        <is>
          <t>AUD</t>
        </is>
      </c>
      <c r="K607" s="5" t="inlineStr">
        <is>
          <t>01a152b9-6ee2-7577-bddd-382bc3853fde</t>
        </is>
      </c>
      <c r="M607" t="inlineStr">
        <is>
          <t>UNKNOWN</t>
        </is>
      </c>
      <c r="N607" t="inlineStr">
        <is>
          <t>DEFAULT</t>
        </is>
      </c>
      <c r="Q607" t="n">
        <v>0</v>
      </c>
      <c r="R607" t="inlineStr">
        <is>
          <t>AUD</t>
        </is>
      </c>
      <c r="S607" t="n">
        <v>0</v>
      </c>
      <c r="T607" t="inlineStr">
        <is>
          <t>AUD</t>
        </is>
      </c>
      <c r="U607" t="n">
        <v>0</v>
      </c>
    </row>
    <row r="608">
      <c r="A608" s="5" t="inlineStr">
        <is>
          <t>01a152b9-7a19-7145-bb87-2c4d7b234193</t>
        </is>
      </c>
      <c r="C608" s="5" t="inlineStr">
        <is>
          <t>01a152b9-6e67-75da-8adb-b03e5d07fd21</t>
        </is>
      </c>
      <c r="D608" s="4" t="n">
        <v>46314.24594399579</v>
      </c>
      <c r="E608" s="4" t="n">
        <v>46314.24594399597</v>
      </c>
      <c r="F608" t="b">
        <v>1</v>
      </c>
      <c r="G608" t="n">
        <v/>
      </c>
      <c r="H608" t="inlineStr">
        <is>
          <t>RG8</t>
        </is>
      </c>
      <c r="I608" t="inlineStr">
        <is>
          <t>Regal Asian Investments Ltd</t>
        </is>
      </c>
      <c r="J608" t="inlineStr">
        <is>
          <t>AUD</t>
        </is>
      </c>
      <c r="K608" s="5" t="inlineStr">
        <is>
          <t>01a152b9-6ee2-7577-bddd-382bc3853fde</t>
        </is>
      </c>
      <c r="M608" t="inlineStr">
        <is>
          <t>UNKNOWN</t>
        </is>
      </c>
      <c r="N608" t="inlineStr">
        <is>
          <t>DEFAULT</t>
        </is>
      </c>
      <c r="Q608" t="n">
        <v>0</v>
      </c>
      <c r="R608" t="inlineStr">
        <is>
          <t>AUD</t>
        </is>
      </c>
      <c r="S608" t="n">
        <v>0</v>
      </c>
      <c r="T608" t="inlineStr">
        <is>
          <t>AUD</t>
        </is>
      </c>
      <c r="U608" t="n">
        <v>0</v>
      </c>
    </row>
    <row r="609">
      <c r="A609" s="5" t="inlineStr">
        <is>
          <t>01a152b9-7a1c-72a8-877f-e23604e7af98</t>
        </is>
      </c>
      <c r="C609" s="5" t="inlineStr">
        <is>
          <t>01a152b9-6e67-75da-8adb-b03e5d07fd21</t>
        </is>
      </c>
      <c r="D609" s="4" t="n">
        <v>46314.24594403117</v>
      </c>
      <c r="E609" s="4" t="n">
        <v>46314.24594403126</v>
      </c>
      <c r="F609" t="b">
        <v>1</v>
      </c>
      <c r="G609" t="n">
        <v/>
      </c>
      <c r="H609" t="inlineStr">
        <is>
          <t>PBH</t>
        </is>
      </c>
      <c r="I609" t="inlineStr">
        <is>
          <t>Pointsbet Holdings Ltd</t>
        </is>
      </c>
      <c r="J609" t="inlineStr">
        <is>
          <t>AUD</t>
        </is>
      </c>
      <c r="K609" s="5" t="inlineStr">
        <is>
          <t>01a152b9-6ee2-7577-bddd-382bc3853fde</t>
        </is>
      </c>
      <c r="M609" t="inlineStr">
        <is>
          <t>UNKNOWN</t>
        </is>
      </c>
      <c r="N609" t="inlineStr">
        <is>
          <t>DEFAULT</t>
        </is>
      </c>
      <c r="Q609" t="n">
        <v>0</v>
      </c>
      <c r="R609" t="inlineStr">
        <is>
          <t>AUD</t>
        </is>
      </c>
      <c r="S609" t="n">
        <v>0</v>
      </c>
      <c r="T609" t="inlineStr">
        <is>
          <t>AUD</t>
        </is>
      </c>
      <c r="U609" t="n">
        <v>0</v>
      </c>
    </row>
    <row r="610">
      <c r="A610" s="5" t="inlineStr">
        <is>
          <t>01a152b9-7a1f-706a-a2d7-ae0a783fae12</t>
        </is>
      </c>
      <c r="C610" s="5" t="inlineStr">
        <is>
          <t>01a152b9-6e67-75da-8adb-b03e5d07fd21</t>
        </is>
      </c>
      <c r="D610" s="4" t="n">
        <v>46314.2459440733</v>
      </c>
      <c r="E610" s="4" t="n">
        <v>46314.24594407342</v>
      </c>
      <c r="F610" t="b">
        <v>1</v>
      </c>
      <c r="G610" t="n">
        <v/>
      </c>
      <c r="H610" t="inlineStr">
        <is>
          <t>SPZ</t>
        </is>
      </c>
      <c r="I610" t="inlineStr">
        <is>
          <t>Smart Parking Ltd</t>
        </is>
      </c>
      <c r="J610" t="inlineStr">
        <is>
          <t>AUD</t>
        </is>
      </c>
      <c r="K610" s="5" t="inlineStr">
        <is>
          <t>01a152b9-6ee2-7577-bddd-382bc3853fde</t>
        </is>
      </c>
      <c r="M610" t="inlineStr">
        <is>
          <t>UNKNOWN</t>
        </is>
      </c>
      <c r="N610" t="inlineStr">
        <is>
          <t>DEFAULT</t>
        </is>
      </c>
      <c r="Q610" t="n">
        <v>0</v>
      </c>
      <c r="R610" t="inlineStr">
        <is>
          <t>AUD</t>
        </is>
      </c>
      <c r="S610" t="n">
        <v>0</v>
      </c>
      <c r="T610" t="inlineStr">
        <is>
          <t>AUD</t>
        </is>
      </c>
      <c r="U610" t="n">
        <v>0</v>
      </c>
    </row>
    <row r="611">
      <c r="A611" s="5" t="inlineStr">
        <is>
          <t>01a152b9-7a22-75ea-9cf1-a98525bf9a8d</t>
        </is>
      </c>
      <c r="C611" s="5" t="inlineStr">
        <is>
          <t>01a152b9-6e67-75da-8adb-b03e5d07fd21</t>
        </is>
      </c>
      <c r="D611" s="4" t="n">
        <v>46314.24594410996</v>
      </c>
      <c r="E611" s="4" t="n">
        <v>46314.24594411007</v>
      </c>
      <c r="F611" t="b">
        <v>1</v>
      </c>
      <c r="G611" t="n">
        <v/>
      </c>
      <c r="H611" t="inlineStr">
        <is>
          <t>EML</t>
        </is>
      </c>
      <c r="I611" t="inlineStr">
        <is>
          <t>EML Payments Ltd</t>
        </is>
      </c>
      <c r="J611" t="inlineStr">
        <is>
          <t>AUD</t>
        </is>
      </c>
      <c r="K611" s="5" t="inlineStr">
        <is>
          <t>01a152b9-6ee2-7577-bddd-382bc3853fde</t>
        </is>
      </c>
      <c r="M611" t="inlineStr">
        <is>
          <t>UNKNOWN</t>
        </is>
      </c>
      <c r="N611" t="inlineStr">
        <is>
          <t>DEFAULT</t>
        </is>
      </c>
      <c r="Q611" t="n">
        <v>0</v>
      </c>
      <c r="R611" t="inlineStr">
        <is>
          <t>AUD</t>
        </is>
      </c>
      <c r="S611" t="n">
        <v>0</v>
      </c>
      <c r="T611" t="inlineStr">
        <is>
          <t>AUD</t>
        </is>
      </c>
      <c r="U611" t="n">
        <v>0</v>
      </c>
    </row>
    <row r="612">
      <c r="A612" s="5" t="inlineStr">
        <is>
          <t>01a152b9-7a26-70ae-87a7-d0b5733139ed</t>
        </is>
      </c>
      <c r="C612" s="5" t="inlineStr">
        <is>
          <t>01a152b9-6e67-75da-8adb-b03e5d07fd21</t>
        </is>
      </c>
      <c r="D612" s="4" t="n">
        <v>46314.2459441473</v>
      </c>
      <c r="E612" s="4" t="n">
        <v>46314.2459441474</v>
      </c>
      <c r="F612" t="b">
        <v>1</v>
      </c>
      <c r="G612" t="n">
        <v/>
      </c>
      <c r="H612" t="inlineStr">
        <is>
          <t>ANG</t>
        </is>
      </c>
      <c r="I612" t="inlineStr">
        <is>
          <t>Austin Engineering Ltd</t>
        </is>
      </c>
      <c r="J612" t="inlineStr">
        <is>
          <t>AUD</t>
        </is>
      </c>
      <c r="K612" s="5" t="inlineStr">
        <is>
          <t>01a152b9-6ee2-7577-bddd-382bc3853fde</t>
        </is>
      </c>
      <c r="M612" t="inlineStr">
        <is>
          <t>UNKNOWN</t>
        </is>
      </c>
      <c r="N612" t="inlineStr">
        <is>
          <t>DEFAULT</t>
        </is>
      </c>
      <c r="Q612" t="n">
        <v>0</v>
      </c>
      <c r="R612" t="inlineStr">
        <is>
          <t>AUD</t>
        </is>
      </c>
      <c r="S612" t="n">
        <v>0</v>
      </c>
      <c r="T612" t="inlineStr">
        <is>
          <t>AUD</t>
        </is>
      </c>
      <c r="U612" t="n">
        <v>0</v>
      </c>
    </row>
    <row r="613">
      <c r="A613" s="5" t="inlineStr">
        <is>
          <t>01a152b9-7a29-777e-867c-48c5e8199d19</t>
        </is>
      </c>
      <c r="C613" s="5" t="inlineStr">
        <is>
          <t>01a152b9-6e67-75da-8adb-b03e5d07fd21</t>
        </is>
      </c>
      <c r="D613" s="4" t="n">
        <v>46314.24594418779</v>
      </c>
      <c r="E613" s="4" t="n">
        <v>46314.2459441879</v>
      </c>
      <c r="F613" t="b">
        <v>1</v>
      </c>
      <c r="G613" t="n">
        <v/>
      </c>
      <c r="H613" t="inlineStr">
        <is>
          <t>IHCB</t>
        </is>
      </c>
      <c r="I613" t="inlineStr">
        <is>
          <t>Ishares Core Global Corporate Bond(Aud Hedged) ETF</t>
        </is>
      </c>
      <c r="J613" t="inlineStr">
        <is>
          <t>AUD</t>
        </is>
      </c>
      <c r="K613" s="5" t="inlineStr">
        <is>
          <t>01a152b9-6ee2-7577-bddd-382bc3853fde</t>
        </is>
      </c>
      <c r="M613" t="inlineStr">
        <is>
          <t>UNKNOWN</t>
        </is>
      </c>
      <c r="N613" t="inlineStr">
        <is>
          <t>DEFAULT</t>
        </is>
      </c>
      <c r="Q613" t="n">
        <v>0</v>
      </c>
      <c r="R613" t="inlineStr">
        <is>
          <t>AUD</t>
        </is>
      </c>
      <c r="S613" t="n">
        <v>0</v>
      </c>
      <c r="T613" t="inlineStr">
        <is>
          <t>AUD</t>
        </is>
      </c>
      <c r="U613" t="n">
        <v>0</v>
      </c>
    </row>
    <row r="614">
      <c r="A614" s="5" t="inlineStr">
        <is>
          <t>01a152b9-7a2d-713c-b33c-2d0ec5aeae71</t>
        </is>
      </c>
      <c r="C614" s="5" t="inlineStr">
        <is>
          <t>01a152b9-6e67-75da-8adb-b03e5d07fd21</t>
        </is>
      </c>
      <c r="D614" s="4" t="n">
        <v>46314.24594423328</v>
      </c>
      <c r="E614" s="4" t="n">
        <v>46314.2459442334</v>
      </c>
      <c r="F614" t="b">
        <v>1</v>
      </c>
      <c r="G614" t="n">
        <v/>
      </c>
      <c r="H614" t="inlineStr">
        <is>
          <t>DSE</t>
        </is>
      </c>
      <c r="I614" t="inlineStr">
        <is>
          <t>Dropsuite Ltd</t>
        </is>
      </c>
      <c r="J614" t="inlineStr">
        <is>
          <t>AUD</t>
        </is>
      </c>
      <c r="K614" s="5" t="inlineStr">
        <is>
          <t>01a152b9-6ee2-7577-bddd-382bc3853fde</t>
        </is>
      </c>
      <c r="M614" t="inlineStr">
        <is>
          <t>UNKNOWN</t>
        </is>
      </c>
      <c r="N614" t="inlineStr">
        <is>
          <t>DEFAULT</t>
        </is>
      </c>
      <c r="Q614" t="n">
        <v>0</v>
      </c>
      <c r="R614" t="inlineStr">
        <is>
          <t>AUD</t>
        </is>
      </c>
      <c r="S614" t="n">
        <v>0</v>
      </c>
      <c r="T614" t="inlineStr">
        <is>
          <t>AUD</t>
        </is>
      </c>
      <c r="U614" t="n">
        <v>0</v>
      </c>
    </row>
    <row r="615">
      <c r="A615" s="5" t="inlineStr">
        <is>
          <t>01a152b9-7a31-71e0-a1fc-c42fef0aed20</t>
        </is>
      </c>
      <c r="C615" s="5" t="inlineStr">
        <is>
          <t>01a152b9-6e67-75da-8adb-b03e5d07fd21</t>
        </is>
      </c>
      <c r="D615" s="4" t="n">
        <v>46314.24594427281</v>
      </c>
      <c r="E615" s="4" t="n">
        <v>46314.24594427291</v>
      </c>
      <c r="F615" t="b">
        <v>1</v>
      </c>
      <c r="G615" t="n">
        <v/>
      </c>
      <c r="H615" t="inlineStr">
        <is>
          <t>QRE</t>
        </is>
      </c>
      <c r="I615" t="inlineStr">
        <is>
          <t>Betashares Australian Resources Sector ETF</t>
        </is>
      </c>
      <c r="J615" t="inlineStr">
        <is>
          <t>AUD</t>
        </is>
      </c>
      <c r="K615" s="5" t="inlineStr">
        <is>
          <t>01a152b9-6ee2-7577-bddd-382bc3853fde</t>
        </is>
      </c>
      <c r="M615" t="inlineStr">
        <is>
          <t>UNKNOWN</t>
        </is>
      </c>
      <c r="N615" t="inlineStr">
        <is>
          <t>DEFAULT</t>
        </is>
      </c>
      <c r="Q615" t="n">
        <v>0</v>
      </c>
      <c r="R615" t="inlineStr">
        <is>
          <t>AUD</t>
        </is>
      </c>
      <c r="S615" t="n">
        <v>0</v>
      </c>
      <c r="T615" t="inlineStr">
        <is>
          <t>AUD</t>
        </is>
      </c>
      <c r="U615" t="n">
        <v>0</v>
      </c>
    </row>
    <row r="616">
      <c r="A616" s="5" t="inlineStr">
        <is>
          <t>01a152b9-7a34-7625-a547-27f78bf0fa95</t>
        </is>
      </c>
      <c r="C616" s="5" t="inlineStr">
        <is>
          <t>01a152b9-6e67-75da-8adb-b03e5d07fd21</t>
        </is>
      </c>
      <c r="D616" s="4" t="n">
        <v>46314.24594431675</v>
      </c>
      <c r="E616" s="4" t="n">
        <v>46314.24594431684</v>
      </c>
      <c r="F616" t="b">
        <v>1</v>
      </c>
      <c r="G616" t="n">
        <v/>
      </c>
      <c r="H616" t="inlineStr">
        <is>
          <t>IESG</t>
        </is>
      </c>
      <c r="I616" t="inlineStr">
        <is>
          <t>Ishares Core MSCI Australia Esg ETF</t>
        </is>
      </c>
      <c r="J616" t="inlineStr">
        <is>
          <t>AUD</t>
        </is>
      </c>
      <c r="K616" s="5" t="inlineStr">
        <is>
          <t>01a152b9-6ee2-7577-bddd-382bc3853fde</t>
        </is>
      </c>
      <c r="M616" t="inlineStr">
        <is>
          <t>UNKNOWN</t>
        </is>
      </c>
      <c r="N616" t="inlineStr">
        <is>
          <t>DEFAULT</t>
        </is>
      </c>
      <c r="Q616" t="n">
        <v>0</v>
      </c>
      <c r="R616" t="inlineStr">
        <is>
          <t>AUD</t>
        </is>
      </c>
      <c r="S616" t="n">
        <v>0</v>
      </c>
      <c r="T616" t="inlineStr">
        <is>
          <t>AUD</t>
        </is>
      </c>
      <c r="U616" t="n">
        <v>0</v>
      </c>
    </row>
    <row r="617">
      <c r="A617" s="5" t="inlineStr">
        <is>
          <t>01a152b9-7a37-7660-aece-7305c7c070f1</t>
        </is>
      </c>
      <c r="C617" s="5" t="inlineStr">
        <is>
          <t>01a152b9-6e67-75da-8adb-b03e5d07fd21</t>
        </is>
      </c>
      <c r="D617" s="4" t="n">
        <v>46314.24594435007</v>
      </c>
      <c r="E617" s="4" t="n">
        <v>46314.24594435016</v>
      </c>
      <c r="F617" t="b">
        <v>1</v>
      </c>
      <c r="G617" t="n">
        <v/>
      </c>
      <c r="H617" t="inlineStr">
        <is>
          <t>RBTZ</t>
        </is>
      </c>
      <c r="I617" t="inlineStr">
        <is>
          <t>Betashares Global Robotics and Artificial Intelligence ETF</t>
        </is>
      </c>
      <c r="J617" t="inlineStr">
        <is>
          <t>AUD</t>
        </is>
      </c>
      <c r="K617" s="5" t="inlineStr">
        <is>
          <t>01a152b9-6ee2-7577-bddd-382bc3853fde</t>
        </is>
      </c>
      <c r="M617" t="inlineStr">
        <is>
          <t>UNKNOWN</t>
        </is>
      </c>
      <c r="N617" t="inlineStr">
        <is>
          <t>DEFAULT</t>
        </is>
      </c>
      <c r="Q617" t="n">
        <v>0</v>
      </c>
      <c r="R617" t="inlineStr">
        <is>
          <t>AUD</t>
        </is>
      </c>
      <c r="S617" t="n">
        <v>0</v>
      </c>
      <c r="T617" t="inlineStr">
        <is>
          <t>AUD</t>
        </is>
      </c>
      <c r="U617" t="n">
        <v>0</v>
      </c>
    </row>
    <row r="618">
      <c r="A618" s="5" t="inlineStr">
        <is>
          <t>01a152b9-7a3b-7667-b537-71accc622bf4</t>
        </is>
      </c>
      <c r="C618" s="5" t="inlineStr">
        <is>
          <t>01a152b9-6e67-75da-8adb-b03e5d07fd21</t>
        </is>
      </c>
      <c r="D618" s="4" t="n">
        <v>46314.24594438945</v>
      </c>
      <c r="E618" s="4" t="n">
        <v>46314.24594438957</v>
      </c>
      <c r="F618" t="b">
        <v>1</v>
      </c>
      <c r="G618" t="n">
        <v/>
      </c>
      <c r="H618" t="inlineStr">
        <is>
          <t>SFC</t>
        </is>
      </c>
      <c r="I618" t="inlineStr">
        <is>
          <t>Schaffer Corporation Ltd</t>
        </is>
      </c>
      <c r="J618" t="inlineStr">
        <is>
          <t>AUD</t>
        </is>
      </c>
      <c r="K618" s="5" t="inlineStr">
        <is>
          <t>01a152b9-6ee2-7577-bddd-382bc3853fde</t>
        </is>
      </c>
      <c r="M618" t="inlineStr">
        <is>
          <t>UNKNOWN</t>
        </is>
      </c>
      <c r="N618" t="inlineStr">
        <is>
          <t>DEFAULT</t>
        </is>
      </c>
      <c r="Q618" t="n">
        <v>0</v>
      </c>
      <c r="R618" t="inlineStr">
        <is>
          <t>AUD</t>
        </is>
      </c>
      <c r="S618" t="n">
        <v>0</v>
      </c>
      <c r="T618" t="inlineStr">
        <is>
          <t>AUD</t>
        </is>
      </c>
      <c r="U618" t="n">
        <v>0</v>
      </c>
    </row>
    <row r="619">
      <c r="A619" s="5" t="inlineStr">
        <is>
          <t>01a152b9-7a3f-71d9-bf6b-c96de462316b</t>
        </is>
      </c>
      <c r="C619" s="5" t="inlineStr">
        <is>
          <t>01a152b9-6e67-75da-8adb-b03e5d07fd21</t>
        </is>
      </c>
      <c r="D619" s="4" t="n">
        <v>46314.24594443461</v>
      </c>
      <c r="E619" s="4" t="n">
        <v>46314.2459444347</v>
      </c>
      <c r="F619" t="b">
        <v>1</v>
      </c>
      <c r="G619" t="n">
        <v/>
      </c>
      <c r="H619" t="inlineStr">
        <is>
          <t>29M</t>
        </is>
      </c>
      <c r="I619" t="inlineStr">
        <is>
          <t>29METALS Ltd</t>
        </is>
      </c>
      <c r="J619" t="inlineStr">
        <is>
          <t>AUD</t>
        </is>
      </c>
      <c r="K619" s="5" t="inlineStr">
        <is>
          <t>01a152b9-6ee2-7577-bddd-382bc3853fde</t>
        </is>
      </c>
      <c r="M619" t="inlineStr">
        <is>
          <t>UNKNOWN</t>
        </is>
      </c>
      <c r="N619" t="inlineStr">
        <is>
          <t>DEFAULT</t>
        </is>
      </c>
      <c r="Q619" t="n">
        <v>0</v>
      </c>
      <c r="R619" t="inlineStr">
        <is>
          <t>AUD</t>
        </is>
      </c>
      <c r="S619" t="n">
        <v>0</v>
      </c>
      <c r="T619" t="inlineStr">
        <is>
          <t>AUD</t>
        </is>
      </c>
      <c r="U619" t="n">
        <v>0</v>
      </c>
    </row>
    <row r="620">
      <c r="A620" s="5" t="inlineStr">
        <is>
          <t>01a152b9-7a42-77f1-a074-a7895c4cb2c9</t>
        </is>
      </c>
      <c r="C620" s="5" t="inlineStr">
        <is>
          <t>01a152b9-6e67-75da-8adb-b03e5d07fd21</t>
        </is>
      </c>
      <c r="D620" s="4" t="n">
        <v>46314.24594447186</v>
      </c>
      <c r="E620" s="4" t="n">
        <v>46314.24594447196</v>
      </c>
      <c r="F620" t="b">
        <v>1</v>
      </c>
      <c r="G620" t="n">
        <v/>
      </c>
      <c r="H620" t="inlineStr">
        <is>
          <t>IZZ</t>
        </is>
      </c>
      <c r="I620" t="inlineStr">
        <is>
          <t>Ishares China Large-Cap ETF</t>
        </is>
      </c>
      <c r="J620" t="inlineStr">
        <is>
          <t>AUD</t>
        </is>
      </c>
      <c r="K620" s="5" t="inlineStr">
        <is>
          <t>01a152b9-6ee2-7577-bddd-382bc3853fde</t>
        </is>
      </c>
      <c r="M620" t="inlineStr">
        <is>
          <t>UNKNOWN</t>
        </is>
      </c>
      <c r="N620" t="inlineStr">
        <is>
          <t>DEFAULT</t>
        </is>
      </c>
      <c r="Q620" t="n">
        <v>0</v>
      </c>
      <c r="R620" t="inlineStr">
        <is>
          <t>AUD</t>
        </is>
      </c>
      <c r="S620" t="n">
        <v>0</v>
      </c>
      <c r="T620" t="inlineStr">
        <is>
          <t>AUD</t>
        </is>
      </c>
      <c r="U620" t="n">
        <v>0</v>
      </c>
    </row>
    <row r="621">
      <c r="A621" s="5" t="inlineStr">
        <is>
          <t>01a152b9-7a45-7275-a11a-089fffcecc7c</t>
        </is>
      </c>
      <c r="C621" s="5" t="inlineStr">
        <is>
          <t>01a152b9-6e67-75da-8adb-b03e5d07fd21</t>
        </is>
      </c>
      <c r="D621" s="4" t="n">
        <v>46314.24594451283</v>
      </c>
      <c r="E621" s="4" t="n">
        <v>46314.24594451295</v>
      </c>
      <c r="F621" t="b">
        <v>1</v>
      </c>
      <c r="G621" t="n">
        <v/>
      </c>
      <c r="H621" t="inlineStr">
        <is>
          <t>GGUS</t>
        </is>
      </c>
      <c r="I621" t="inlineStr">
        <is>
          <t>Betashares Geared US Equity Fund Currency Hedged (Hedgefund)</t>
        </is>
      </c>
      <c r="J621" t="inlineStr">
        <is>
          <t>AUD</t>
        </is>
      </c>
      <c r="K621" s="5" t="inlineStr">
        <is>
          <t>01a152b9-6ee2-7577-bddd-382bc3853fde</t>
        </is>
      </c>
      <c r="M621" t="inlineStr">
        <is>
          <t>UNKNOWN</t>
        </is>
      </c>
      <c r="N621" t="inlineStr">
        <is>
          <t>DEFAULT</t>
        </is>
      </c>
      <c r="Q621" t="n">
        <v>0</v>
      </c>
      <c r="R621" t="inlineStr">
        <is>
          <t>AUD</t>
        </is>
      </c>
      <c r="S621" t="n">
        <v>0</v>
      </c>
      <c r="T621" t="inlineStr">
        <is>
          <t>AUD</t>
        </is>
      </c>
      <c r="U621" t="n">
        <v>0</v>
      </c>
    </row>
    <row r="622">
      <c r="A622" s="5" t="inlineStr">
        <is>
          <t>01a152b9-7a49-73ec-8e68-3e27923dc7ed</t>
        </is>
      </c>
      <c r="C622" s="5" t="inlineStr">
        <is>
          <t>01a152b9-6e67-75da-8adb-b03e5d07fd21</t>
        </is>
      </c>
      <c r="D622" s="4" t="n">
        <v>46314.24594455256</v>
      </c>
      <c r="E622" s="4" t="n">
        <v>46314.24594455268</v>
      </c>
      <c r="F622" t="b">
        <v>1</v>
      </c>
      <c r="G622" t="n">
        <v/>
      </c>
      <c r="H622" t="inlineStr">
        <is>
          <t>MAET</t>
        </is>
      </c>
      <c r="I622" t="inlineStr">
        <is>
          <t>Munro Global Growth Fund Complex ETF</t>
        </is>
      </c>
      <c r="J622" t="inlineStr">
        <is>
          <t>AUD</t>
        </is>
      </c>
      <c r="K622" s="5" t="inlineStr">
        <is>
          <t>01a152b9-6ee2-7577-bddd-382bc3853fde</t>
        </is>
      </c>
      <c r="M622" t="inlineStr">
        <is>
          <t>UNKNOWN</t>
        </is>
      </c>
      <c r="N622" t="inlineStr">
        <is>
          <t>DEFAULT</t>
        </is>
      </c>
      <c r="Q622" t="n">
        <v>0</v>
      </c>
      <c r="R622" t="inlineStr">
        <is>
          <t>AUD</t>
        </is>
      </c>
      <c r="S622" t="n">
        <v>0</v>
      </c>
      <c r="T622" t="inlineStr">
        <is>
          <t>AUD</t>
        </is>
      </c>
      <c r="U622" t="n">
        <v>0</v>
      </c>
    </row>
    <row r="623">
      <c r="A623" s="5" t="inlineStr">
        <is>
          <t>01a152b9-7a4c-7147-9578-c04820feb36d</t>
        </is>
      </c>
      <c r="C623" s="5" t="inlineStr">
        <is>
          <t>01a152b9-6e67-75da-8adb-b03e5d07fd21</t>
        </is>
      </c>
      <c r="D623" s="4" t="n">
        <v>46314.24594459071</v>
      </c>
      <c r="E623" s="4" t="n">
        <v>46314.2459445908</v>
      </c>
      <c r="F623" t="b">
        <v>1</v>
      </c>
      <c r="G623" t="n">
        <v/>
      </c>
      <c r="H623" t="inlineStr">
        <is>
          <t>AMI</t>
        </is>
      </c>
      <c r="I623" t="inlineStr">
        <is>
          <t>Aurelia Metals Ltd</t>
        </is>
      </c>
      <c r="J623" t="inlineStr">
        <is>
          <t>AUD</t>
        </is>
      </c>
      <c r="K623" s="5" t="inlineStr">
        <is>
          <t>01a152b9-6ee2-7577-bddd-382bc3853fde</t>
        </is>
      </c>
      <c r="M623" t="inlineStr">
        <is>
          <t>UNKNOWN</t>
        </is>
      </c>
      <c r="N623" t="inlineStr">
        <is>
          <t>DEFAULT</t>
        </is>
      </c>
      <c r="Q623" t="n">
        <v>0</v>
      </c>
      <c r="R623" t="inlineStr">
        <is>
          <t>AUD</t>
        </is>
      </c>
      <c r="S623" t="n">
        <v>0</v>
      </c>
      <c r="T623" t="inlineStr">
        <is>
          <t>AUD</t>
        </is>
      </c>
      <c r="U623" t="n">
        <v>0</v>
      </c>
    </row>
    <row r="624">
      <c r="A624" s="5" t="inlineStr">
        <is>
          <t>01a152b9-7a4f-77fe-8aa0-e5bfb8262978</t>
        </is>
      </c>
      <c r="C624" s="5" t="inlineStr">
        <is>
          <t>01a152b9-6e67-75da-8adb-b03e5d07fd21</t>
        </is>
      </c>
      <c r="D624" s="4" t="n">
        <v>46314.24594462837</v>
      </c>
      <c r="E624" s="4" t="n">
        <v>46314.24594462846</v>
      </c>
      <c r="F624" t="b">
        <v>1</v>
      </c>
      <c r="G624" t="n">
        <v/>
      </c>
      <c r="H624" t="inlineStr">
        <is>
          <t>MRE</t>
        </is>
      </c>
      <c r="I624" t="inlineStr">
        <is>
          <t>Metrics Real Estate Multi-Strategy Fund</t>
        </is>
      </c>
      <c r="J624" t="inlineStr">
        <is>
          <t>AUD</t>
        </is>
      </c>
      <c r="K624" s="5" t="inlineStr">
        <is>
          <t>01a152b9-6ee2-7577-bddd-382bc3853fde</t>
        </is>
      </c>
      <c r="M624" t="inlineStr">
        <is>
          <t>UNKNOWN</t>
        </is>
      </c>
      <c r="N624" t="inlineStr">
        <is>
          <t>DEFAULT</t>
        </is>
      </c>
      <c r="Q624" t="n">
        <v>0</v>
      </c>
      <c r="R624" t="inlineStr">
        <is>
          <t>AUD</t>
        </is>
      </c>
      <c r="S624" t="n">
        <v>0</v>
      </c>
      <c r="T624" t="inlineStr">
        <is>
          <t>AUD</t>
        </is>
      </c>
      <c r="U624" t="n">
        <v>0</v>
      </c>
    </row>
    <row r="625">
      <c r="A625" s="5" t="inlineStr">
        <is>
          <t>01a152b9-7a53-736e-b4e5-d2fb47c50ed3</t>
        </is>
      </c>
      <c r="C625" s="5" t="inlineStr">
        <is>
          <t>01a152b9-6e67-75da-8adb-b03e5d07fd21</t>
        </is>
      </c>
      <c r="D625" s="4" t="n">
        <v>46314.24594466893</v>
      </c>
      <c r="E625" s="4" t="n">
        <v>46314.24594466904</v>
      </c>
      <c r="F625" t="b">
        <v>1</v>
      </c>
      <c r="G625" t="n">
        <v/>
      </c>
      <c r="H625" t="inlineStr">
        <is>
          <t>VLUE</t>
        </is>
      </c>
      <c r="I625" t="inlineStr">
        <is>
          <t>Vaneck MSCI International Value ETF</t>
        </is>
      </c>
      <c r="J625" t="inlineStr">
        <is>
          <t>AUD</t>
        </is>
      </c>
      <c r="K625" s="5" t="inlineStr">
        <is>
          <t>01a152b9-6ee2-7577-bddd-382bc3853fde</t>
        </is>
      </c>
      <c r="M625" t="inlineStr">
        <is>
          <t>UNKNOWN</t>
        </is>
      </c>
      <c r="N625" t="inlineStr">
        <is>
          <t>DEFAULT</t>
        </is>
      </c>
      <c r="Q625" t="n">
        <v>0</v>
      </c>
      <c r="R625" t="inlineStr">
        <is>
          <t>AUD</t>
        </is>
      </c>
      <c r="S625" t="n">
        <v>0</v>
      </c>
      <c r="T625" t="inlineStr">
        <is>
          <t>AUD</t>
        </is>
      </c>
      <c r="U625" t="n">
        <v>0</v>
      </c>
    </row>
    <row r="626">
      <c r="A626" s="5" t="inlineStr">
        <is>
          <t>01a152b9-7a56-707c-94fd-dacf581cbe81</t>
        </is>
      </c>
      <c r="C626" s="5" t="inlineStr">
        <is>
          <t>01a152b9-6e67-75da-8adb-b03e5d07fd21</t>
        </is>
      </c>
      <c r="D626" s="4" t="n">
        <v>46314.24594470741</v>
      </c>
      <c r="E626" s="4" t="n">
        <v>46314.2459447075</v>
      </c>
      <c r="F626" t="b">
        <v>1</v>
      </c>
      <c r="G626" t="n">
        <v/>
      </c>
      <c r="H626" t="inlineStr">
        <is>
          <t>REP</t>
        </is>
      </c>
      <c r="I626" t="inlineStr">
        <is>
          <t>Ram Essential Services Property Fund</t>
        </is>
      </c>
      <c r="J626" t="inlineStr">
        <is>
          <t>AUD</t>
        </is>
      </c>
      <c r="K626" s="5" t="inlineStr">
        <is>
          <t>01a152b9-6ee2-7577-bddd-382bc3853fde</t>
        </is>
      </c>
      <c r="M626" t="inlineStr">
        <is>
          <t>UNKNOWN</t>
        </is>
      </c>
      <c r="N626" t="inlineStr">
        <is>
          <t>DEFAULT</t>
        </is>
      </c>
      <c r="Q626" t="n">
        <v>0</v>
      </c>
      <c r="R626" t="inlineStr">
        <is>
          <t>AUD</t>
        </is>
      </c>
      <c r="S626" t="n">
        <v>0</v>
      </c>
      <c r="T626" t="inlineStr">
        <is>
          <t>AUD</t>
        </is>
      </c>
      <c r="U626" t="n">
        <v>0</v>
      </c>
    </row>
    <row r="627">
      <c r="A627" s="5" t="inlineStr">
        <is>
          <t>01a152b9-7a59-744d-bee8-c351bd520a03</t>
        </is>
      </c>
      <c r="C627" s="5" t="inlineStr">
        <is>
          <t>01a152b9-6e67-75da-8adb-b03e5d07fd21</t>
        </is>
      </c>
      <c r="D627" s="4" t="n">
        <v>46314.24594474409</v>
      </c>
      <c r="E627" s="4" t="n">
        <v>46314.24594474418</v>
      </c>
      <c r="F627" t="b">
        <v>1</v>
      </c>
      <c r="G627" t="n">
        <v/>
      </c>
      <c r="H627" t="inlineStr">
        <is>
          <t>GLOB</t>
        </is>
      </c>
      <c r="I627" t="inlineStr">
        <is>
          <t>Barrow Hanley Global Share Fund (Managed Fund)</t>
        </is>
      </c>
      <c r="J627" t="inlineStr">
        <is>
          <t>AUD</t>
        </is>
      </c>
      <c r="K627" s="5" t="inlineStr">
        <is>
          <t>01a152b9-6ee2-7577-bddd-382bc3853fde</t>
        </is>
      </c>
      <c r="M627" t="inlineStr">
        <is>
          <t>UNKNOWN</t>
        </is>
      </c>
      <c r="N627" t="inlineStr">
        <is>
          <t>DEFAULT</t>
        </is>
      </c>
      <c r="Q627" t="n">
        <v>0</v>
      </c>
      <c r="R627" t="inlineStr">
        <is>
          <t>AUD</t>
        </is>
      </c>
      <c r="S627" t="n">
        <v>0</v>
      </c>
      <c r="T627" t="inlineStr">
        <is>
          <t>AUD</t>
        </is>
      </c>
      <c r="U627" t="n">
        <v>0</v>
      </c>
    </row>
    <row r="628">
      <c r="A628" s="5" t="inlineStr">
        <is>
          <t>01a152b9-7a5d-701a-8959-ca946df801df</t>
        </is>
      </c>
      <c r="C628" s="5" t="inlineStr">
        <is>
          <t>01a152b9-6e67-75da-8adb-b03e5d07fd21</t>
        </is>
      </c>
      <c r="D628" s="4" t="n">
        <v>46314.24594478488</v>
      </c>
      <c r="E628" s="4" t="n">
        <v>46314.245944785</v>
      </c>
      <c r="F628" t="b">
        <v>1</v>
      </c>
      <c r="G628" t="n">
        <v/>
      </c>
      <c r="H628" t="inlineStr">
        <is>
          <t>WJL</t>
        </is>
      </c>
      <c r="I628" t="inlineStr">
        <is>
          <t>Webjet Group Ltd</t>
        </is>
      </c>
      <c r="J628" t="inlineStr">
        <is>
          <t>AUD</t>
        </is>
      </c>
      <c r="K628" s="5" t="inlineStr">
        <is>
          <t>01a152b9-6ee2-7577-bddd-382bc3853fde</t>
        </is>
      </c>
      <c r="M628" t="inlineStr">
        <is>
          <t>UNKNOWN</t>
        </is>
      </c>
      <c r="N628" t="inlineStr">
        <is>
          <t>DEFAULT</t>
        </is>
      </c>
      <c r="Q628" t="n">
        <v>0</v>
      </c>
      <c r="R628" t="inlineStr">
        <is>
          <t>AUD</t>
        </is>
      </c>
      <c r="S628" t="n">
        <v>0</v>
      </c>
      <c r="T628" t="inlineStr">
        <is>
          <t>AUD</t>
        </is>
      </c>
      <c r="U628" t="n">
        <v>0</v>
      </c>
    </row>
    <row r="629">
      <c r="A629" s="5" t="inlineStr">
        <is>
          <t>01a152b9-7a60-703c-b0dd-74a7dc4dbf24</t>
        </is>
      </c>
      <c r="C629" s="5" t="inlineStr">
        <is>
          <t>01a152b9-6e67-75da-8adb-b03e5d07fd21</t>
        </is>
      </c>
      <c r="D629" s="4" t="n">
        <v>46314.24594482082</v>
      </c>
      <c r="E629" s="4" t="n">
        <v>46314.24594482093</v>
      </c>
      <c r="F629" t="b">
        <v>1</v>
      </c>
      <c r="G629" t="n">
        <v/>
      </c>
      <c r="H629" t="inlineStr">
        <is>
          <t>VEQ</t>
        </is>
      </c>
      <c r="I629" t="inlineStr">
        <is>
          <t>Vanguard Ftse Europe Shares ETF</t>
        </is>
      </c>
      <c r="J629" t="inlineStr">
        <is>
          <t>AUD</t>
        </is>
      </c>
      <c r="K629" s="5" t="inlineStr">
        <is>
          <t>01a152b9-6ee2-7577-bddd-382bc3853fde</t>
        </is>
      </c>
      <c r="M629" t="inlineStr">
        <is>
          <t>UNKNOWN</t>
        </is>
      </c>
      <c r="N629" t="inlineStr">
        <is>
          <t>DEFAULT</t>
        </is>
      </c>
      <c r="Q629" t="n">
        <v>0</v>
      </c>
      <c r="R629" t="inlineStr">
        <is>
          <t>AUD</t>
        </is>
      </c>
      <c r="S629" t="n">
        <v>0</v>
      </c>
      <c r="T629" t="inlineStr">
        <is>
          <t>AUD</t>
        </is>
      </c>
      <c r="U629" t="n">
        <v>0</v>
      </c>
    </row>
    <row r="630">
      <c r="A630" s="5" t="inlineStr">
        <is>
          <t>01a152b9-7a63-765e-bf25-d5fb1fd90fdb</t>
        </is>
      </c>
      <c r="C630" s="5" t="inlineStr">
        <is>
          <t>01a152b9-6e67-75da-8adb-b03e5d07fd21</t>
        </is>
      </c>
      <c r="D630" s="4" t="n">
        <v>46314.24594485929</v>
      </c>
      <c r="E630" s="4" t="n">
        <v>46314.24594485939</v>
      </c>
      <c r="F630" t="b">
        <v>1</v>
      </c>
      <c r="G630" t="n">
        <v/>
      </c>
      <c r="H630" t="inlineStr">
        <is>
          <t>WGN</t>
        </is>
      </c>
      <c r="I630" t="inlineStr">
        <is>
          <t>Wagners Holding Company Ltd</t>
        </is>
      </c>
      <c r="J630" t="inlineStr">
        <is>
          <t>AUD</t>
        </is>
      </c>
      <c r="K630" s="5" t="inlineStr">
        <is>
          <t>01a152b9-6ee2-7577-bddd-382bc3853fde</t>
        </is>
      </c>
      <c r="M630" t="inlineStr">
        <is>
          <t>UNKNOWN</t>
        </is>
      </c>
      <c r="N630" t="inlineStr">
        <is>
          <t>DEFAULT</t>
        </is>
      </c>
      <c r="Q630" t="n">
        <v>0</v>
      </c>
      <c r="R630" t="inlineStr">
        <is>
          <t>AUD</t>
        </is>
      </c>
      <c r="S630" t="n">
        <v>0</v>
      </c>
      <c r="T630" t="inlineStr">
        <is>
          <t>AUD</t>
        </is>
      </c>
      <c r="U630" t="n">
        <v>0</v>
      </c>
    </row>
    <row r="631">
      <c r="A631" s="5" t="inlineStr">
        <is>
          <t>01a152b9-7a67-7393-abf7-60ba8f5a7d23</t>
        </is>
      </c>
      <c r="C631" s="5" t="inlineStr">
        <is>
          <t>01a152b9-6e67-75da-8adb-b03e5d07fd21</t>
        </is>
      </c>
      <c r="D631" s="4" t="n">
        <v>46314.24594490067</v>
      </c>
      <c r="E631" s="4" t="n">
        <v>46314.24594490077</v>
      </c>
      <c r="F631" t="b">
        <v>1</v>
      </c>
      <c r="G631" t="n">
        <v/>
      </c>
      <c r="H631" t="inlineStr">
        <is>
          <t>TBN</t>
        </is>
      </c>
      <c r="I631" t="inlineStr">
        <is>
          <t>Tamboran Resources Corporation</t>
        </is>
      </c>
      <c r="J631" t="inlineStr">
        <is>
          <t>AUD</t>
        </is>
      </c>
      <c r="K631" s="5" t="inlineStr">
        <is>
          <t>01a152b9-6ee2-7577-bddd-382bc3853fde</t>
        </is>
      </c>
      <c r="M631" t="inlineStr">
        <is>
          <t>UNKNOWN</t>
        </is>
      </c>
      <c r="N631" t="inlineStr">
        <is>
          <t>DEFAULT</t>
        </is>
      </c>
      <c r="Q631" t="n">
        <v>0</v>
      </c>
      <c r="R631" t="inlineStr">
        <is>
          <t>AUD</t>
        </is>
      </c>
      <c r="S631" t="n">
        <v>0</v>
      </c>
      <c r="T631" t="inlineStr">
        <is>
          <t>AUD</t>
        </is>
      </c>
      <c r="U631" t="n">
        <v>0</v>
      </c>
    </row>
    <row r="632">
      <c r="A632" s="5" t="inlineStr">
        <is>
          <t>01a152b9-7a6a-7310-9fde-8b854f57a482</t>
        </is>
      </c>
      <c r="C632" s="5" t="inlineStr">
        <is>
          <t>01a152b9-6e67-75da-8adb-b03e5d07fd21</t>
        </is>
      </c>
      <c r="D632" s="4" t="n">
        <v>46314.2459449396</v>
      </c>
      <c r="E632" s="4" t="n">
        <v>46314.24594493968</v>
      </c>
      <c r="F632" t="b">
        <v>1</v>
      </c>
      <c r="G632" t="n">
        <v/>
      </c>
      <c r="H632" t="inlineStr">
        <is>
          <t>HUM</t>
        </is>
      </c>
      <c r="I632" t="inlineStr">
        <is>
          <t>Humm Group Ltd</t>
        </is>
      </c>
      <c r="J632" t="inlineStr">
        <is>
          <t>AUD</t>
        </is>
      </c>
      <c r="K632" s="5" t="inlineStr">
        <is>
          <t>01a152b9-6ee2-7577-bddd-382bc3853fde</t>
        </is>
      </c>
      <c r="M632" t="inlineStr">
        <is>
          <t>UNKNOWN</t>
        </is>
      </c>
      <c r="N632" t="inlineStr">
        <is>
          <t>DEFAULT</t>
        </is>
      </c>
      <c r="Q632" t="n">
        <v>0</v>
      </c>
      <c r="R632" t="inlineStr">
        <is>
          <t>AUD</t>
        </is>
      </c>
      <c r="S632" t="n">
        <v>0</v>
      </c>
      <c r="T632" t="inlineStr">
        <is>
          <t>AUD</t>
        </is>
      </c>
      <c r="U632" t="n">
        <v>0</v>
      </c>
    </row>
    <row r="633">
      <c r="A633" s="5" t="inlineStr">
        <is>
          <t>01a152b9-7a6e-7506-bff7-db4dbb4fbedf</t>
        </is>
      </c>
      <c r="C633" s="5" t="inlineStr">
        <is>
          <t>01a152b9-6e67-75da-8adb-b03e5d07fd21</t>
        </is>
      </c>
      <c r="D633" s="4" t="n">
        <v>46314.24594498729</v>
      </c>
      <c r="E633" s="4" t="n">
        <v>46314.24594498741</v>
      </c>
      <c r="F633" t="b">
        <v>1</v>
      </c>
      <c r="G633" t="n">
        <v/>
      </c>
      <c r="H633" t="inlineStr">
        <is>
          <t>JMS</t>
        </is>
      </c>
      <c r="I633" t="inlineStr">
        <is>
          <t>Jupiter Mines Ltd</t>
        </is>
      </c>
      <c r="J633" t="inlineStr">
        <is>
          <t>AUD</t>
        </is>
      </c>
      <c r="K633" s="5" t="inlineStr">
        <is>
          <t>01a152b9-6ee2-7577-bddd-382bc3853fde</t>
        </is>
      </c>
      <c r="M633" t="inlineStr">
        <is>
          <t>UNKNOWN</t>
        </is>
      </c>
      <c r="N633" t="inlineStr">
        <is>
          <t>DEFAULT</t>
        </is>
      </c>
      <c r="Q633" t="n">
        <v>0</v>
      </c>
      <c r="R633" t="inlineStr">
        <is>
          <t>AUD</t>
        </is>
      </c>
      <c r="S633" t="n">
        <v>0</v>
      </c>
      <c r="T633" t="inlineStr">
        <is>
          <t>AUD</t>
        </is>
      </c>
      <c r="U633" t="n">
        <v>0</v>
      </c>
    </row>
    <row r="634">
      <c r="A634" s="5" t="inlineStr">
        <is>
          <t>01a152b9-7a72-70aa-98f4-f3f4a56079b9</t>
        </is>
      </c>
      <c r="C634" s="5" t="inlineStr">
        <is>
          <t>01a152b9-6e67-75da-8adb-b03e5d07fd21</t>
        </is>
      </c>
      <c r="D634" s="4" t="n">
        <v>46314.24594502755</v>
      </c>
      <c r="E634" s="4" t="n">
        <v>46314.24594502767</v>
      </c>
      <c r="F634" t="b">
        <v>1</v>
      </c>
      <c r="G634" t="n">
        <v/>
      </c>
      <c r="H634" t="inlineStr">
        <is>
          <t>IMU</t>
        </is>
      </c>
      <c r="I634" t="inlineStr">
        <is>
          <t>Imugene Ltd</t>
        </is>
      </c>
      <c r="J634" t="inlineStr">
        <is>
          <t>AUD</t>
        </is>
      </c>
      <c r="K634" s="5" t="inlineStr">
        <is>
          <t>01a152b9-6ee2-7577-bddd-382bc3853fde</t>
        </is>
      </c>
      <c r="M634" t="inlineStr">
        <is>
          <t>UNKNOWN</t>
        </is>
      </c>
      <c r="N634" t="inlineStr">
        <is>
          <t>DEFAULT</t>
        </is>
      </c>
      <c r="Q634" t="n">
        <v>0</v>
      </c>
      <c r="R634" t="inlineStr">
        <is>
          <t>AUD</t>
        </is>
      </c>
      <c r="S634" t="n">
        <v>0</v>
      </c>
      <c r="T634" t="inlineStr">
        <is>
          <t>AUD</t>
        </is>
      </c>
      <c r="U634" t="n">
        <v>0</v>
      </c>
    </row>
    <row r="635">
      <c r="A635" s="5" t="inlineStr">
        <is>
          <t>01a152b9-7a75-75d0-a7b0-bf1a65729894</t>
        </is>
      </c>
      <c r="C635" s="5" t="inlineStr">
        <is>
          <t>01a152b9-6e67-75da-8adb-b03e5d07fd21</t>
        </is>
      </c>
      <c r="D635" s="4" t="n">
        <v>46314.24594506405</v>
      </c>
      <c r="E635" s="4" t="n">
        <v>46314.24594506415</v>
      </c>
      <c r="F635" t="b">
        <v>1</v>
      </c>
      <c r="G635" t="n">
        <v/>
      </c>
      <c r="H635" t="inlineStr">
        <is>
          <t>WXHG</t>
        </is>
      </c>
      <c r="I635" t="inlineStr">
        <is>
          <t>SPDR S&amp;P World Ex Aus Carbon Control (Hedged) Fund</t>
        </is>
      </c>
      <c r="J635" t="inlineStr">
        <is>
          <t>AUD</t>
        </is>
      </c>
      <c r="K635" s="5" t="inlineStr">
        <is>
          <t>01a152b9-6ee2-7577-bddd-382bc3853fde</t>
        </is>
      </c>
      <c r="M635" t="inlineStr">
        <is>
          <t>UNKNOWN</t>
        </is>
      </c>
      <c r="N635" t="inlineStr">
        <is>
          <t>DEFAULT</t>
        </is>
      </c>
      <c r="Q635" t="n">
        <v>0</v>
      </c>
      <c r="R635" t="inlineStr">
        <is>
          <t>AUD</t>
        </is>
      </c>
      <c r="S635" t="n">
        <v>0</v>
      </c>
      <c r="T635" t="inlineStr">
        <is>
          <t>AUD</t>
        </is>
      </c>
      <c r="U635" t="n">
        <v>0</v>
      </c>
    </row>
    <row r="636">
      <c r="A636" s="5" t="inlineStr">
        <is>
          <t>01a152b9-7a78-736c-98ea-0bdb22502adf</t>
        </is>
      </c>
      <c r="C636" s="5" t="inlineStr">
        <is>
          <t>01a152b9-6e67-75da-8adb-b03e5d07fd21</t>
        </is>
      </c>
      <c r="D636" s="4" t="n">
        <v>46314.24594510252</v>
      </c>
      <c r="E636" s="4" t="n">
        <v>46314.24594510265</v>
      </c>
      <c r="F636" t="b">
        <v>1</v>
      </c>
      <c r="G636" t="n">
        <v/>
      </c>
      <c r="H636" t="inlineStr">
        <is>
          <t>AMPPB</t>
        </is>
      </c>
      <c r="I636" t="inlineStr">
        <is>
          <t>AMP Ltd</t>
        </is>
      </c>
      <c r="J636" t="inlineStr">
        <is>
          <t>AUD</t>
        </is>
      </c>
      <c r="K636" s="5" t="inlineStr">
        <is>
          <t>01a152b9-6ee2-7577-bddd-382bc3853fde</t>
        </is>
      </c>
      <c r="M636" t="inlineStr">
        <is>
          <t>UNKNOWN</t>
        </is>
      </c>
      <c r="N636" t="inlineStr">
        <is>
          <t>DEFAULT</t>
        </is>
      </c>
      <c r="Q636" t="n">
        <v>0</v>
      </c>
      <c r="R636" t="inlineStr">
        <is>
          <t>AUD</t>
        </is>
      </c>
      <c r="S636" t="n">
        <v>0</v>
      </c>
      <c r="T636" t="inlineStr">
        <is>
          <t>AUD</t>
        </is>
      </c>
      <c r="U636" t="n">
        <v>0</v>
      </c>
    </row>
    <row r="637">
      <c r="A637" s="5" t="inlineStr">
        <is>
          <t>01a152b9-7a7c-75df-98ac-90e5628ca784</t>
        </is>
      </c>
      <c r="C637" s="5" t="inlineStr">
        <is>
          <t>01a152b9-6e67-75da-8adb-b03e5d07fd21</t>
        </is>
      </c>
      <c r="D637" s="4" t="n">
        <v>46314.24594514366</v>
      </c>
      <c r="E637" s="4" t="n">
        <v>46314.24594514375</v>
      </c>
      <c r="F637" t="b">
        <v>1</v>
      </c>
      <c r="G637" t="n">
        <v/>
      </c>
      <c r="H637" t="inlineStr">
        <is>
          <t>RCB</t>
        </is>
      </c>
      <c r="I637" t="inlineStr">
        <is>
          <t>Russell Investments Australian Select Corporate Bond ETF</t>
        </is>
      </c>
      <c r="J637" t="inlineStr">
        <is>
          <t>AUD</t>
        </is>
      </c>
      <c r="K637" s="5" t="inlineStr">
        <is>
          <t>01a152b9-6ee2-7577-bddd-382bc3853fde</t>
        </is>
      </c>
      <c r="M637" t="inlineStr">
        <is>
          <t>UNKNOWN</t>
        </is>
      </c>
      <c r="N637" t="inlineStr">
        <is>
          <t>DEFAULT</t>
        </is>
      </c>
      <c r="Q637" t="n">
        <v>0</v>
      </c>
      <c r="R637" t="inlineStr">
        <is>
          <t>AUD</t>
        </is>
      </c>
      <c r="S637" t="n">
        <v>0</v>
      </c>
      <c r="T637" t="inlineStr">
        <is>
          <t>AUD</t>
        </is>
      </c>
      <c r="U637" t="n">
        <v>0</v>
      </c>
    </row>
    <row r="638">
      <c r="A638" s="5" t="inlineStr">
        <is>
          <t>01a152b9-7a7f-739a-87c4-5796072e057e</t>
        </is>
      </c>
      <c r="C638" s="5" t="inlineStr">
        <is>
          <t>01a152b9-6e67-75da-8adb-b03e5d07fd21</t>
        </is>
      </c>
      <c r="D638" s="4" t="n">
        <v>46314.24594518371</v>
      </c>
      <c r="E638" s="4" t="n">
        <v>46314.24594518382</v>
      </c>
      <c r="F638" t="b">
        <v>1</v>
      </c>
      <c r="G638" t="n">
        <v/>
      </c>
      <c r="H638" t="inlineStr">
        <is>
          <t>MSTR</t>
        </is>
      </c>
      <c r="I638" t="inlineStr">
        <is>
          <t>Morningstar International Shares Active ETF (Managed Fund)</t>
        </is>
      </c>
      <c r="J638" t="inlineStr">
        <is>
          <t>AUD</t>
        </is>
      </c>
      <c r="K638" s="5" t="inlineStr">
        <is>
          <t>01a152b9-6ee2-7577-bddd-382bc3853fde</t>
        </is>
      </c>
      <c r="M638" t="inlineStr">
        <is>
          <t>UNKNOWN</t>
        </is>
      </c>
      <c r="N638" t="inlineStr">
        <is>
          <t>DEFAULT</t>
        </is>
      </c>
      <c r="Q638" t="n">
        <v>0</v>
      </c>
      <c r="R638" t="inlineStr">
        <is>
          <t>AUD</t>
        </is>
      </c>
      <c r="S638" t="n">
        <v>0</v>
      </c>
      <c r="T638" t="inlineStr">
        <is>
          <t>AUD</t>
        </is>
      </c>
      <c r="U638" t="n">
        <v>0</v>
      </c>
    </row>
    <row r="639">
      <c r="A639" s="5" t="inlineStr">
        <is>
          <t>01a152b9-7a82-72d0-879d-6c7b20874668</t>
        </is>
      </c>
      <c r="C639" s="5" t="inlineStr">
        <is>
          <t>01a152b9-6e67-75da-8adb-b03e5d07fd21</t>
        </is>
      </c>
      <c r="D639" s="4" t="n">
        <v>46314.24594521833</v>
      </c>
      <c r="E639" s="4" t="n">
        <v>46314.24594521843</v>
      </c>
      <c r="F639" t="b">
        <v>1</v>
      </c>
      <c r="G639" t="n">
        <v/>
      </c>
      <c r="H639" t="inlineStr">
        <is>
          <t>RHCPA</t>
        </is>
      </c>
      <c r="I639" t="inlineStr">
        <is>
          <t>Ramsay Health Care Ltd</t>
        </is>
      </c>
      <c r="J639" t="inlineStr">
        <is>
          <t>AUD</t>
        </is>
      </c>
      <c r="K639" s="5" t="inlineStr">
        <is>
          <t>01a152b9-6ee2-7577-bddd-382bc3853fde</t>
        </is>
      </c>
      <c r="M639" t="inlineStr">
        <is>
          <t>UNKNOWN</t>
        </is>
      </c>
      <c r="N639" t="inlineStr">
        <is>
          <t>DEFAULT</t>
        </is>
      </c>
      <c r="Q639" t="n">
        <v>0</v>
      </c>
      <c r="R639" t="inlineStr">
        <is>
          <t>AUD</t>
        </is>
      </c>
      <c r="S639" t="n">
        <v>0</v>
      </c>
      <c r="T639" t="inlineStr">
        <is>
          <t>AUD</t>
        </is>
      </c>
      <c r="U639" t="n">
        <v>0</v>
      </c>
    </row>
    <row r="640">
      <c r="A640" s="5" t="inlineStr">
        <is>
          <t>01a152b9-7a85-7191-9315-e0ca0c5f14ca</t>
        </is>
      </c>
      <c r="C640" s="5" t="inlineStr">
        <is>
          <t>01a152b9-6e67-75da-8adb-b03e5d07fd21</t>
        </is>
      </c>
      <c r="D640" s="4" t="n">
        <v>46314.2459452556</v>
      </c>
      <c r="E640" s="4" t="n">
        <v>46314.24594525569</v>
      </c>
      <c r="F640" t="b">
        <v>1</v>
      </c>
      <c r="G640" t="n">
        <v/>
      </c>
      <c r="H640" t="inlineStr">
        <is>
          <t>KMD</t>
        </is>
      </c>
      <c r="I640" t="inlineStr">
        <is>
          <t>KMD Brands Ltd</t>
        </is>
      </c>
      <c r="J640" t="inlineStr">
        <is>
          <t>AUD</t>
        </is>
      </c>
      <c r="K640" s="5" t="inlineStr">
        <is>
          <t>01a152b9-6ee2-7577-bddd-382bc3853fde</t>
        </is>
      </c>
      <c r="M640" t="inlineStr">
        <is>
          <t>UNKNOWN</t>
        </is>
      </c>
      <c r="N640" t="inlineStr">
        <is>
          <t>DEFAULT</t>
        </is>
      </c>
      <c r="Q640" t="n">
        <v>0</v>
      </c>
      <c r="R640" t="inlineStr">
        <is>
          <t>AUD</t>
        </is>
      </c>
      <c r="S640" t="n">
        <v>0</v>
      </c>
      <c r="T640" t="inlineStr">
        <is>
          <t>AUD</t>
        </is>
      </c>
      <c r="U640" t="n">
        <v>0</v>
      </c>
    </row>
    <row r="641">
      <c r="A641" s="5" t="inlineStr">
        <is>
          <t>01a152b9-7a89-7751-a6c5-d8e38d3a9643</t>
        </is>
      </c>
      <c r="C641" s="5" t="inlineStr">
        <is>
          <t>01a152b9-6e67-75da-8adb-b03e5d07fd21</t>
        </is>
      </c>
      <c r="D641" s="4" t="n">
        <v>46314.24594529194</v>
      </c>
      <c r="E641" s="4" t="n">
        <v>46314.24594529202</v>
      </c>
      <c r="F641" t="b">
        <v>1</v>
      </c>
      <c r="G641" t="n">
        <v/>
      </c>
      <c r="H641" t="inlineStr">
        <is>
          <t>TCG</t>
        </is>
      </c>
      <c r="I641" t="inlineStr">
        <is>
          <t>Turaco Gold Ltd</t>
        </is>
      </c>
      <c r="J641" t="inlineStr">
        <is>
          <t>AUD</t>
        </is>
      </c>
      <c r="K641" s="5" t="inlineStr">
        <is>
          <t>01a152b9-6ee2-7577-bddd-382bc3853fde</t>
        </is>
      </c>
      <c r="M641" t="inlineStr">
        <is>
          <t>UNKNOWN</t>
        </is>
      </c>
      <c r="N641" t="inlineStr">
        <is>
          <t>DEFAULT</t>
        </is>
      </c>
      <c r="Q641" t="n">
        <v>0</v>
      </c>
      <c r="R641" t="inlineStr">
        <is>
          <t>AUD</t>
        </is>
      </c>
      <c r="S641" t="n">
        <v>0</v>
      </c>
      <c r="T641" t="inlineStr">
        <is>
          <t>AUD</t>
        </is>
      </c>
      <c r="U641" t="n">
        <v>0</v>
      </c>
    </row>
    <row r="642">
      <c r="A642" s="5" t="inlineStr">
        <is>
          <t>01a152b9-7a8d-7248-8cdd-19d979f89611</t>
        </is>
      </c>
      <c r="C642" s="5" t="inlineStr">
        <is>
          <t>01a152b9-6e67-75da-8adb-b03e5d07fd21</t>
        </is>
      </c>
      <c r="D642" s="4" t="n">
        <v>46314.245945339</v>
      </c>
      <c r="E642" s="4" t="n">
        <v>46314.24594533911</v>
      </c>
      <c r="F642" t="b">
        <v>1</v>
      </c>
      <c r="G642" t="n">
        <v/>
      </c>
      <c r="H642" t="inlineStr">
        <is>
          <t>VLC</t>
        </is>
      </c>
      <c r="I642" t="inlineStr">
        <is>
          <t>Vanguard MSCI Australian Large Companies INDEX ETF</t>
        </is>
      </c>
      <c r="J642" t="inlineStr">
        <is>
          <t>AUD</t>
        </is>
      </c>
      <c r="K642" s="5" t="inlineStr">
        <is>
          <t>01a152b9-6ee2-7577-bddd-382bc3853fde</t>
        </is>
      </c>
      <c r="M642" t="inlineStr">
        <is>
          <t>UNIT_TRUST</t>
        </is>
      </c>
      <c r="N642" t="inlineStr">
        <is>
          <t>SUGGESTED</t>
        </is>
      </c>
      <c r="Q642" t="n">
        <v>0</v>
      </c>
      <c r="R642" t="inlineStr">
        <is>
          <t>AUD</t>
        </is>
      </c>
      <c r="S642" t="n">
        <v>0</v>
      </c>
      <c r="T642" t="inlineStr">
        <is>
          <t>AUD</t>
        </is>
      </c>
      <c r="U642" t="n">
        <v>0</v>
      </c>
    </row>
    <row r="643">
      <c r="A643" s="5" t="inlineStr">
        <is>
          <t>01a152b9-7a91-7170-8b7a-f1ba625dc8d4</t>
        </is>
      </c>
      <c r="C643" s="5" t="inlineStr">
        <is>
          <t>01a152b9-6e67-75da-8adb-b03e5d07fd21</t>
        </is>
      </c>
      <c r="D643" s="4" t="n">
        <v>46314.24594538582</v>
      </c>
      <c r="E643" s="4" t="n">
        <v>46314.24594538594</v>
      </c>
      <c r="F643" t="b">
        <v>1</v>
      </c>
      <c r="G643" t="n">
        <v/>
      </c>
      <c r="H643" t="inlineStr">
        <is>
          <t>FID</t>
        </is>
      </c>
      <c r="I643" t="inlineStr">
        <is>
          <t>Fiducian Group Ltd</t>
        </is>
      </c>
      <c r="J643" t="inlineStr">
        <is>
          <t>AUD</t>
        </is>
      </c>
      <c r="K643" s="5" t="inlineStr">
        <is>
          <t>01a152b9-6ee2-7577-bddd-382bc3853fde</t>
        </is>
      </c>
      <c r="M643" t="inlineStr">
        <is>
          <t>UNKNOWN</t>
        </is>
      </c>
      <c r="N643" t="inlineStr">
        <is>
          <t>DEFAULT</t>
        </is>
      </c>
      <c r="Q643" t="n">
        <v>0</v>
      </c>
      <c r="R643" t="inlineStr">
        <is>
          <t>AUD</t>
        </is>
      </c>
      <c r="S643" t="n">
        <v>0</v>
      </c>
      <c r="T643" t="inlineStr">
        <is>
          <t>AUD</t>
        </is>
      </c>
      <c r="U643" t="n">
        <v>0</v>
      </c>
    </row>
    <row r="644">
      <c r="A644" s="5" t="inlineStr">
        <is>
          <t>01a152b9-7a94-72ae-86f2-3266f12d6ba2</t>
        </is>
      </c>
      <c r="C644" s="5" t="inlineStr">
        <is>
          <t>01a152b9-6e67-75da-8adb-b03e5d07fd21</t>
        </is>
      </c>
      <c r="D644" s="4" t="n">
        <v>46314.2459454277</v>
      </c>
      <c r="E644" s="4" t="n">
        <v>46314.24594542781</v>
      </c>
      <c r="F644" t="b">
        <v>1</v>
      </c>
      <c r="G644" t="n">
        <v/>
      </c>
      <c r="H644" t="inlineStr">
        <is>
          <t>WDIV</t>
        </is>
      </c>
      <c r="I644" t="inlineStr">
        <is>
          <t>SPDR S&amp;P Global Dividend Fund</t>
        </is>
      </c>
      <c r="J644" t="inlineStr">
        <is>
          <t>AUD</t>
        </is>
      </c>
      <c r="K644" s="5" t="inlineStr">
        <is>
          <t>01a152b9-6ee2-7577-bddd-382bc3853fde</t>
        </is>
      </c>
      <c r="M644" t="inlineStr">
        <is>
          <t>UNKNOWN</t>
        </is>
      </c>
      <c r="N644" t="inlineStr">
        <is>
          <t>DEFAULT</t>
        </is>
      </c>
      <c r="Q644" t="n">
        <v>0</v>
      </c>
      <c r="R644" t="inlineStr">
        <is>
          <t>AUD</t>
        </is>
      </c>
      <c r="S644" t="n">
        <v>0</v>
      </c>
      <c r="T644" t="inlineStr">
        <is>
          <t>AUD</t>
        </is>
      </c>
      <c r="U644" t="n">
        <v>0</v>
      </c>
    </row>
    <row r="645">
      <c r="A645" s="5" t="inlineStr">
        <is>
          <t>01a152b9-7a98-74bb-a9a0-e97c57028f8e</t>
        </is>
      </c>
      <c r="C645" s="5" t="inlineStr">
        <is>
          <t>01a152b9-6e67-75da-8adb-b03e5d07fd21</t>
        </is>
      </c>
      <c r="D645" s="4" t="n">
        <v>46314.24594547233</v>
      </c>
      <c r="E645" s="4" t="n">
        <v>46314.24594547244</v>
      </c>
      <c r="F645" t="b">
        <v>1</v>
      </c>
      <c r="G645" t="n">
        <v/>
      </c>
      <c r="H645" t="inlineStr">
        <is>
          <t>MEK</t>
        </is>
      </c>
      <c r="I645" t="inlineStr">
        <is>
          <t>Meeka Metals Ltd</t>
        </is>
      </c>
      <c r="J645" t="inlineStr">
        <is>
          <t>AUD</t>
        </is>
      </c>
      <c r="K645" s="5" t="inlineStr">
        <is>
          <t>01a152b9-6ee2-7577-bddd-382bc3853fde</t>
        </is>
      </c>
      <c r="M645" t="inlineStr">
        <is>
          <t>UNKNOWN</t>
        </is>
      </c>
      <c r="N645" t="inlineStr">
        <is>
          <t>DEFAULT</t>
        </is>
      </c>
      <c r="Q645" t="n">
        <v>0</v>
      </c>
      <c r="R645" t="inlineStr">
        <is>
          <t>AUD</t>
        </is>
      </c>
      <c r="S645" t="n">
        <v>0</v>
      </c>
      <c r="T645" t="inlineStr">
        <is>
          <t>AUD</t>
        </is>
      </c>
      <c r="U645" t="n">
        <v>0</v>
      </c>
    </row>
    <row r="646">
      <c r="A646" s="5" t="inlineStr">
        <is>
          <t>01a152b9-7a9d-779f-ae11-8f6062318a94</t>
        </is>
      </c>
      <c r="C646" s="5" t="inlineStr">
        <is>
          <t>01a152b9-6e67-75da-8adb-b03e5d07fd21</t>
        </is>
      </c>
      <c r="D646" s="4" t="n">
        <v>46314.24594552384</v>
      </c>
      <c r="E646" s="4" t="n">
        <v>46314.24594552398</v>
      </c>
      <c r="F646" t="b">
        <v>1</v>
      </c>
      <c r="G646" t="n">
        <v/>
      </c>
      <c r="H646" t="inlineStr">
        <is>
          <t>PWR</t>
        </is>
      </c>
      <c r="I646" t="inlineStr">
        <is>
          <t>Peter Warren Automotive Holdings Ltd</t>
        </is>
      </c>
      <c r="J646" t="inlineStr">
        <is>
          <t>AUD</t>
        </is>
      </c>
      <c r="K646" s="5" t="inlineStr">
        <is>
          <t>01a152b9-6ee2-7577-bddd-382bc3853fde</t>
        </is>
      </c>
      <c r="M646" t="inlineStr">
        <is>
          <t>UNKNOWN</t>
        </is>
      </c>
      <c r="N646" t="inlineStr">
        <is>
          <t>DEFAULT</t>
        </is>
      </c>
      <c r="Q646" t="n">
        <v>0</v>
      </c>
      <c r="R646" t="inlineStr">
        <is>
          <t>AUD</t>
        </is>
      </c>
      <c r="S646" t="n">
        <v>0</v>
      </c>
      <c r="T646" t="inlineStr">
        <is>
          <t>AUD</t>
        </is>
      </c>
      <c r="U646" t="n">
        <v>0</v>
      </c>
    </row>
    <row r="647">
      <c r="A647" s="5" t="inlineStr">
        <is>
          <t>01a152b9-7aa0-77cf-9bd3-a0c28f4b37e2</t>
        </is>
      </c>
      <c r="C647" s="5" t="inlineStr">
        <is>
          <t>01a152b9-6e67-75da-8adb-b03e5d07fd21</t>
        </is>
      </c>
      <c r="D647" s="4" t="n">
        <v>46314.24594556379</v>
      </c>
      <c r="E647" s="4" t="n">
        <v>46314.24594556391</v>
      </c>
      <c r="F647" t="b">
        <v>1</v>
      </c>
      <c r="G647" t="n">
        <v/>
      </c>
      <c r="H647" t="inlineStr">
        <is>
          <t>BOQPF</t>
        </is>
      </c>
      <c r="I647" t="inlineStr">
        <is>
          <t>Bank of Queensland Ltd</t>
        </is>
      </c>
      <c r="J647" t="inlineStr">
        <is>
          <t>AUD</t>
        </is>
      </c>
      <c r="K647" s="5" t="inlineStr">
        <is>
          <t>01a152b9-6ee2-7577-bddd-382bc3853fde</t>
        </is>
      </c>
      <c r="M647" t="inlineStr">
        <is>
          <t>UNKNOWN</t>
        </is>
      </c>
      <c r="N647" t="inlineStr">
        <is>
          <t>DEFAULT</t>
        </is>
      </c>
      <c r="Q647" t="n">
        <v>0</v>
      </c>
      <c r="R647" t="inlineStr">
        <is>
          <t>AUD</t>
        </is>
      </c>
      <c r="S647" t="n">
        <v>0</v>
      </c>
      <c r="T647" t="inlineStr">
        <is>
          <t>AUD</t>
        </is>
      </c>
      <c r="U647" t="n">
        <v>0</v>
      </c>
    </row>
    <row r="648">
      <c r="A648" s="5" t="inlineStr">
        <is>
          <t>01a152b9-7aa4-77d3-80aa-82e9835cf1d2</t>
        </is>
      </c>
      <c r="C648" s="5" t="inlineStr">
        <is>
          <t>01a152b9-6e67-75da-8adb-b03e5d07fd21</t>
        </is>
      </c>
      <c r="D648" s="4" t="n">
        <v>46314.24594560658</v>
      </c>
      <c r="E648" s="4" t="n">
        <v>46314.24594560672</v>
      </c>
      <c r="F648" t="b">
        <v>1</v>
      </c>
      <c r="G648" t="n">
        <v/>
      </c>
      <c r="H648" t="inlineStr">
        <is>
          <t>WAT</t>
        </is>
      </c>
      <c r="I648" t="inlineStr">
        <is>
          <t>Waterco Ltd</t>
        </is>
      </c>
      <c r="J648" t="inlineStr">
        <is>
          <t>AUD</t>
        </is>
      </c>
      <c r="K648" s="5" t="inlineStr">
        <is>
          <t>01a152b9-6ee2-7577-bddd-382bc3853fde</t>
        </is>
      </c>
      <c r="M648" t="inlineStr">
        <is>
          <t>UNKNOWN</t>
        </is>
      </c>
      <c r="N648" t="inlineStr">
        <is>
          <t>DEFAULT</t>
        </is>
      </c>
      <c r="Q648" t="n">
        <v>0</v>
      </c>
      <c r="R648" t="inlineStr">
        <is>
          <t>AUD</t>
        </is>
      </c>
      <c r="S648" t="n">
        <v>0</v>
      </c>
      <c r="T648" t="inlineStr">
        <is>
          <t>AUD</t>
        </is>
      </c>
      <c r="U648" t="n">
        <v>0</v>
      </c>
    </row>
    <row r="649">
      <c r="A649" s="5" t="inlineStr">
        <is>
          <t>01a152b9-7aa8-7086-bd41-e6b3ab11bd9b</t>
        </is>
      </c>
      <c r="C649" s="5" t="inlineStr">
        <is>
          <t>01a152b9-6e67-75da-8adb-b03e5d07fd21</t>
        </is>
      </c>
      <c r="D649" s="4" t="n">
        <v>46314.24594565202</v>
      </c>
      <c r="E649" s="4" t="n">
        <v>46314.24594565227</v>
      </c>
      <c r="F649" t="b">
        <v>1</v>
      </c>
      <c r="G649" t="n">
        <v/>
      </c>
      <c r="H649" t="inlineStr">
        <is>
          <t>PGH</t>
        </is>
      </c>
      <c r="I649" t="inlineStr">
        <is>
          <t>Pact Group Holdings Ltd</t>
        </is>
      </c>
      <c r="J649" t="inlineStr">
        <is>
          <t>AUD</t>
        </is>
      </c>
      <c r="K649" s="5" t="inlineStr">
        <is>
          <t>01a152b9-6ee2-7577-bddd-382bc3853fde</t>
        </is>
      </c>
      <c r="M649" t="inlineStr">
        <is>
          <t>UNKNOWN</t>
        </is>
      </c>
      <c r="N649" t="inlineStr">
        <is>
          <t>DEFAULT</t>
        </is>
      </c>
      <c r="Q649" t="n">
        <v>0</v>
      </c>
      <c r="R649" t="inlineStr">
        <is>
          <t>AUD</t>
        </is>
      </c>
      <c r="S649" t="n">
        <v>0</v>
      </c>
      <c r="T649" t="inlineStr">
        <is>
          <t>AUD</t>
        </is>
      </c>
      <c r="U649" t="n">
        <v>0</v>
      </c>
    </row>
    <row r="650">
      <c r="A650" s="5" t="inlineStr">
        <is>
          <t>01a152b9-7aac-74c9-9058-8987026c4691</t>
        </is>
      </c>
      <c r="C650" s="5" t="inlineStr">
        <is>
          <t>01a152b9-6e67-75da-8adb-b03e5d07fd21</t>
        </is>
      </c>
      <c r="D650" s="4" t="n">
        <v>46314.24594569609</v>
      </c>
      <c r="E650" s="4" t="n">
        <v>46314.24594569622</v>
      </c>
      <c r="F650" t="b">
        <v>1</v>
      </c>
      <c r="G650" t="n">
        <v/>
      </c>
      <c r="H650" t="inlineStr">
        <is>
          <t>AFP</t>
        </is>
      </c>
      <c r="I650" t="inlineStr">
        <is>
          <t>Aft Pharmaceuticals Ltd</t>
        </is>
      </c>
      <c r="J650" t="inlineStr">
        <is>
          <t>AUD</t>
        </is>
      </c>
      <c r="K650" s="5" t="inlineStr">
        <is>
          <t>01a152b9-6ee2-7577-bddd-382bc3853fde</t>
        </is>
      </c>
      <c r="M650" t="inlineStr">
        <is>
          <t>UNKNOWN</t>
        </is>
      </c>
      <c r="N650" t="inlineStr">
        <is>
          <t>DEFAULT</t>
        </is>
      </c>
      <c r="Q650" t="n">
        <v>0</v>
      </c>
      <c r="R650" t="inlineStr">
        <is>
          <t>AUD</t>
        </is>
      </c>
      <c r="S650" t="n">
        <v>0</v>
      </c>
      <c r="T650" t="inlineStr">
        <is>
          <t>AUD</t>
        </is>
      </c>
      <c r="U650" t="n">
        <v>0</v>
      </c>
    </row>
    <row r="651">
      <c r="A651" s="5" t="inlineStr">
        <is>
          <t>01a152b9-7aaf-75f1-b340-51d6d5411c53</t>
        </is>
      </c>
      <c r="C651" s="5" t="inlineStr">
        <is>
          <t>01a152b9-6e67-75da-8adb-b03e5d07fd21</t>
        </is>
      </c>
      <c r="D651" s="4" t="n">
        <v>46314.24594573319</v>
      </c>
      <c r="E651" s="4" t="n">
        <v>46314.2459457333</v>
      </c>
      <c r="F651" t="b">
        <v>1</v>
      </c>
      <c r="G651" t="n">
        <v/>
      </c>
      <c r="H651" t="inlineStr">
        <is>
          <t>LAU</t>
        </is>
      </c>
      <c r="I651" t="inlineStr">
        <is>
          <t>Lindsay Australia Ltd</t>
        </is>
      </c>
      <c r="J651" t="inlineStr">
        <is>
          <t>AUD</t>
        </is>
      </c>
      <c r="K651" s="5" t="inlineStr">
        <is>
          <t>01a152b9-6ee2-7577-bddd-382bc3853fde</t>
        </is>
      </c>
      <c r="M651" t="inlineStr">
        <is>
          <t>UNKNOWN</t>
        </is>
      </c>
      <c r="N651" t="inlineStr">
        <is>
          <t>DEFAULT</t>
        </is>
      </c>
      <c r="Q651" t="n">
        <v>0</v>
      </c>
      <c r="R651" t="inlineStr">
        <is>
          <t>AUD</t>
        </is>
      </c>
      <c r="S651" t="n">
        <v>0</v>
      </c>
      <c r="T651" t="inlineStr">
        <is>
          <t>AUD</t>
        </is>
      </c>
      <c r="U651" t="n">
        <v>0</v>
      </c>
    </row>
    <row r="652">
      <c r="A652" s="5" t="inlineStr">
        <is>
          <t>01a152b9-7ab2-70e5-bd81-c3a863686596</t>
        </is>
      </c>
      <c r="C652" s="5" t="inlineStr">
        <is>
          <t>01a152b9-6e67-75da-8adb-b03e5d07fd21</t>
        </is>
      </c>
      <c r="D652" s="4" t="n">
        <v>46314.24594576949</v>
      </c>
      <c r="E652" s="4" t="n">
        <v>46314.24594576961</v>
      </c>
      <c r="F652" t="b">
        <v>1</v>
      </c>
      <c r="G652" t="n">
        <v/>
      </c>
      <c r="H652" t="inlineStr">
        <is>
          <t>SBM</t>
        </is>
      </c>
      <c r="I652" t="inlineStr">
        <is>
          <t>ST Barbara Ltd</t>
        </is>
      </c>
      <c r="J652" t="inlineStr">
        <is>
          <t>AUD</t>
        </is>
      </c>
      <c r="K652" s="5" t="inlineStr">
        <is>
          <t>01a152b9-6ee2-7577-bddd-382bc3853fde</t>
        </is>
      </c>
      <c r="M652" t="inlineStr">
        <is>
          <t>UNKNOWN</t>
        </is>
      </c>
      <c r="N652" t="inlineStr">
        <is>
          <t>DEFAULT</t>
        </is>
      </c>
      <c r="Q652" t="n">
        <v>0</v>
      </c>
      <c r="R652" t="inlineStr">
        <is>
          <t>AUD</t>
        </is>
      </c>
      <c r="S652" t="n">
        <v>0</v>
      </c>
      <c r="T652" t="inlineStr">
        <is>
          <t>AUD</t>
        </is>
      </c>
      <c r="U652" t="n">
        <v>0</v>
      </c>
    </row>
    <row r="653">
      <c r="A653" s="5" t="inlineStr">
        <is>
          <t>01a152b9-7ab5-7237-bb11-7968827ae1ad</t>
        </is>
      </c>
      <c r="C653" s="5" t="inlineStr">
        <is>
          <t>01a152b9-6e67-75da-8adb-b03e5d07fd21</t>
        </is>
      </c>
      <c r="D653" s="4" t="n">
        <v>46314.24594580479</v>
      </c>
      <c r="E653" s="4" t="n">
        <v>46314.24594580491</v>
      </c>
      <c r="F653" t="b">
        <v>1</v>
      </c>
      <c r="G653" t="n">
        <v/>
      </c>
      <c r="H653" t="inlineStr">
        <is>
          <t>ARX</t>
        </is>
      </c>
      <c r="I653" t="inlineStr">
        <is>
          <t>Aroa Biosurgery Ltd</t>
        </is>
      </c>
      <c r="J653" t="inlineStr">
        <is>
          <t>AUD</t>
        </is>
      </c>
      <c r="K653" s="5" t="inlineStr">
        <is>
          <t>01a152b9-6ee2-7577-bddd-382bc3853fde</t>
        </is>
      </c>
      <c r="M653" t="inlineStr">
        <is>
          <t>UNKNOWN</t>
        </is>
      </c>
      <c r="N653" t="inlineStr">
        <is>
          <t>DEFAULT</t>
        </is>
      </c>
      <c r="Q653" t="n">
        <v>0</v>
      </c>
      <c r="R653" t="inlineStr">
        <is>
          <t>AUD</t>
        </is>
      </c>
      <c r="S653" t="n">
        <v>0</v>
      </c>
      <c r="T653" t="inlineStr">
        <is>
          <t>AUD</t>
        </is>
      </c>
      <c r="U653" t="n">
        <v>0</v>
      </c>
    </row>
    <row r="654">
      <c r="A654" s="5" t="inlineStr">
        <is>
          <t>01a152b9-7ab8-74ea-b08b-6157bb379e55</t>
        </is>
      </c>
      <c r="C654" s="5" t="inlineStr">
        <is>
          <t>01a152b9-6e67-75da-8adb-b03e5d07fd21</t>
        </is>
      </c>
      <c r="D654" s="4" t="n">
        <v>46314.24594584308</v>
      </c>
      <c r="E654" s="4" t="n">
        <v>46314.24594584337</v>
      </c>
      <c r="F654" t="b">
        <v>1</v>
      </c>
      <c r="G654" t="n">
        <v/>
      </c>
      <c r="H654" t="inlineStr">
        <is>
          <t>BRE</t>
        </is>
      </c>
      <c r="I654" t="inlineStr">
        <is>
          <t>Brazilian Rare EARTHS Ltd</t>
        </is>
      </c>
      <c r="J654" t="inlineStr">
        <is>
          <t>AUD</t>
        </is>
      </c>
      <c r="K654" s="5" t="inlineStr">
        <is>
          <t>01a152b9-6ee2-7577-bddd-382bc3853fde</t>
        </is>
      </c>
      <c r="M654" t="inlineStr">
        <is>
          <t>UNKNOWN</t>
        </is>
      </c>
      <c r="N654" t="inlineStr">
        <is>
          <t>DEFAULT</t>
        </is>
      </c>
      <c r="Q654" t="n">
        <v>0</v>
      </c>
      <c r="R654" t="inlineStr">
        <is>
          <t>AUD</t>
        </is>
      </c>
      <c r="S654" t="n">
        <v>0</v>
      </c>
      <c r="T654" t="inlineStr">
        <is>
          <t>AUD</t>
        </is>
      </c>
      <c r="U654" t="n">
        <v>0</v>
      </c>
    </row>
    <row r="655">
      <c r="A655" s="5" t="inlineStr">
        <is>
          <t>01a152b9-7abc-7028-9a17-030aa497762b</t>
        </is>
      </c>
      <c r="C655" s="5" t="inlineStr">
        <is>
          <t>01a152b9-6e67-75da-8adb-b03e5d07fd21</t>
        </is>
      </c>
      <c r="D655" s="4" t="n">
        <v>46314.24594588485</v>
      </c>
      <c r="E655" s="4" t="n">
        <v>46314.24594588496</v>
      </c>
      <c r="F655" t="b">
        <v>1</v>
      </c>
      <c r="G655" t="n">
        <v/>
      </c>
      <c r="H655" t="inlineStr">
        <is>
          <t>SYA</t>
        </is>
      </c>
      <c r="I655" t="inlineStr">
        <is>
          <t>Sayona Mining Ltd</t>
        </is>
      </c>
      <c r="J655" t="inlineStr">
        <is>
          <t>AUD</t>
        </is>
      </c>
      <c r="K655" s="5" t="inlineStr">
        <is>
          <t>01a152b9-6ee2-7577-bddd-382bc3853fde</t>
        </is>
      </c>
      <c r="M655" t="inlineStr">
        <is>
          <t>UNKNOWN</t>
        </is>
      </c>
      <c r="N655" t="inlineStr">
        <is>
          <t>DEFAULT</t>
        </is>
      </c>
      <c r="Q655" t="n">
        <v>0</v>
      </c>
      <c r="R655" t="inlineStr">
        <is>
          <t>AUD</t>
        </is>
      </c>
      <c r="S655" t="n">
        <v>0</v>
      </c>
      <c r="T655" t="inlineStr">
        <is>
          <t>AUD</t>
        </is>
      </c>
      <c r="U655" t="n">
        <v>0</v>
      </c>
    </row>
    <row r="656">
      <c r="A656" s="5" t="inlineStr">
        <is>
          <t>01a152b9-7abf-73d7-8975-588664917867</t>
        </is>
      </c>
      <c r="C656" s="5" t="inlineStr">
        <is>
          <t>01a152b9-6e67-75da-8adb-b03e5d07fd21</t>
        </is>
      </c>
      <c r="D656" s="4" t="n">
        <v>46314.24594592471</v>
      </c>
      <c r="E656" s="4" t="n">
        <v>46314.24594592483</v>
      </c>
      <c r="F656" t="b">
        <v>1</v>
      </c>
      <c r="G656" t="n">
        <v/>
      </c>
      <c r="H656" t="inlineStr">
        <is>
          <t>SVR</t>
        </is>
      </c>
      <c r="I656" t="inlineStr">
        <is>
          <t>Solvar Ltd</t>
        </is>
      </c>
      <c r="J656" t="inlineStr">
        <is>
          <t>AUD</t>
        </is>
      </c>
      <c r="K656" s="5" t="inlineStr">
        <is>
          <t>01a152b9-6ee2-7577-bddd-382bc3853fde</t>
        </is>
      </c>
      <c r="M656" t="inlineStr">
        <is>
          <t>UNKNOWN</t>
        </is>
      </c>
      <c r="N656" t="inlineStr">
        <is>
          <t>DEFAULT</t>
        </is>
      </c>
      <c r="Q656" t="n">
        <v>0</v>
      </c>
      <c r="R656" t="inlineStr">
        <is>
          <t>AUD</t>
        </is>
      </c>
      <c r="S656" t="n">
        <v>0</v>
      </c>
      <c r="T656" t="inlineStr">
        <is>
          <t>AUD</t>
        </is>
      </c>
      <c r="U656" t="n">
        <v>0</v>
      </c>
    </row>
    <row r="657">
      <c r="A657" s="5" t="inlineStr">
        <is>
          <t>01a152b9-7ac3-7427-be02-c6dd20fdb857</t>
        </is>
      </c>
      <c r="C657" s="5" t="inlineStr">
        <is>
          <t>01a152b9-6e67-75da-8adb-b03e5d07fd21</t>
        </is>
      </c>
      <c r="D657" s="4" t="n">
        <v>46314.24594596273</v>
      </c>
      <c r="E657" s="4" t="n">
        <v>46314.24594596284</v>
      </c>
      <c r="F657" t="b">
        <v>1</v>
      </c>
      <c r="G657" t="n">
        <v/>
      </c>
      <c r="H657" t="inlineStr">
        <is>
          <t>SM1</t>
        </is>
      </c>
      <c r="I657" t="inlineStr">
        <is>
          <t>Synlait Milk Ltd</t>
        </is>
      </c>
      <c r="J657" t="inlineStr">
        <is>
          <t>AUD</t>
        </is>
      </c>
      <c r="K657" s="5" t="inlineStr">
        <is>
          <t>01a152b9-6ee2-7577-bddd-382bc3853fde</t>
        </is>
      </c>
      <c r="M657" t="inlineStr">
        <is>
          <t>UNKNOWN</t>
        </is>
      </c>
      <c r="N657" t="inlineStr">
        <is>
          <t>DEFAULT</t>
        </is>
      </c>
      <c r="Q657" t="n">
        <v>0</v>
      </c>
      <c r="R657" t="inlineStr">
        <is>
          <t>AUD</t>
        </is>
      </c>
      <c r="S657" t="n">
        <v>0</v>
      </c>
      <c r="T657" t="inlineStr">
        <is>
          <t>AUD</t>
        </is>
      </c>
      <c r="U657" t="n">
        <v>0</v>
      </c>
    </row>
    <row r="658">
      <c r="A658" s="5" t="inlineStr">
        <is>
          <t>01a152b9-7ac6-7298-9241-9be5d53708d8</t>
        </is>
      </c>
      <c r="C658" s="5" t="inlineStr">
        <is>
          <t>01a152b9-6e67-75da-8adb-b03e5d07fd21</t>
        </is>
      </c>
      <c r="D658" s="4" t="n">
        <v>46314.24594600236</v>
      </c>
      <c r="E658" s="4" t="n">
        <v>46314.2459460025</v>
      </c>
      <c r="F658" t="b">
        <v>1</v>
      </c>
      <c r="G658" t="n">
        <v/>
      </c>
      <c r="H658" t="inlineStr">
        <is>
          <t>URF</t>
        </is>
      </c>
      <c r="I658" t="inlineStr">
        <is>
          <t>US Masters Residential Property Fund</t>
        </is>
      </c>
      <c r="J658" t="inlineStr">
        <is>
          <t>AUD</t>
        </is>
      </c>
      <c r="K658" s="5" t="inlineStr">
        <is>
          <t>01a152b9-6ee2-7577-bddd-382bc3853fde</t>
        </is>
      </c>
      <c r="M658" t="inlineStr">
        <is>
          <t>UNKNOWN</t>
        </is>
      </c>
      <c r="N658" t="inlineStr">
        <is>
          <t>DEFAULT</t>
        </is>
      </c>
      <c r="Q658" t="n">
        <v>0</v>
      </c>
      <c r="R658" t="inlineStr">
        <is>
          <t>AUD</t>
        </is>
      </c>
      <c r="S658" t="n">
        <v>0</v>
      </c>
      <c r="T658" t="inlineStr">
        <is>
          <t>AUD</t>
        </is>
      </c>
      <c r="U658" t="n">
        <v>0</v>
      </c>
    </row>
    <row r="659">
      <c r="A659" s="5" t="inlineStr">
        <is>
          <t>01a152b9-7ac9-75e2-bba0-1eeaa0a4eade</t>
        </is>
      </c>
      <c r="C659" s="5" t="inlineStr">
        <is>
          <t>01a152b9-6e67-75da-8adb-b03e5d07fd21</t>
        </is>
      </c>
      <c r="D659" s="4" t="n">
        <v>46314.24594604268</v>
      </c>
      <c r="E659" s="4" t="n">
        <v>46314.24594604279</v>
      </c>
      <c r="F659" t="b">
        <v>1</v>
      </c>
      <c r="G659" t="n">
        <v/>
      </c>
      <c r="H659" t="inlineStr">
        <is>
          <t>CYC</t>
        </is>
      </c>
      <c r="I659" t="inlineStr">
        <is>
          <t>Cyclopharm Ltd</t>
        </is>
      </c>
      <c r="J659" t="inlineStr">
        <is>
          <t>AUD</t>
        </is>
      </c>
      <c r="K659" s="5" t="inlineStr">
        <is>
          <t>01a152b9-6ee2-7577-bddd-382bc3853fde</t>
        </is>
      </c>
      <c r="M659" t="inlineStr">
        <is>
          <t>UNKNOWN</t>
        </is>
      </c>
      <c r="N659" t="inlineStr">
        <is>
          <t>DEFAULT</t>
        </is>
      </c>
      <c r="Q659" t="n">
        <v>0</v>
      </c>
      <c r="R659" t="inlineStr">
        <is>
          <t>AUD</t>
        </is>
      </c>
      <c r="S659" t="n">
        <v>0</v>
      </c>
      <c r="T659" t="inlineStr">
        <is>
          <t>AUD</t>
        </is>
      </c>
      <c r="U659" t="n">
        <v>0</v>
      </c>
    </row>
    <row r="660">
      <c r="A660" s="5" t="inlineStr">
        <is>
          <t>01a152b9-7acd-7312-acd7-f55c5341a7e3</t>
        </is>
      </c>
      <c r="C660" s="5" t="inlineStr">
        <is>
          <t>01a152b9-6e67-75da-8adb-b03e5d07fd21</t>
        </is>
      </c>
      <c r="D660" s="4" t="n">
        <v>46314.24594608132</v>
      </c>
      <c r="E660" s="4" t="n">
        <v>46314.24594608142</v>
      </c>
      <c r="F660" t="b">
        <v>1</v>
      </c>
      <c r="G660" t="n">
        <v/>
      </c>
      <c r="H660" t="inlineStr">
        <is>
          <t>UMAX</t>
        </is>
      </c>
      <c r="I660" t="inlineStr">
        <is>
          <t>Betashares S&amp;P 500 Yield Maximiser Fund (Managed Fund)</t>
        </is>
      </c>
      <c r="J660" t="inlineStr">
        <is>
          <t>AUD</t>
        </is>
      </c>
      <c r="K660" s="5" t="inlineStr">
        <is>
          <t>01a152b9-6ee2-7577-bddd-382bc3853fde</t>
        </is>
      </c>
      <c r="M660" t="inlineStr">
        <is>
          <t>UNKNOWN</t>
        </is>
      </c>
      <c r="N660" t="inlineStr">
        <is>
          <t>DEFAULT</t>
        </is>
      </c>
      <c r="Q660" t="n">
        <v>0</v>
      </c>
      <c r="R660" t="inlineStr">
        <is>
          <t>AUD</t>
        </is>
      </c>
      <c r="S660" t="n">
        <v>0</v>
      </c>
      <c r="T660" t="inlineStr">
        <is>
          <t>AUD</t>
        </is>
      </c>
      <c r="U660" t="n">
        <v>0</v>
      </c>
    </row>
    <row r="661">
      <c r="A661" s="5" t="inlineStr">
        <is>
          <t>01a152b9-7ad0-733a-84ca-7522bd1f074f</t>
        </is>
      </c>
      <c r="C661" s="5" t="inlineStr">
        <is>
          <t>01a152b9-6e67-75da-8adb-b03e5d07fd21</t>
        </is>
      </c>
      <c r="D661" s="4" t="n">
        <v>46314.24594611819</v>
      </c>
      <c r="E661" s="4" t="n">
        <v>46314.24594611829</v>
      </c>
      <c r="F661" t="b">
        <v>1</v>
      </c>
      <c r="G661" t="n">
        <v/>
      </c>
      <c r="H661" t="inlineStr">
        <is>
          <t>OMH</t>
        </is>
      </c>
      <c r="I661" t="inlineStr">
        <is>
          <t>Om Holdings Ltd</t>
        </is>
      </c>
      <c r="J661" t="inlineStr">
        <is>
          <t>AUD</t>
        </is>
      </c>
      <c r="K661" s="5" t="inlineStr">
        <is>
          <t>01a152b9-6ee2-7577-bddd-382bc3853fde</t>
        </is>
      </c>
      <c r="M661" t="inlineStr">
        <is>
          <t>UNKNOWN</t>
        </is>
      </c>
      <c r="N661" t="inlineStr">
        <is>
          <t>DEFAULT</t>
        </is>
      </c>
      <c r="Q661" t="n">
        <v>0</v>
      </c>
      <c r="R661" t="inlineStr">
        <is>
          <t>AUD</t>
        </is>
      </c>
      <c r="S661" t="n">
        <v>0</v>
      </c>
      <c r="T661" t="inlineStr">
        <is>
          <t>AUD</t>
        </is>
      </c>
      <c r="U661" t="n">
        <v>0</v>
      </c>
    </row>
    <row r="662">
      <c r="A662" s="5" t="inlineStr">
        <is>
          <t>01a152b9-7ad4-753c-9295-89e767bf72a4</t>
        </is>
      </c>
      <c r="C662" s="5" t="inlineStr">
        <is>
          <t>01a152b9-6e67-75da-8adb-b03e5d07fd21</t>
        </is>
      </c>
      <c r="D662" s="4" t="n">
        <v>46314.24594615895</v>
      </c>
      <c r="E662" s="4" t="n">
        <v>46314.24594615906</v>
      </c>
      <c r="F662" t="b">
        <v>1</v>
      </c>
      <c r="G662" t="n">
        <v/>
      </c>
      <c r="H662" t="inlineStr">
        <is>
          <t>ICOR</t>
        </is>
      </c>
      <c r="I662" t="inlineStr">
        <is>
          <t>Ishares Core Corporate Bond ETF</t>
        </is>
      </c>
      <c r="J662" t="inlineStr">
        <is>
          <t>AUD</t>
        </is>
      </c>
      <c r="K662" s="5" t="inlineStr">
        <is>
          <t>01a152b9-6ee2-7577-bddd-382bc3853fde</t>
        </is>
      </c>
      <c r="M662" t="inlineStr">
        <is>
          <t>UNKNOWN</t>
        </is>
      </c>
      <c r="N662" t="inlineStr">
        <is>
          <t>DEFAULT</t>
        </is>
      </c>
      <c r="Q662" t="n">
        <v>0</v>
      </c>
      <c r="R662" t="inlineStr">
        <is>
          <t>AUD</t>
        </is>
      </c>
      <c r="S662" t="n">
        <v>0</v>
      </c>
      <c r="T662" t="inlineStr">
        <is>
          <t>AUD</t>
        </is>
      </c>
      <c r="U662" t="n">
        <v>0</v>
      </c>
    </row>
    <row r="663">
      <c r="A663" s="5" t="inlineStr">
        <is>
          <t>01a152b9-7ad7-7337-91e5-e92b350fba3f</t>
        </is>
      </c>
      <c r="C663" s="5" t="inlineStr">
        <is>
          <t>01a152b9-6e67-75da-8adb-b03e5d07fd21</t>
        </is>
      </c>
      <c r="D663" s="4" t="n">
        <v>46314.24594619519</v>
      </c>
      <c r="E663" s="4" t="n">
        <v>46314.2459461953</v>
      </c>
      <c r="F663" t="b">
        <v>1</v>
      </c>
      <c r="G663" t="n">
        <v/>
      </c>
      <c r="H663" t="inlineStr">
        <is>
          <t>RHI</t>
        </is>
      </c>
      <c r="I663" t="inlineStr">
        <is>
          <t>Red Hill Minerals Ltd</t>
        </is>
      </c>
      <c r="J663" t="inlineStr">
        <is>
          <t>AUD</t>
        </is>
      </c>
      <c r="K663" s="5" t="inlineStr">
        <is>
          <t>01a152b9-6ee2-7577-bddd-382bc3853fde</t>
        </is>
      </c>
      <c r="M663" t="inlineStr">
        <is>
          <t>UNKNOWN</t>
        </is>
      </c>
      <c r="N663" t="inlineStr">
        <is>
          <t>DEFAULT</t>
        </is>
      </c>
      <c r="Q663" t="n">
        <v>0</v>
      </c>
      <c r="R663" t="inlineStr">
        <is>
          <t>AUD</t>
        </is>
      </c>
      <c r="S663" t="n">
        <v>0</v>
      </c>
      <c r="T663" t="inlineStr">
        <is>
          <t>AUD</t>
        </is>
      </c>
      <c r="U663" t="n">
        <v>0</v>
      </c>
    </row>
    <row r="664">
      <c r="A664" s="5" t="inlineStr">
        <is>
          <t>01a152b9-7ada-742b-86c6-96ab11117c2e</t>
        </is>
      </c>
      <c r="C664" s="5" t="inlineStr">
        <is>
          <t>01a152b9-6e67-75da-8adb-b03e5d07fd21</t>
        </is>
      </c>
      <c r="D664" s="4" t="n">
        <v>46314.24594623829</v>
      </c>
      <c r="E664" s="4" t="n">
        <v>46314.24594623839</v>
      </c>
      <c r="F664" t="b">
        <v>1</v>
      </c>
      <c r="G664" t="n">
        <v/>
      </c>
      <c r="H664" t="inlineStr">
        <is>
          <t>ISEC</t>
        </is>
      </c>
      <c r="I664" t="inlineStr">
        <is>
          <t>Ishares Enhanced Cash ETF</t>
        </is>
      </c>
      <c r="J664" t="inlineStr">
        <is>
          <t>AUD</t>
        </is>
      </c>
      <c r="K664" s="5" t="inlineStr">
        <is>
          <t>01a152b9-6ee2-7577-bddd-382bc3853fde</t>
        </is>
      </c>
      <c r="M664" t="inlineStr">
        <is>
          <t>UNKNOWN</t>
        </is>
      </c>
      <c r="N664" t="inlineStr">
        <is>
          <t>DEFAULT</t>
        </is>
      </c>
      <c r="Q664" t="n">
        <v>0</v>
      </c>
      <c r="R664" t="inlineStr">
        <is>
          <t>AUD</t>
        </is>
      </c>
      <c r="S664" t="n">
        <v>0</v>
      </c>
      <c r="T664" t="inlineStr">
        <is>
          <t>AUD</t>
        </is>
      </c>
      <c r="U664" t="n">
        <v>0</v>
      </c>
    </row>
    <row r="665">
      <c r="A665" s="5" t="inlineStr">
        <is>
          <t>01a152b9-7ade-7307-8702-dfcf26b5f348</t>
        </is>
      </c>
      <c r="C665" s="5" t="inlineStr">
        <is>
          <t>01a152b9-6e67-75da-8adb-b03e5d07fd21</t>
        </is>
      </c>
      <c r="D665" s="4" t="n">
        <v>46314.24594627709</v>
      </c>
      <c r="E665" s="4" t="n">
        <v>46314.24594627721</v>
      </c>
      <c r="F665" t="b">
        <v>1</v>
      </c>
      <c r="G665" t="n">
        <v/>
      </c>
      <c r="H665" t="inlineStr">
        <is>
          <t>RDV</t>
        </is>
      </c>
      <c r="I665" t="inlineStr">
        <is>
          <t>Russell Investments High Dividend Australian Shares ETF</t>
        </is>
      </c>
      <c r="J665" t="inlineStr">
        <is>
          <t>AUD</t>
        </is>
      </c>
      <c r="K665" s="5" t="inlineStr">
        <is>
          <t>01a152b9-6ee2-7577-bddd-382bc3853fde</t>
        </is>
      </c>
      <c r="M665" t="inlineStr">
        <is>
          <t>UNKNOWN</t>
        </is>
      </c>
      <c r="N665" t="inlineStr">
        <is>
          <t>DEFAULT</t>
        </is>
      </c>
      <c r="Q665" t="n">
        <v>0</v>
      </c>
      <c r="R665" t="inlineStr">
        <is>
          <t>AUD</t>
        </is>
      </c>
      <c r="S665" t="n">
        <v>0</v>
      </c>
      <c r="T665" t="inlineStr">
        <is>
          <t>AUD</t>
        </is>
      </c>
      <c r="U665" t="n">
        <v>0</v>
      </c>
    </row>
    <row r="666">
      <c r="A666" s="5" t="inlineStr">
        <is>
          <t>01a152b9-7ae1-7066-909b-1b1728fdaf4d</t>
        </is>
      </c>
      <c r="C666" s="5" t="inlineStr">
        <is>
          <t>01a152b9-6e67-75da-8adb-b03e5d07fd21</t>
        </is>
      </c>
      <c r="D666" s="4" t="n">
        <v>46314.24594631699</v>
      </c>
      <c r="E666" s="4" t="n">
        <v>46314.2459463171</v>
      </c>
      <c r="F666" t="b">
        <v>1</v>
      </c>
      <c r="G666" t="n">
        <v/>
      </c>
      <c r="H666" t="inlineStr">
        <is>
          <t>XGOV</t>
        </is>
      </c>
      <c r="I666" t="inlineStr">
        <is>
          <t>Vaneck 10+ Year Australian Government Bond ETF</t>
        </is>
      </c>
      <c r="J666" t="inlineStr">
        <is>
          <t>AUD</t>
        </is>
      </c>
      <c r="K666" s="5" t="inlineStr">
        <is>
          <t>01a152b9-6ee2-7577-bddd-382bc3853fde</t>
        </is>
      </c>
      <c r="M666" t="inlineStr">
        <is>
          <t>UNKNOWN</t>
        </is>
      </c>
      <c r="N666" t="inlineStr">
        <is>
          <t>DEFAULT</t>
        </is>
      </c>
      <c r="Q666" t="n">
        <v>0</v>
      </c>
      <c r="R666" t="inlineStr">
        <is>
          <t>AUD</t>
        </is>
      </c>
      <c r="S666" t="n">
        <v>0</v>
      </c>
      <c r="T666" t="inlineStr">
        <is>
          <t>AUD</t>
        </is>
      </c>
      <c r="U666" t="n">
        <v>0</v>
      </c>
    </row>
    <row r="667">
      <c r="A667" s="5" t="inlineStr">
        <is>
          <t>01a152b9-7ae5-7584-b6b2-8c1963e30a71</t>
        </is>
      </c>
      <c r="C667" s="5" t="inlineStr">
        <is>
          <t>01a152b9-6e67-75da-8adb-b03e5d07fd21</t>
        </is>
      </c>
      <c r="D667" s="4" t="n">
        <v>46314.24594635971</v>
      </c>
      <c r="E667" s="4" t="n">
        <v>46314.24594635983</v>
      </c>
      <c r="F667" t="b">
        <v>1</v>
      </c>
      <c r="G667" t="n">
        <v/>
      </c>
      <c r="H667" t="inlineStr">
        <is>
          <t>XRF</t>
        </is>
      </c>
      <c r="I667" t="inlineStr">
        <is>
          <t>XRF Scientific Ltd</t>
        </is>
      </c>
      <c r="J667" t="inlineStr">
        <is>
          <t>AUD</t>
        </is>
      </c>
      <c r="K667" s="5" t="inlineStr">
        <is>
          <t>01a152b9-6ee2-7577-bddd-382bc3853fde</t>
        </is>
      </c>
      <c r="M667" t="inlineStr">
        <is>
          <t>UNKNOWN</t>
        </is>
      </c>
      <c r="N667" t="inlineStr">
        <is>
          <t>DEFAULT</t>
        </is>
      </c>
      <c r="Q667" t="n">
        <v>0</v>
      </c>
      <c r="R667" t="inlineStr">
        <is>
          <t>AUD</t>
        </is>
      </c>
      <c r="S667" t="n">
        <v>0</v>
      </c>
      <c r="T667" t="inlineStr">
        <is>
          <t>AUD</t>
        </is>
      </c>
      <c r="U667" t="n">
        <v>0</v>
      </c>
    </row>
    <row r="668">
      <c r="A668" s="5" t="inlineStr">
        <is>
          <t>01a152b9-7ae9-773b-b95f-ca031694e698</t>
        </is>
      </c>
      <c r="C668" s="5" t="inlineStr">
        <is>
          <t>01a152b9-6e67-75da-8adb-b03e5d07fd21</t>
        </is>
      </c>
      <c r="D668" s="4" t="n">
        <v>46314.2459464093</v>
      </c>
      <c r="E668" s="4" t="n">
        <v>46314.24594640941</v>
      </c>
      <c r="F668" t="b">
        <v>1</v>
      </c>
      <c r="G668" t="n">
        <v/>
      </c>
      <c r="H668" t="inlineStr">
        <is>
          <t>XARO</t>
        </is>
      </c>
      <c r="I668" t="inlineStr">
        <is>
          <t>Ardea Real Outcome Bond Complex ETF</t>
        </is>
      </c>
      <c r="J668" t="inlineStr">
        <is>
          <t>AUD</t>
        </is>
      </c>
      <c r="K668" s="5" t="inlineStr">
        <is>
          <t>01a152b9-6ee2-7577-bddd-382bc3853fde</t>
        </is>
      </c>
      <c r="M668" t="inlineStr">
        <is>
          <t>UNKNOWN</t>
        </is>
      </c>
      <c r="N668" t="inlineStr">
        <is>
          <t>DEFAULT</t>
        </is>
      </c>
      <c r="Q668" t="n">
        <v>0</v>
      </c>
      <c r="R668" t="inlineStr">
        <is>
          <t>AUD</t>
        </is>
      </c>
      <c r="S668" t="n">
        <v>0</v>
      </c>
      <c r="T668" t="inlineStr">
        <is>
          <t>AUD</t>
        </is>
      </c>
      <c r="U668" t="n">
        <v>0</v>
      </c>
    </row>
    <row r="669">
      <c r="A669" s="5" t="inlineStr">
        <is>
          <t>01a152b9-7aed-76e3-a544-2b6284f3625d</t>
        </is>
      </c>
      <c r="C669" s="5" t="inlineStr">
        <is>
          <t>01a152b9-6e67-75da-8adb-b03e5d07fd21</t>
        </is>
      </c>
      <c r="D669" s="4" t="n">
        <v>46314.24594645653</v>
      </c>
      <c r="E669" s="4" t="n">
        <v>46314.24594645666</v>
      </c>
      <c r="F669" t="b">
        <v>1</v>
      </c>
      <c r="G669" t="n">
        <v/>
      </c>
      <c r="H669" t="inlineStr">
        <is>
          <t>EGH</t>
        </is>
      </c>
      <c r="I669" t="inlineStr">
        <is>
          <t>Eureka Group Holdings Ltd</t>
        </is>
      </c>
      <c r="J669" t="inlineStr">
        <is>
          <t>AUD</t>
        </is>
      </c>
      <c r="K669" s="5" t="inlineStr">
        <is>
          <t>01a152b9-6ee2-7577-bddd-382bc3853fde</t>
        </is>
      </c>
      <c r="M669" t="inlineStr">
        <is>
          <t>UNKNOWN</t>
        </is>
      </c>
      <c r="N669" t="inlineStr">
        <is>
          <t>DEFAULT</t>
        </is>
      </c>
      <c r="Q669" t="n">
        <v>0</v>
      </c>
      <c r="R669" t="inlineStr">
        <is>
          <t>AUD</t>
        </is>
      </c>
      <c r="S669" t="n">
        <v>0</v>
      </c>
      <c r="T669" t="inlineStr">
        <is>
          <t>AUD</t>
        </is>
      </c>
      <c r="U669" t="n">
        <v>0</v>
      </c>
    </row>
    <row r="670">
      <c r="A670" s="5" t="inlineStr">
        <is>
          <t>01a152b9-7af1-770d-95d9-6c955e48135d</t>
        </is>
      </c>
      <c r="C670" s="5" t="inlineStr">
        <is>
          <t>01a152b9-6e67-75da-8adb-b03e5d07fd21</t>
        </is>
      </c>
      <c r="D670" s="4" t="n">
        <v>46314.24594650405</v>
      </c>
      <c r="E670" s="4" t="n">
        <v>46314.24594650419</v>
      </c>
      <c r="F670" t="b">
        <v>1</v>
      </c>
      <c r="G670" t="n">
        <v/>
      </c>
      <c r="H670" t="inlineStr">
        <is>
          <t>GDF</t>
        </is>
      </c>
      <c r="I670" t="inlineStr">
        <is>
          <t>Garda Property Group</t>
        </is>
      </c>
      <c r="J670" t="inlineStr">
        <is>
          <t>AUD</t>
        </is>
      </c>
      <c r="K670" s="5" t="inlineStr">
        <is>
          <t>01a152b9-6ee2-7577-bddd-382bc3853fde</t>
        </is>
      </c>
      <c r="M670" t="inlineStr">
        <is>
          <t>UNKNOWN</t>
        </is>
      </c>
      <c r="N670" t="inlineStr">
        <is>
          <t>DEFAULT</t>
        </is>
      </c>
      <c r="Q670" t="n">
        <v>0</v>
      </c>
      <c r="R670" t="inlineStr">
        <is>
          <t>AUD</t>
        </is>
      </c>
      <c r="S670" t="n">
        <v>0</v>
      </c>
      <c r="T670" t="inlineStr">
        <is>
          <t>AUD</t>
        </is>
      </c>
      <c r="U670" t="n">
        <v>0</v>
      </c>
    </row>
    <row r="671">
      <c r="A671" s="5" t="inlineStr">
        <is>
          <t>01a152b9-7af6-7702-b7d9-44dcad1ae26f</t>
        </is>
      </c>
      <c r="C671" s="5" t="inlineStr">
        <is>
          <t>01a152b9-6e67-75da-8adb-b03e5d07fd21</t>
        </is>
      </c>
      <c r="D671" s="4" t="n">
        <v>46314.24594655501</v>
      </c>
      <c r="E671" s="4" t="n">
        <v>46314.24594655515</v>
      </c>
      <c r="F671" t="b">
        <v>1</v>
      </c>
      <c r="G671" t="n">
        <v/>
      </c>
      <c r="H671" t="inlineStr">
        <is>
          <t>ABA</t>
        </is>
      </c>
      <c r="I671" t="inlineStr">
        <is>
          <t>Auswide Bank Ltd</t>
        </is>
      </c>
      <c r="J671" t="inlineStr">
        <is>
          <t>AUD</t>
        </is>
      </c>
      <c r="K671" s="5" t="inlineStr">
        <is>
          <t>01a152b9-6ee2-7577-bddd-382bc3853fde</t>
        </is>
      </c>
      <c r="M671" t="inlineStr">
        <is>
          <t>UNKNOWN</t>
        </is>
      </c>
      <c r="N671" t="inlineStr">
        <is>
          <t>DEFAULT</t>
        </is>
      </c>
      <c r="Q671" t="n">
        <v>0</v>
      </c>
      <c r="R671" t="inlineStr">
        <is>
          <t>AUD</t>
        </is>
      </c>
      <c r="S671" t="n">
        <v>0</v>
      </c>
      <c r="T671" t="inlineStr">
        <is>
          <t>AUD</t>
        </is>
      </c>
      <c r="U671" t="n">
        <v>0</v>
      </c>
    </row>
    <row r="672">
      <c r="A672" s="5" t="inlineStr">
        <is>
          <t>01a152b9-7afa-7092-bac5-ad0a206ed650</t>
        </is>
      </c>
      <c r="C672" s="5" t="inlineStr">
        <is>
          <t>01a152b9-6e67-75da-8adb-b03e5d07fd21</t>
        </is>
      </c>
      <c r="D672" s="4" t="n">
        <v>46314.24594659868</v>
      </c>
      <c r="E672" s="4" t="n">
        <v>46314.2459465988</v>
      </c>
      <c r="F672" t="b">
        <v>1</v>
      </c>
      <c r="G672" t="n">
        <v/>
      </c>
      <c r="H672" t="inlineStr">
        <is>
          <t>QHSM</t>
        </is>
      </c>
      <c r="I672" t="inlineStr">
        <is>
          <t>Vaneck MSCI Intl SML Comp Quality (Aud Hedged) ETF</t>
        </is>
      </c>
      <c r="J672" t="inlineStr">
        <is>
          <t>AUD</t>
        </is>
      </c>
      <c r="K672" s="5" t="inlineStr">
        <is>
          <t>01a152b9-6ee2-7577-bddd-382bc3853fde</t>
        </is>
      </c>
      <c r="M672" t="inlineStr">
        <is>
          <t>UNKNOWN</t>
        </is>
      </c>
      <c r="N672" t="inlineStr">
        <is>
          <t>DEFAULT</t>
        </is>
      </c>
      <c r="Q672" t="n">
        <v>0</v>
      </c>
      <c r="R672" t="inlineStr">
        <is>
          <t>AUD</t>
        </is>
      </c>
      <c r="S672" t="n">
        <v>0</v>
      </c>
      <c r="T672" t="inlineStr">
        <is>
          <t>AUD</t>
        </is>
      </c>
      <c r="U672" t="n">
        <v>0</v>
      </c>
    </row>
    <row r="673">
      <c r="A673" s="5" t="inlineStr">
        <is>
          <t>01a152b9-7afd-7200-922c-ed594e83ccfe</t>
        </is>
      </c>
      <c r="C673" s="5" t="inlineStr">
        <is>
          <t>01a152b9-6e67-75da-8adb-b03e5d07fd21</t>
        </is>
      </c>
      <c r="D673" s="4" t="n">
        <v>46314.24594663873</v>
      </c>
      <c r="E673" s="4" t="n">
        <v>46314.24594663883</v>
      </c>
      <c r="F673" t="b">
        <v>1</v>
      </c>
      <c r="G673" t="n">
        <v/>
      </c>
      <c r="H673" t="inlineStr">
        <is>
          <t>AMA</t>
        </is>
      </c>
      <c r="I673" t="inlineStr">
        <is>
          <t>AMA Group Ltd</t>
        </is>
      </c>
      <c r="J673" t="inlineStr">
        <is>
          <t>AUD</t>
        </is>
      </c>
      <c r="K673" s="5" t="inlineStr">
        <is>
          <t>01a152b9-6ee2-7577-bddd-382bc3853fde</t>
        </is>
      </c>
      <c r="M673" t="inlineStr">
        <is>
          <t>UNKNOWN</t>
        </is>
      </c>
      <c r="N673" t="inlineStr">
        <is>
          <t>DEFAULT</t>
        </is>
      </c>
      <c r="Q673" t="n">
        <v>0</v>
      </c>
      <c r="R673" t="inlineStr">
        <is>
          <t>AUD</t>
        </is>
      </c>
      <c r="S673" t="n">
        <v>0</v>
      </c>
      <c r="T673" t="inlineStr">
        <is>
          <t>AUD</t>
        </is>
      </c>
      <c r="U673" t="n">
        <v>0</v>
      </c>
    </row>
    <row r="674">
      <c r="A674" s="5" t="inlineStr">
        <is>
          <t>01a152b9-7b00-7125-845b-7e49cb6faa2f</t>
        </is>
      </c>
      <c r="C674" s="5" t="inlineStr">
        <is>
          <t>01a152b9-6e67-75da-8adb-b03e5d07fd21</t>
        </is>
      </c>
      <c r="D674" s="4" t="n">
        <v>46314.24594667595</v>
      </c>
      <c r="E674" s="4" t="n">
        <v>46314.24594667606</v>
      </c>
      <c r="F674" t="b">
        <v>1</v>
      </c>
      <c r="G674" t="n">
        <v/>
      </c>
      <c r="H674" t="inlineStr">
        <is>
          <t>LGI</t>
        </is>
      </c>
      <c r="I674" t="inlineStr">
        <is>
          <t>LGI Ltd</t>
        </is>
      </c>
      <c r="J674" t="inlineStr">
        <is>
          <t>AUD</t>
        </is>
      </c>
      <c r="K674" s="5" t="inlineStr">
        <is>
          <t>01a152b9-6ee2-7577-bddd-382bc3853fde</t>
        </is>
      </c>
      <c r="M674" t="inlineStr">
        <is>
          <t>UNKNOWN</t>
        </is>
      </c>
      <c r="N674" t="inlineStr">
        <is>
          <t>DEFAULT</t>
        </is>
      </c>
      <c r="Q674" t="n">
        <v>0</v>
      </c>
      <c r="R674" t="inlineStr">
        <is>
          <t>AUD</t>
        </is>
      </c>
      <c r="S674" t="n">
        <v>0</v>
      </c>
      <c r="T674" t="inlineStr">
        <is>
          <t>AUD</t>
        </is>
      </c>
      <c r="U674" t="n">
        <v>0</v>
      </c>
    </row>
    <row r="675">
      <c r="A675" s="5" t="inlineStr">
        <is>
          <t>01a152b9-7b03-7605-bcef-d3944e3dbf90</t>
        </is>
      </c>
      <c r="C675" s="5" t="inlineStr">
        <is>
          <t>01a152b9-6e67-75da-8adb-b03e5d07fd21</t>
        </is>
      </c>
      <c r="D675" s="4" t="n">
        <v>46314.24594671191</v>
      </c>
      <c r="E675" s="4" t="n">
        <v>46314.245946712</v>
      </c>
      <c r="F675" t="b">
        <v>1</v>
      </c>
      <c r="G675" t="n">
        <v/>
      </c>
      <c r="H675" t="inlineStr">
        <is>
          <t>ROBO</t>
        </is>
      </c>
      <c r="I675" t="inlineStr">
        <is>
          <t>Global X Robo Global Robotics &amp; Automation ETF</t>
        </is>
      </c>
      <c r="J675" t="inlineStr">
        <is>
          <t>AUD</t>
        </is>
      </c>
      <c r="K675" s="5" t="inlineStr">
        <is>
          <t>01a152b9-6ee2-7577-bddd-382bc3853fde</t>
        </is>
      </c>
      <c r="M675" t="inlineStr">
        <is>
          <t>UNIT_TRUST</t>
        </is>
      </c>
      <c r="N675" t="inlineStr">
        <is>
          <t>SUGGESTED</t>
        </is>
      </c>
      <c r="Q675" t="n">
        <v>0</v>
      </c>
      <c r="R675" t="inlineStr">
        <is>
          <t>AUD</t>
        </is>
      </c>
      <c r="S675" t="n">
        <v>0</v>
      </c>
      <c r="T675" t="inlineStr">
        <is>
          <t>AUD</t>
        </is>
      </c>
      <c r="U675" t="n">
        <v>0</v>
      </c>
    </row>
    <row r="676">
      <c r="A676" s="5" t="inlineStr">
        <is>
          <t>01a152b9-7b06-75f4-919a-55e19ea6268d</t>
        </is>
      </c>
      <c r="C676" s="5" t="inlineStr">
        <is>
          <t>01a152b9-6e67-75da-8adb-b03e5d07fd21</t>
        </is>
      </c>
      <c r="D676" s="4" t="n">
        <v>46314.24594674848</v>
      </c>
      <c r="E676" s="4" t="n">
        <v>46314.24594674857</v>
      </c>
      <c r="F676" t="b">
        <v>1</v>
      </c>
      <c r="G676" t="n">
        <v/>
      </c>
      <c r="H676" t="inlineStr">
        <is>
          <t>4DX</t>
        </is>
      </c>
      <c r="I676" t="inlineStr">
        <is>
          <t>4DMEDICAL Ltd</t>
        </is>
      </c>
      <c r="J676" t="inlineStr">
        <is>
          <t>AUD</t>
        </is>
      </c>
      <c r="K676" s="5" t="inlineStr">
        <is>
          <t>01a152b9-6ee2-7577-bddd-382bc3853fde</t>
        </is>
      </c>
      <c r="M676" t="inlineStr">
        <is>
          <t>UNKNOWN</t>
        </is>
      </c>
      <c r="N676" t="inlineStr">
        <is>
          <t>DEFAULT</t>
        </is>
      </c>
      <c r="Q676" t="n">
        <v>0</v>
      </c>
      <c r="R676" t="inlineStr">
        <is>
          <t>AUD</t>
        </is>
      </c>
      <c r="S676" t="n">
        <v>0</v>
      </c>
      <c r="T676" t="inlineStr">
        <is>
          <t>AUD</t>
        </is>
      </c>
      <c r="U676" t="n">
        <v>0</v>
      </c>
    </row>
    <row r="677">
      <c r="A677" s="5" t="inlineStr">
        <is>
          <t>01a152b9-7b0a-7629-b16b-8b909c6cb6ff</t>
        </is>
      </c>
      <c r="C677" s="5" t="inlineStr">
        <is>
          <t>01a152b9-6e67-75da-8adb-b03e5d07fd21</t>
        </is>
      </c>
      <c r="D677" s="4" t="n">
        <v>46314.24594678582</v>
      </c>
      <c r="E677" s="4" t="n">
        <v>46314.24594678592</v>
      </c>
      <c r="F677" t="b">
        <v>1</v>
      </c>
      <c r="G677" t="n">
        <v/>
      </c>
      <c r="H677" t="inlineStr">
        <is>
          <t>DXB</t>
        </is>
      </c>
      <c r="I677" t="inlineStr">
        <is>
          <t>Dimerix Ltd</t>
        </is>
      </c>
      <c r="J677" t="inlineStr">
        <is>
          <t>AUD</t>
        </is>
      </c>
      <c r="K677" s="5" t="inlineStr">
        <is>
          <t>01a152b9-6ee2-7577-bddd-382bc3853fde</t>
        </is>
      </c>
      <c r="M677" t="inlineStr">
        <is>
          <t>UNKNOWN</t>
        </is>
      </c>
      <c r="N677" t="inlineStr">
        <is>
          <t>DEFAULT</t>
        </is>
      </c>
      <c r="Q677" t="n">
        <v>0</v>
      </c>
      <c r="R677" t="inlineStr">
        <is>
          <t>AUD</t>
        </is>
      </c>
      <c r="S677" t="n">
        <v>0</v>
      </c>
      <c r="T677" t="inlineStr">
        <is>
          <t>AUD</t>
        </is>
      </c>
      <c r="U677" t="n">
        <v>0</v>
      </c>
    </row>
    <row r="678">
      <c r="A678" s="5" t="inlineStr">
        <is>
          <t>01a152b9-7b0d-75da-b0b4-3f5e2b9cf38d</t>
        </is>
      </c>
      <c r="C678" s="5" t="inlineStr">
        <is>
          <t>01a152b9-6e67-75da-8adb-b03e5d07fd21</t>
        </is>
      </c>
      <c r="D678" s="4" t="n">
        <v>46314.24594682097</v>
      </c>
      <c r="E678" s="4" t="n">
        <v>46314.24594682107</v>
      </c>
      <c r="F678" t="b">
        <v>1</v>
      </c>
      <c r="G678" t="n">
        <v/>
      </c>
      <c r="H678" t="inlineStr">
        <is>
          <t>SWM</t>
        </is>
      </c>
      <c r="I678" t="inlineStr">
        <is>
          <t>Seven West Media Ltd</t>
        </is>
      </c>
      <c r="J678" t="inlineStr">
        <is>
          <t>AUD</t>
        </is>
      </c>
      <c r="K678" s="5" t="inlineStr">
        <is>
          <t>01a152b9-6ee2-7577-bddd-382bc3853fde</t>
        </is>
      </c>
      <c r="M678" t="inlineStr">
        <is>
          <t>UNKNOWN</t>
        </is>
      </c>
      <c r="N678" t="inlineStr">
        <is>
          <t>DEFAULT</t>
        </is>
      </c>
      <c r="Q678" t="n">
        <v>0</v>
      </c>
      <c r="R678" t="inlineStr">
        <is>
          <t>AUD</t>
        </is>
      </c>
      <c r="S678" t="n">
        <v>0</v>
      </c>
      <c r="T678" t="inlineStr">
        <is>
          <t>AUD</t>
        </is>
      </c>
      <c r="U678" t="n">
        <v>0</v>
      </c>
    </row>
    <row r="679">
      <c r="A679" s="5" t="inlineStr">
        <is>
          <t>01a152b9-7b10-77ae-94f5-3606121a1a87</t>
        </is>
      </c>
      <c r="C679" s="5" t="inlineStr">
        <is>
          <t>01a152b9-6e67-75da-8adb-b03e5d07fd21</t>
        </is>
      </c>
      <c r="D679" s="4" t="n">
        <v>46314.24594685878</v>
      </c>
      <c r="E679" s="4" t="n">
        <v>46314.24594685888</v>
      </c>
      <c r="F679" t="b">
        <v>1</v>
      </c>
      <c r="G679" t="n">
        <v/>
      </c>
      <c r="H679" t="inlineStr">
        <is>
          <t>ECF</t>
        </is>
      </c>
      <c r="I679" t="inlineStr">
        <is>
          <t>Elanor Commercial Property Fund</t>
        </is>
      </c>
      <c r="J679" t="inlineStr">
        <is>
          <t>AUD</t>
        </is>
      </c>
      <c r="K679" s="5" t="inlineStr">
        <is>
          <t>01a152b9-6ee2-7577-bddd-382bc3853fde</t>
        </is>
      </c>
      <c r="M679" t="inlineStr">
        <is>
          <t>UNKNOWN</t>
        </is>
      </c>
      <c r="N679" t="inlineStr">
        <is>
          <t>DEFAULT</t>
        </is>
      </c>
      <c r="Q679" t="n">
        <v>0</v>
      </c>
      <c r="R679" t="inlineStr">
        <is>
          <t>AUD</t>
        </is>
      </c>
      <c r="S679" t="n">
        <v>0</v>
      </c>
      <c r="T679" t="inlineStr">
        <is>
          <t>AUD</t>
        </is>
      </c>
      <c r="U679" t="n">
        <v>0</v>
      </c>
    </row>
    <row r="680">
      <c r="A680" s="5" t="inlineStr">
        <is>
          <t>01a152b9-7b13-73e8-81a5-e8cc8189f10a</t>
        </is>
      </c>
      <c r="C680" s="5" t="inlineStr">
        <is>
          <t>01a152b9-6e67-75da-8adb-b03e5d07fd21</t>
        </is>
      </c>
      <c r="D680" s="4" t="n">
        <v>46314.24594689356</v>
      </c>
      <c r="E680" s="4" t="n">
        <v>46314.24594689364</v>
      </c>
      <c r="F680" t="b">
        <v>1</v>
      </c>
      <c r="G680" t="n">
        <v/>
      </c>
      <c r="H680" t="inlineStr">
        <is>
          <t>BBOZ</t>
        </is>
      </c>
      <c r="I680" t="inlineStr">
        <is>
          <t>Betashares Australian Strong Bear (Hedge Fund)</t>
        </is>
      </c>
      <c r="J680" t="inlineStr">
        <is>
          <t>AUD</t>
        </is>
      </c>
      <c r="K680" s="5" t="inlineStr">
        <is>
          <t>01a152b9-6ee2-7577-bddd-382bc3853fde</t>
        </is>
      </c>
      <c r="M680" t="inlineStr">
        <is>
          <t>UNKNOWN</t>
        </is>
      </c>
      <c r="N680" t="inlineStr">
        <is>
          <t>DEFAULT</t>
        </is>
      </c>
      <c r="Q680" t="n">
        <v>0</v>
      </c>
      <c r="R680" t="inlineStr">
        <is>
          <t>AUD</t>
        </is>
      </c>
      <c r="S680" t="n">
        <v>0</v>
      </c>
      <c r="T680" t="inlineStr">
        <is>
          <t>AUD</t>
        </is>
      </c>
      <c r="U680" t="n">
        <v>0</v>
      </c>
    </row>
    <row r="681">
      <c r="A681" s="5" t="inlineStr">
        <is>
          <t>01a152b9-7b16-7249-aa9f-5fa895a88193</t>
        </is>
      </c>
      <c r="C681" s="5" t="inlineStr">
        <is>
          <t>01a152b9-6e67-75da-8adb-b03e5d07fd21</t>
        </is>
      </c>
      <c r="D681" s="4" t="n">
        <v>46314.24594693114</v>
      </c>
      <c r="E681" s="4" t="n">
        <v>46314.24594693122</v>
      </c>
      <c r="F681" t="b">
        <v>1</v>
      </c>
      <c r="G681" t="n">
        <v/>
      </c>
      <c r="H681" t="inlineStr">
        <is>
          <t>PEN</t>
        </is>
      </c>
      <c r="I681" t="inlineStr">
        <is>
          <t>Peninsula Energy Ltd</t>
        </is>
      </c>
      <c r="J681" t="inlineStr">
        <is>
          <t>AUD</t>
        </is>
      </c>
      <c r="K681" s="5" t="inlineStr">
        <is>
          <t>01a152b9-6ee2-7577-bddd-382bc3853fde</t>
        </is>
      </c>
      <c r="M681" t="inlineStr">
        <is>
          <t>UNKNOWN</t>
        </is>
      </c>
      <c r="N681" t="inlineStr">
        <is>
          <t>DEFAULT</t>
        </is>
      </c>
      <c r="Q681" t="n">
        <v>0</v>
      </c>
      <c r="R681" t="inlineStr">
        <is>
          <t>AUD</t>
        </is>
      </c>
      <c r="S681" t="n">
        <v>0</v>
      </c>
      <c r="T681" t="inlineStr">
        <is>
          <t>AUD</t>
        </is>
      </c>
      <c r="U681" t="n">
        <v>0</v>
      </c>
    </row>
    <row r="682">
      <c r="A682" s="5" t="inlineStr">
        <is>
          <t>01a152b9-7b1a-76b1-bd1e-6faaa8ca6d08</t>
        </is>
      </c>
      <c r="C682" s="5" t="inlineStr">
        <is>
          <t>01a152b9-6e67-75da-8adb-b03e5d07fd21</t>
        </is>
      </c>
      <c r="D682" s="4" t="n">
        <v>46314.24594696977</v>
      </c>
      <c r="E682" s="4" t="n">
        <v>46314.24594696986</v>
      </c>
      <c r="F682" t="b">
        <v>1</v>
      </c>
      <c r="G682" t="n">
        <v/>
      </c>
      <c r="H682" t="inlineStr">
        <is>
          <t>SHA</t>
        </is>
      </c>
      <c r="I682" t="inlineStr">
        <is>
          <t>Shape Australia Corporation Ltd</t>
        </is>
      </c>
      <c r="J682" t="inlineStr">
        <is>
          <t>AUD</t>
        </is>
      </c>
      <c r="K682" s="5" t="inlineStr">
        <is>
          <t>01a152b9-6ee2-7577-bddd-382bc3853fde</t>
        </is>
      </c>
      <c r="M682" t="inlineStr">
        <is>
          <t>UNKNOWN</t>
        </is>
      </c>
      <c r="N682" t="inlineStr">
        <is>
          <t>DEFAULT</t>
        </is>
      </c>
      <c r="Q682" t="n">
        <v>0</v>
      </c>
      <c r="R682" t="inlineStr">
        <is>
          <t>AUD</t>
        </is>
      </c>
      <c r="S682" t="n">
        <v>0</v>
      </c>
      <c r="T682" t="inlineStr">
        <is>
          <t>AUD</t>
        </is>
      </c>
      <c r="U682" t="n">
        <v>0</v>
      </c>
    </row>
    <row r="683">
      <c r="A683" s="5" t="inlineStr">
        <is>
          <t>01a152b9-7b1d-7480-802e-8063a5ebbd58</t>
        </is>
      </c>
      <c r="C683" s="5" t="inlineStr">
        <is>
          <t>01a152b9-6e67-75da-8adb-b03e5d07fd21</t>
        </is>
      </c>
      <c r="D683" s="4" t="n">
        <v>46314.2459470091</v>
      </c>
      <c r="E683" s="4" t="n">
        <v>46314.24594700919</v>
      </c>
      <c r="F683" t="b">
        <v>1</v>
      </c>
      <c r="G683" t="n">
        <v/>
      </c>
      <c r="H683" t="inlineStr">
        <is>
          <t>CVW</t>
        </is>
      </c>
      <c r="I683" t="inlineStr">
        <is>
          <t>Clearview Wealth Ltd</t>
        </is>
      </c>
      <c r="J683" t="inlineStr">
        <is>
          <t>AUD</t>
        </is>
      </c>
      <c r="K683" s="5" t="inlineStr">
        <is>
          <t>01a152b9-6ee2-7577-bddd-382bc3853fde</t>
        </is>
      </c>
      <c r="M683" t="inlineStr">
        <is>
          <t>UNKNOWN</t>
        </is>
      </c>
      <c r="N683" t="inlineStr">
        <is>
          <t>DEFAULT</t>
        </is>
      </c>
      <c r="Q683" t="n">
        <v>0</v>
      </c>
      <c r="R683" t="inlineStr">
        <is>
          <t>AUD</t>
        </is>
      </c>
      <c r="S683" t="n">
        <v>0</v>
      </c>
      <c r="T683" t="inlineStr">
        <is>
          <t>AUD</t>
        </is>
      </c>
      <c r="U683" t="n">
        <v>0</v>
      </c>
    </row>
    <row r="684">
      <c r="A684" s="5" t="inlineStr">
        <is>
          <t>01a152b9-7b20-7049-9714-04c6dd5ca939</t>
        </is>
      </c>
      <c r="C684" s="5" t="inlineStr">
        <is>
          <t>01a152b9-6e67-75da-8adb-b03e5d07fd21</t>
        </is>
      </c>
      <c r="D684" s="4" t="n">
        <v>46314.24594704396</v>
      </c>
      <c r="E684" s="4" t="n">
        <v>46314.24594704405</v>
      </c>
      <c r="F684" t="b">
        <v>1</v>
      </c>
      <c r="G684" t="n">
        <v/>
      </c>
      <c r="H684" t="inlineStr">
        <is>
          <t>GRR</t>
        </is>
      </c>
      <c r="I684" t="inlineStr">
        <is>
          <t>Grange Resources Ltd</t>
        </is>
      </c>
      <c r="J684" t="inlineStr">
        <is>
          <t>AUD</t>
        </is>
      </c>
      <c r="K684" s="5" t="inlineStr">
        <is>
          <t>01a152b9-6ee2-7577-bddd-382bc3853fde</t>
        </is>
      </c>
      <c r="M684" t="inlineStr">
        <is>
          <t>UNKNOWN</t>
        </is>
      </c>
      <c r="N684" t="inlineStr">
        <is>
          <t>DEFAULT</t>
        </is>
      </c>
      <c r="Q684" t="n">
        <v>0</v>
      </c>
      <c r="R684" t="inlineStr">
        <is>
          <t>AUD</t>
        </is>
      </c>
      <c r="S684" t="n">
        <v>0</v>
      </c>
      <c r="T684" t="inlineStr">
        <is>
          <t>AUD</t>
        </is>
      </c>
      <c r="U684" t="n">
        <v>0</v>
      </c>
    </row>
    <row r="685">
      <c r="A685" s="5" t="inlineStr">
        <is>
          <t>01a152b9-7b23-7202-964e-bdae24c02d9d</t>
        </is>
      </c>
      <c r="C685" s="5" t="inlineStr">
        <is>
          <t>01a152b9-6e67-75da-8adb-b03e5d07fd21</t>
        </is>
      </c>
      <c r="D685" s="4" t="n">
        <v>46314.24594708389</v>
      </c>
      <c r="E685" s="4" t="n">
        <v>46314.24594708399</v>
      </c>
      <c r="F685" t="b">
        <v>1</v>
      </c>
      <c r="G685" t="n">
        <v/>
      </c>
      <c r="H685" t="inlineStr">
        <is>
          <t>BBN</t>
        </is>
      </c>
      <c r="I685" t="inlineStr">
        <is>
          <t>Baby Bunting Group Ltd</t>
        </is>
      </c>
      <c r="J685" t="inlineStr">
        <is>
          <t>AUD</t>
        </is>
      </c>
      <c r="K685" s="5" t="inlineStr">
        <is>
          <t>01a152b9-6ee2-7577-bddd-382bc3853fde</t>
        </is>
      </c>
      <c r="M685" t="inlineStr">
        <is>
          <t>UNKNOWN</t>
        </is>
      </c>
      <c r="N685" t="inlineStr">
        <is>
          <t>DEFAULT</t>
        </is>
      </c>
      <c r="Q685" t="n">
        <v>0</v>
      </c>
      <c r="R685" t="inlineStr">
        <is>
          <t>AUD</t>
        </is>
      </c>
      <c r="S685" t="n">
        <v>0</v>
      </c>
      <c r="T685" t="inlineStr">
        <is>
          <t>AUD</t>
        </is>
      </c>
      <c r="U685" t="n">
        <v>0</v>
      </c>
    </row>
    <row r="686">
      <c r="A686" s="5" t="inlineStr">
        <is>
          <t>01a152b9-7b26-718e-92e0-ed73b67a6314</t>
        </is>
      </c>
      <c r="C686" s="5" t="inlineStr">
        <is>
          <t>01a152b9-6e67-75da-8adb-b03e5d07fd21</t>
        </is>
      </c>
      <c r="D686" s="4" t="n">
        <v>46314.24594711927</v>
      </c>
      <c r="E686" s="4" t="n">
        <v>46314.24594711937</v>
      </c>
      <c r="F686" t="b">
        <v>1</v>
      </c>
      <c r="G686" t="n">
        <v/>
      </c>
      <c r="H686" t="inlineStr">
        <is>
          <t>WAX</t>
        </is>
      </c>
      <c r="I686" t="inlineStr">
        <is>
          <t>Wam Research Ltd</t>
        </is>
      </c>
      <c r="J686" t="inlineStr">
        <is>
          <t>AUD</t>
        </is>
      </c>
      <c r="K686" s="5" t="inlineStr">
        <is>
          <t>01a152b9-6ee2-7577-bddd-382bc3853fde</t>
        </is>
      </c>
      <c r="M686" t="inlineStr">
        <is>
          <t>COMPANY</t>
        </is>
      </c>
      <c r="N686" t="inlineStr">
        <is>
          <t>SUGGESTED</t>
        </is>
      </c>
      <c r="Q686" t="n">
        <v>0</v>
      </c>
      <c r="R686" t="inlineStr">
        <is>
          <t>AUD</t>
        </is>
      </c>
      <c r="S686" t="n">
        <v>0</v>
      </c>
      <c r="T686" t="inlineStr">
        <is>
          <t>AUD</t>
        </is>
      </c>
      <c r="U686" t="n">
        <v>0</v>
      </c>
    </row>
    <row r="687">
      <c r="A687" s="5" t="inlineStr">
        <is>
          <t>01a152b9-7b2b-76c8-8695-637dfb0cb215</t>
        </is>
      </c>
      <c r="C687" s="5" t="inlineStr">
        <is>
          <t>01a152b9-6e67-75da-8adb-b03e5d07fd21</t>
        </is>
      </c>
      <c r="D687" s="4" t="n">
        <v>46314.24594716696</v>
      </c>
      <c r="E687" s="4" t="n">
        <v>46314.24594716706</v>
      </c>
      <c r="F687" t="b">
        <v>1</v>
      </c>
      <c r="G687" t="n">
        <v/>
      </c>
      <c r="H687" t="inlineStr">
        <is>
          <t>HVST</t>
        </is>
      </c>
      <c r="I687" t="inlineStr">
        <is>
          <t>Betashares Australian Dividend Harvester Fund (Managed Fund)</t>
        </is>
      </c>
      <c r="J687" t="inlineStr">
        <is>
          <t>AUD</t>
        </is>
      </c>
      <c r="K687" s="5" t="inlineStr">
        <is>
          <t>01a152b9-6ee2-7577-bddd-382bc3853fde</t>
        </is>
      </c>
      <c r="M687" t="inlineStr">
        <is>
          <t>UNKNOWN</t>
        </is>
      </c>
      <c r="N687" t="inlineStr">
        <is>
          <t>DEFAULT</t>
        </is>
      </c>
      <c r="Q687" t="n">
        <v>0</v>
      </c>
      <c r="R687" t="inlineStr">
        <is>
          <t>AUD</t>
        </is>
      </c>
      <c r="S687" t="n">
        <v>0</v>
      </c>
      <c r="T687" t="inlineStr">
        <is>
          <t>AUD</t>
        </is>
      </c>
      <c r="U687" t="n">
        <v>0</v>
      </c>
    </row>
    <row r="688">
      <c r="A688" s="5" t="inlineStr">
        <is>
          <t>01a152b9-7b2e-7119-99c8-d8088edabc2a</t>
        </is>
      </c>
      <c r="C688" s="5" t="inlineStr">
        <is>
          <t>01a152b9-6e67-75da-8adb-b03e5d07fd21</t>
        </is>
      </c>
      <c r="D688" s="4" t="n">
        <v>46314.24594720566</v>
      </c>
      <c r="E688" s="4" t="n">
        <v>46314.24594720577</v>
      </c>
      <c r="F688" t="b">
        <v>1</v>
      </c>
      <c r="G688" t="n">
        <v/>
      </c>
      <c r="H688" t="inlineStr">
        <is>
          <t>SKS</t>
        </is>
      </c>
      <c r="I688" t="inlineStr">
        <is>
          <t>SKS Technologies Group Ltd</t>
        </is>
      </c>
      <c r="J688" t="inlineStr">
        <is>
          <t>AUD</t>
        </is>
      </c>
      <c r="K688" s="5" t="inlineStr">
        <is>
          <t>01a152b9-6ee2-7577-bddd-382bc3853fde</t>
        </is>
      </c>
      <c r="M688" t="inlineStr">
        <is>
          <t>UNKNOWN</t>
        </is>
      </c>
      <c r="N688" t="inlineStr">
        <is>
          <t>DEFAULT</t>
        </is>
      </c>
      <c r="Q688" t="n">
        <v>0</v>
      </c>
      <c r="R688" t="inlineStr">
        <is>
          <t>AUD</t>
        </is>
      </c>
      <c r="S688" t="n">
        <v>0</v>
      </c>
      <c r="T688" t="inlineStr">
        <is>
          <t>AUD</t>
        </is>
      </c>
      <c r="U688" t="n">
        <v>0</v>
      </c>
    </row>
    <row r="689">
      <c r="A689" s="5" t="inlineStr">
        <is>
          <t>01a152b9-7b31-7717-ad9d-3ce637b22bb2</t>
        </is>
      </c>
      <c r="C689" s="5" t="inlineStr">
        <is>
          <t>01a152b9-6e67-75da-8adb-b03e5d07fd21</t>
        </is>
      </c>
      <c r="D689" s="4" t="n">
        <v>46314.24594724322</v>
      </c>
      <c r="E689" s="4" t="n">
        <v>46314.24594724331</v>
      </c>
      <c r="F689" t="b">
        <v>1</v>
      </c>
      <c r="G689" t="n">
        <v/>
      </c>
      <c r="H689" t="inlineStr">
        <is>
          <t>AGI</t>
        </is>
      </c>
      <c r="I689" t="inlineStr">
        <is>
          <t>Ainsworth Game Technology Ltd</t>
        </is>
      </c>
      <c r="J689" t="inlineStr">
        <is>
          <t>AUD</t>
        </is>
      </c>
      <c r="K689" s="5" t="inlineStr">
        <is>
          <t>01a152b9-6ee2-7577-bddd-382bc3853fde</t>
        </is>
      </c>
      <c r="M689" t="inlineStr">
        <is>
          <t>UNKNOWN</t>
        </is>
      </c>
      <c r="N689" t="inlineStr">
        <is>
          <t>DEFAULT</t>
        </is>
      </c>
      <c r="Q689" t="n">
        <v>0</v>
      </c>
      <c r="R689" t="inlineStr">
        <is>
          <t>AUD</t>
        </is>
      </c>
      <c r="S689" t="n">
        <v>0</v>
      </c>
      <c r="T689" t="inlineStr">
        <is>
          <t>AUD</t>
        </is>
      </c>
      <c r="U689" t="n">
        <v>0</v>
      </c>
    </row>
    <row r="690">
      <c r="A690" s="5" t="inlineStr">
        <is>
          <t>01a152b9-7b34-72fb-850d-a1bcf2690e85</t>
        </is>
      </c>
      <c r="C690" s="5" t="inlineStr">
        <is>
          <t>01a152b9-6e67-75da-8adb-b03e5d07fd21</t>
        </is>
      </c>
      <c r="D690" s="4" t="n">
        <v>46314.24594728082</v>
      </c>
      <c r="E690" s="4" t="n">
        <v>46314.24594728095</v>
      </c>
      <c r="F690" t="b">
        <v>1</v>
      </c>
      <c r="G690" t="n">
        <v/>
      </c>
      <c r="H690" t="inlineStr">
        <is>
          <t>BTR</t>
        </is>
      </c>
      <c r="I690" t="inlineStr">
        <is>
          <t>Brightstar Resources Ltd</t>
        </is>
      </c>
      <c r="J690" t="inlineStr">
        <is>
          <t>AUD</t>
        </is>
      </c>
      <c r="K690" s="5" t="inlineStr">
        <is>
          <t>01a152b9-6ee2-7577-bddd-382bc3853fde</t>
        </is>
      </c>
      <c r="M690" t="inlineStr">
        <is>
          <t>UNKNOWN</t>
        </is>
      </c>
      <c r="N690" t="inlineStr">
        <is>
          <t>DEFAULT</t>
        </is>
      </c>
      <c r="Q690" t="n">
        <v>0</v>
      </c>
      <c r="R690" t="inlineStr">
        <is>
          <t>AUD</t>
        </is>
      </c>
      <c r="S690" t="n">
        <v>0</v>
      </c>
      <c r="T690" t="inlineStr">
        <is>
          <t>AUD</t>
        </is>
      </c>
      <c r="U690" t="n">
        <v>0</v>
      </c>
    </row>
    <row r="691">
      <c r="A691" s="5" t="inlineStr">
        <is>
          <t>01a152b9-7b38-7720-b64e-3cf3d764be09</t>
        </is>
      </c>
      <c r="C691" s="5" t="inlineStr">
        <is>
          <t>01a152b9-6e67-75da-8adb-b03e5d07fd21</t>
        </is>
      </c>
      <c r="D691" s="4" t="n">
        <v>46314.24594732262</v>
      </c>
      <c r="E691" s="4" t="n">
        <v>46314.24594732272</v>
      </c>
      <c r="F691" t="b">
        <v>1</v>
      </c>
      <c r="G691" t="n">
        <v/>
      </c>
      <c r="H691" t="inlineStr">
        <is>
          <t>SYR</t>
        </is>
      </c>
      <c r="I691" t="inlineStr">
        <is>
          <t>Syrah Resources Ltd</t>
        </is>
      </c>
      <c r="J691" t="inlineStr">
        <is>
          <t>AUD</t>
        </is>
      </c>
      <c r="K691" s="5" t="inlineStr">
        <is>
          <t>01a152b9-6ee2-7577-bddd-382bc3853fde</t>
        </is>
      </c>
      <c r="M691" t="inlineStr">
        <is>
          <t>UNKNOWN</t>
        </is>
      </c>
      <c r="N691" t="inlineStr">
        <is>
          <t>DEFAULT</t>
        </is>
      </c>
      <c r="Q691" t="n">
        <v>0</v>
      </c>
      <c r="R691" t="inlineStr">
        <is>
          <t>AUD</t>
        </is>
      </c>
      <c r="S691" t="n">
        <v>0</v>
      </c>
      <c r="T691" t="inlineStr">
        <is>
          <t>AUD</t>
        </is>
      </c>
      <c r="U691" t="n">
        <v>0</v>
      </c>
    </row>
    <row r="692">
      <c r="A692" s="5" t="inlineStr">
        <is>
          <t>01a152b9-7b3c-7364-9afd-4b4d57fd9ed2</t>
        </is>
      </c>
      <c r="C692" s="5" t="inlineStr">
        <is>
          <t>01a152b9-6e67-75da-8adb-b03e5d07fd21</t>
        </is>
      </c>
      <c r="D692" s="4" t="n">
        <v>46314.24594736436</v>
      </c>
      <c r="E692" s="4" t="n">
        <v>46314.24594736449</v>
      </c>
      <c r="F692" t="b">
        <v>1</v>
      </c>
      <c r="G692" t="n">
        <v/>
      </c>
      <c r="H692" t="inlineStr">
        <is>
          <t>WIRE</t>
        </is>
      </c>
      <c r="I692" t="inlineStr">
        <is>
          <t>Global X Copper Miners ETF</t>
        </is>
      </c>
      <c r="J692" t="inlineStr">
        <is>
          <t>AUD</t>
        </is>
      </c>
      <c r="K692" s="5" t="inlineStr">
        <is>
          <t>01a152b9-6ee2-7577-bddd-382bc3853fde</t>
        </is>
      </c>
      <c r="M692" t="inlineStr">
        <is>
          <t>UNKNOWN</t>
        </is>
      </c>
      <c r="N692" t="inlineStr">
        <is>
          <t>DEFAULT</t>
        </is>
      </c>
      <c r="Q692" t="n">
        <v>0</v>
      </c>
      <c r="R692" t="inlineStr">
        <is>
          <t>AUD</t>
        </is>
      </c>
      <c r="S692" t="n">
        <v>0</v>
      </c>
      <c r="T692" t="inlineStr">
        <is>
          <t>AUD</t>
        </is>
      </c>
      <c r="U692" t="n">
        <v>0</v>
      </c>
    </row>
    <row r="693">
      <c r="A693" s="5" t="inlineStr">
        <is>
          <t>01a152b9-7b3f-744e-8203-51d2e2cf4533</t>
        </is>
      </c>
      <c r="C693" s="5" t="inlineStr">
        <is>
          <t>01a152b9-6e67-75da-8adb-b03e5d07fd21</t>
        </is>
      </c>
      <c r="D693" s="4" t="n">
        <v>46314.24594740348</v>
      </c>
      <c r="E693" s="4" t="n">
        <v>46314.24594740358</v>
      </c>
      <c r="F693" t="b">
        <v>1</v>
      </c>
      <c r="G693" t="n">
        <v/>
      </c>
      <c r="H693" t="inlineStr">
        <is>
          <t>GVF</t>
        </is>
      </c>
      <c r="I693" t="inlineStr">
        <is>
          <t>Staude Capital Global Value Fund Ltd</t>
        </is>
      </c>
      <c r="J693" t="inlineStr">
        <is>
          <t>AUD</t>
        </is>
      </c>
      <c r="K693" s="5" t="inlineStr">
        <is>
          <t>01a152b9-6ee2-7577-bddd-382bc3853fde</t>
        </is>
      </c>
      <c r="M693" t="inlineStr">
        <is>
          <t>UNKNOWN</t>
        </is>
      </c>
      <c r="N693" t="inlineStr">
        <is>
          <t>DEFAULT</t>
        </is>
      </c>
      <c r="Q693" t="n">
        <v>0</v>
      </c>
      <c r="R693" t="inlineStr">
        <is>
          <t>AUD</t>
        </is>
      </c>
      <c r="S693" t="n">
        <v>0</v>
      </c>
      <c r="T693" t="inlineStr">
        <is>
          <t>AUD</t>
        </is>
      </c>
      <c r="U693" t="n">
        <v>0</v>
      </c>
    </row>
    <row r="694">
      <c r="A694" s="5" t="inlineStr">
        <is>
          <t>01a152b9-7b43-7499-b934-c8a7b155f8ec</t>
        </is>
      </c>
      <c r="C694" s="5" t="inlineStr">
        <is>
          <t>01a152b9-6e67-75da-8adb-b03e5d07fd21</t>
        </is>
      </c>
      <c r="D694" s="4" t="n">
        <v>46314.24594744674</v>
      </c>
      <c r="E694" s="4" t="n">
        <v>46314.24594744683</v>
      </c>
      <c r="F694" t="b">
        <v>1</v>
      </c>
      <c r="G694" t="n">
        <v/>
      </c>
      <c r="H694" t="inlineStr">
        <is>
          <t>STP</t>
        </is>
      </c>
      <c r="I694" t="inlineStr">
        <is>
          <t>Step One Clothing Ltd</t>
        </is>
      </c>
      <c r="J694" t="inlineStr">
        <is>
          <t>AUD</t>
        </is>
      </c>
      <c r="K694" s="5" t="inlineStr">
        <is>
          <t>01a152b9-6ee2-7577-bddd-382bc3853fde</t>
        </is>
      </c>
      <c r="M694" t="inlineStr">
        <is>
          <t>UNKNOWN</t>
        </is>
      </c>
      <c r="N694" t="inlineStr">
        <is>
          <t>DEFAULT</t>
        </is>
      </c>
      <c r="Q694" t="n">
        <v>0</v>
      </c>
      <c r="R694" t="inlineStr">
        <is>
          <t>AUD</t>
        </is>
      </c>
      <c r="S694" t="n">
        <v>0</v>
      </c>
      <c r="T694" t="inlineStr">
        <is>
          <t>AUD</t>
        </is>
      </c>
      <c r="U694" t="n">
        <v>0</v>
      </c>
    </row>
    <row r="695">
      <c r="A695" s="5" t="inlineStr">
        <is>
          <t>01a152b9-7b46-7260-a162-6f1e20e2c4c4</t>
        </is>
      </c>
      <c r="C695" s="5" t="inlineStr">
        <is>
          <t>01a152b9-6e67-75da-8adb-b03e5d07fd21</t>
        </is>
      </c>
      <c r="D695" s="4" t="n">
        <v>46314.2459474837</v>
      </c>
      <c r="E695" s="4" t="n">
        <v>46314.2459474838</v>
      </c>
      <c r="F695" t="b">
        <v>1</v>
      </c>
      <c r="G695" t="n">
        <v/>
      </c>
      <c r="H695" t="inlineStr">
        <is>
          <t>VDCO</t>
        </is>
      </c>
      <c r="I695" t="inlineStr">
        <is>
          <t>Vanguard Diversified Conservative INDEX ETF</t>
        </is>
      </c>
      <c r="J695" t="inlineStr">
        <is>
          <t>AUD</t>
        </is>
      </c>
      <c r="K695" s="5" t="inlineStr">
        <is>
          <t>01a152b9-6ee2-7577-bddd-382bc3853fde</t>
        </is>
      </c>
      <c r="M695" t="inlineStr">
        <is>
          <t>UNIT_TRUST</t>
        </is>
      </c>
      <c r="N695" t="inlineStr">
        <is>
          <t>SUGGESTED</t>
        </is>
      </c>
      <c r="Q695" t="n">
        <v>0</v>
      </c>
      <c r="R695" t="inlineStr">
        <is>
          <t>AUD</t>
        </is>
      </c>
      <c r="S695" t="n">
        <v>0</v>
      </c>
      <c r="T695" t="inlineStr">
        <is>
          <t>AUD</t>
        </is>
      </c>
      <c r="U695" t="n">
        <v>0</v>
      </c>
    </row>
    <row r="696">
      <c r="A696" s="5" t="inlineStr">
        <is>
          <t>01a152b9-7b49-753f-b4e9-1b81160f783a</t>
        </is>
      </c>
      <c r="C696" s="5" t="inlineStr">
        <is>
          <t>01a152b9-6e67-75da-8adb-b03e5d07fd21</t>
        </is>
      </c>
      <c r="D696" s="4" t="n">
        <v>46314.24594752376</v>
      </c>
      <c r="E696" s="4" t="n">
        <v>46314.24594752386</v>
      </c>
      <c r="F696" t="b">
        <v>1</v>
      </c>
      <c r="G696" t="n">
        <v/>
      </c>
      <c r="H696" t="inlineStr">
        <is>
          <t>NFNG</t>
        </is>
      </c>
      <c r="I696" t="inlineStr">
        <is>
          <t>Nufarm Finance (NZ) Ltd</t>
        </is>
      </c>
      <c r="J696" t="inlineStr">
        <is>
          <t>AUD</t>
        </is>
      </c>
      <c r="K696" s="5" t="inlineStr">
        <is>
          <t>01a152b9-6ee2-7577-bddd-382bc3853fde</t>
        </is>
      </c>
      <c r="M696" t="inlineStr">
        <is>
          <t>UNKNOWN</t>
        </is>
      </c>
      <c r="N696" t="inlineStr">
        <is>
          <t>DEFAULT</t>
        </is>
      </c>
      <c r="Q696" t="n">
        <v>0</v>
      </c>
      <c r="R696" t="inlineStr">
        <is>
          <t>AUD</t>
        </is>
      </c>
      <c r="S696" t="n">
        <v>0</v>
      </c>
      <c r="T696" t="inlineStr">
        <is>
          <t>AUD</t>
        </is>
      </c>
      <c r="U696" t="n">
        <v>0</v>
      </c>
    </row>
    <row r="697">
      <c r="A697" s="5" t="inlineStr">
        <is>
          <t>01a152b9-7b4d-77bf-832a-30ff9c808590</t>
        </is>
      </c>
      <c r="C697" s="5" t="inlineStr">
        <is>
          <t>01a152b9-6e67-75da-8adb-b03e5d07fd21</t>
        </is>
      </c>
      <c r="D697" s="4" t="n">
        <v>46314.24594756902</v>
      </c>
      <c r="E697" s="4" t="n">
        <v>46314.24594756911</v>
      </c>
      <c r="F697" t="b">
        <v>1</v>
      </c>
      <c r="G697" t="n">
        <v/>
      </c>
      <c r="H697" t="inlineStr">
        <is>
          <t>CVC</t>
        </is>
      </c>
      <c r="I697" t="inlineStr">
        <is>
          <t>CVC Ltd</t>
        </is>
      </c>
      <c r="J697" t="inlineStr">
        <is>
          <t>AUD</t>
        </is>
      </c>
      <c r="K697" s="5" t="inlineStr">
        <is>
          <t>01a152b9-6ee2-7577-bddd-382bc3853fde</t>
        </is>
      </c>
      <c r="M697" t="inlineStr">
        <is>
          <t>UNKNOWN</t>
        </is>
      </c>
      <c r="N697" t="inlineStr">
        <is>
          <t>DEFAULT</t>
        </is>
      </c>
      <c r="Q697" t="n">
        <v>0</v>
      </c>
      <c r="R697" t="inlineStr">
        <is>
          <t>AUD</t>
        </is>
      </c>
      <c r="S697" t="n">
        <v>0</v>
      </c>
      <c r="T697" t="inlineStr">
        <is>
          <t>AUD</t>
        </is>
      </c>
      <c r="U697" t="n">
        <v>0</v>
      </c>
    </row>
    <row r="698">
      <c r="A698" s="5" t="inlineStr">
        <is>
          <t>01a152b9-7b51-738f-bbe3-3ac95bb3e4dd</t>
        </is>
      </c>
      <c r="C698" s="5" t="inlineStr">
        <is>
          <t>01a152b9-6e67-75da-8adb-b03e5d07fd21</t>
        </is>
      </c>
      <c r="D698" s="4" t="n">
        <v>46314.24594760677</v>
      </c>
      <c r="E698" s="4" t="n">
        <v>46314.2459476069</v>
      </c>
      <c r="F698" t="b">
        <v>1</v>
      </c>
      <c r="G698" t="n">
        <v/>
      </c>
      <c r="H698" t="inlineStr">
        <is>
          <t>LRV</t>
        </is>
      </c>
      <c r="I698" t="inlineStr">
        <is>
          <t>Larvotto Resources Ltd</t>
        </is>
      </c>
      <c r="J698" t="inlineStr">
        <is>
          <t>AUD</t>
        </is>
      </c>
      <c r="K698" s="5" t="inlineStr">
        <is>
          <t>01a152b9-6ee2-7577-bddd-382bc3853fde</t>
        </is>
      </c>
      <c r="M698" t="inlineStr">
        <is>
          <t>UNKNOWN</t>
        </is>
      </c>
      <c r="N698" t="inlineStr">
        <is>
          <t>DEFAULT</t>
        </is>
      </c>
      <c r="Q698" t="n">
        <v>0</v>
      </c>
      <c r="R698" t="inlineStr">
        <is>
          <t>AUD</t>
        </is>
      </c>
      <c r="S698" t="n">
        <v>0</v>
      </c>
      <c r="T698" t="inlineStr">
        <is>
          <t>AUD</t>
        </is>
      </c>
      <c r="U698" t="n">
        <v>0</v>
      </c>
    </row>
    <row r="699">
      <c r="A699" s="5" t="inlineStr">
        <is>
          <t>01a152b9-7b54-723b-ad7d-91c39118a044</t>
        </is>
      </c>
      <c r="C699" s="5" t="inlineStr">
        <is>
          <t>01a152b9-6e67-75da-8adb-b03e5d07fd21</t>
        </is>
      </c>
      <c r="D699" s="4" t="n">
        <v>46314.24594764955</v>
      </c>
      <c r="E699" s="4" t="n">
        <v>46314.24594764967</v>
      </c>
      <c r="F699" t="b">
        <v>1</v>
      </c>
      <c r="G699" t="n">
        <v/>
      </c>
      <c r="H699" t="inlineStr">
        <is>
          <t>MVB</t>
        </is>
      </c>
      <c r="I699" t="inlineStr">
        <is>
          <t>Vaneck Australian Banks ETF</t>
        </is>
      </c>
      <c r="J699" t="inlineStr">
        <is>
          <t>AUD</t>
        </is>
      </c>
      <c r="K699" s="5" t="inlineStr">
        <is>
          <t>01a152b9-6ee2-7577-bddd-382bc3853fde</t>
        </is>
      </c>
      <c r="M699" t="inlineStr">
        <is>
          <t>UNKNOWN</t>
        </is>
      </c>
      <c r="N699" t="inlineStr">
        <is>
          <t>DEFAULT</t>
        </is>
      </c>
      <c r="Q699" t="n">
        <v>0</v>
      </c>
      <c r="R699" t="inlineStr">
        <is>
          <t>AUD</t>
        </is>
      </c>
      <c r="S699" t="n">
        <v>0</v>
      </c>
      <c r="T699" t="inlineStr">
        <is>
          <t>AUD</t>
        </is>
      </c>
      <c r="U699" t="n">
        <v>0</v>
      </c>
    </row>
    <row r="700">
      <c r="A700" s="5" t="inlineStr">
        <is>
          <t>01a152b9-7b58-74b4-8461-c619f6e4c321</t>
        </is>
      </c>
      <c r="C700" s="5" t="inlineStr">
        <is>
          <t>01a152b9-6e67-75da-8adb-b03e5d07fd21</t>
        </is>
      </c>
      <c r="D700" s="4" t="n">
        <v>46314.24594769052</v>
      </c>
      <c r="E700" s="4" t="n">
        <v>46314.24594769064</v>
      </c>
      <c r="F700" t="b">
        <v>1</v>
      </c>
      <c r="G700" t="n">
        <v/>
      </c>
      <c r="H700" t="inlineStr">
        <is>
          <t>TVN</t>
        </is>
      </c>
      <c r="I700" t="inlineStr">
        <is>
          <t>Tivan Ltd</t>
        </is>
      </c>
      <c r="J700" t="inlineStr">
        <is>
          <t>AUD</t>
        </is>
      </c>
      <c r="K700" s="5" t="inlineStr">
        <is>
          <t>01a152b9-6ee2-7577-bddd-382bc3853fde</t>
        </is>
      </c>
      <c r="M700" t="inlineStr">
        <is>
          <t>UNKNOWN</t>
        </is>
      </c>
      <c r="N700" t="inlineStr">
        <is>
          <t>DEFAULT</t>
        </is>
      </c>
      <c r="Q700" t="n">
        <v>0</v>
      </c>
      <c r="R700" t="inlineStr">
        <is>
          <t>AUD</t>
        </is>
      </c>
      <c r="S700" t="n">
        <v>0</v>
      </c>
      <c r="T700" t="inlineStr">
        <is>
          <t>AUD</t>
        </is>
      </c>
      <c r="U700" t="n">
        <v>0</v>
      </c>
    </row>
    <row r="701">
      <c r="A701" s="5" t="inlineStr">
        <is>
          <t>01a152b9-7b5b-75b8-9aac-8a19ceff2a1e</t>
        </is>
      </c>
      <c r="C701" s="5" t="inlineStr">
        <is>
          <t>01a152b9-6e67-75da-8adb-b03e5d07fd21</t>
        </is>
      </c>
      <c r="D701" s="4" t="n">
        <v>46314.24594773084</v>
      </c>
      <c r="E701" s="4" t="n">
        <v>46314.24594773098</v>
      </c>
      <c r="F701" t="b">
        <v>1</v>
      </c>
      <c r="G701" t="n">
        <v/>
      </c>
      <c r="H701" t="inlineStr">
        <is>
          <t>TLG</t>
        </is>
      </c>
      <c r="I701" t="inlineStr">
        <is>
          <t>Talga Group Ltd</t>
        </is>
      </c>
      <c r="J701" t="inlineStr">
        <is>
          <t>AUD</t>
        </is>
      </c>
      <c r="K701" s="5" t="inlineStr">
        <is>
          <t>01a152b9-6ee2-7577-bddd-382bc3853fde</t>
        </is>
      </c>
      <c r="M701" t="inlineStr">
        <is>
          <t>UNKNOWN</t>
        </is>
      </c>
      <c r="N701" t="inlineStr">
        <is>
          <t>DEFAULT</t>
        </is>
      </c>
      <c r="Q701" t="n">
        <v>0</v>
      </c>
      <c r="R701" t="inlineStr">
        <is>
          <t>AUD</t>
        </is>
      </c>
      <c r="S701" t="n">
        <v>0</v>
      </c>
      <c r="T701" t="inlineStr">
        <is>
          <t>AUD</t>
        </is>
      </c>
      <c r="U701" t="n">
        <v>0</v>
      </c>
    </row>
    <row r="702">
      <c r="A702" s="5" t="inlineStr">
        <is>
          <t>01a152b9-7b5f-726e-a61c-793a3130fe2f</t>
        </is>
      </c>
      <c r="C702" s="5" t="inlineStr">
        <is>
          <t>01a152b9-6e67-75da-8adb-b03e5d07fd21</t>
        </is>
      </c>
      <c r="D702" s="4" t="n">
        <v>46314.24594777424</v>
      </c>
      <c r="E702" s="4" t="n">
        <v>46314.24594777436</v>
      </c>
      <c r="F702" t="b">
        <v>1</v>
      </c>
      <c r="G702" t="n">
        <v/>
      </c>
      <c r="H702" t="inlineStr">
        <is>
          <t>CRYP</t>
        </is>
      </c>
      <c r="I702" t="inlineStr">
        <is>
          <t>Betashares CRYPTO Innovators ETF</t>
        </is>
      </c>
      <c r="J702" t="inlineStr">
        <is>
          <t>AUD</t>
        </is>
      </c>
      <c r="K702" s="5" t="inlineStr">
        <is>
          <t>01a152b9-6ee2-7577-bddd-382bc3853fde</t>
        </is>
      </c>
      <c r="M702" t="inlineStr">
        <is>
          <t>UNKNOWN</t>
        </is>
      </c>
      <c r="N702" t="inlineStr">
        <is>
          <t>DEFAULT</t>
        </is>
      </c>
      <c r="Q702" t="n">
        <v>0</v>
      </c>
      <c r="R702" t="inlineStr">
        <is>
          <t>AUD</t>
        </is>
      </c>
      <c r="S702" t="n">
        <v>0</v>
      </c>
      <c r="T702" t="inlineStr">
        <is>
          <t>AUD</t>
        </is>
      </c>
      <c r="U702" t="n">
        <v>0</v>
      </c>
    </row>
    <row r="703">
      <c r="A703" s="5" t="inlineStr">
        <is>
          <t>01a152b9-7b63-717d-a366-604a35393aa4</t>
        </is>
      </c>
      <c r="C703" s="5" t="inlineStr">
        <is>
          <t>01a152b9-6e67-75da-8adb-b03e5d07fd21</t>
        </is>
      </c>
      <c r="D703" s="4" t="n">
        <v>46314.24594782377</v>
      </c>
      <c r="E703" s="4" t="n">
        <v>46314.24594782391</v>
      </c>
      <c r="F703" t="b">
        <v>1</v>
      </c>
      <c r="G703" t="n">
        <v/>
      </c>
      <c r="H703" t="inlineStr">
        <is>
          <t>EOS</t>
        </is>
      </c>
      <c r="I703" t="inlineStr">
        <is>
          <t>Electro Optic Systems Holdings Ltd</t>
        </is>
      </c>
      <c r="J703" t="inlineStr">
        <is>
          <t>AUD</t>
        </is>
      </c>
      <c r="K703" s="5" t="inlineStr">
        <is>
          <t>01a152b9-6ee2-7577-bddd-382bc3853fde</t>
        </is>
      </c>
      <c r="M703" t="inlineStr">
        <is>
          <t>UNKNOWN</t>
        </is>
      </c>
      <c r="N703" t="inlineStr">
        <is>
          <t>DEFAULT</t>
        </is>
      </c>
      <c r="Q703" t="n">
        <v>0</v>
      </c>
      <c r="R703" t="inlineStr">
        <is>
          <t>AUD</t>
        </is>
      </c>
      <c r="S703" t="n">
        <v>0</v>
      </c>
      <c r="T703" t="inlineStr">
        <is>
          <t>AUD</t>
        </is>
      </c>
      <c r="U703" t="n">
        <v>0</v>
      </c>
    </row>
    <row r="704">
      <c r="A704" s="5" t="inlineStr">
        <is>
          <t>01a152b9-7b68-7258-9db2-d7efddb8a41d</t>
        </is>
      </c>
      <c r="C704" s="5" t="inlineStr">
        <is>
          <t>01a152b9-6e67-75da-8adb-b03e5d07fd21</t>
        </is>
      </c>
      <c r="D704" s="4" t="n">
        <v>46314.24594787443</v>
      </c>
      <c r="E704" s="4" t="n">
        <v>46314.24594787458</v>
      </c>
      <c r="F704" t="b">
        <v>1</v>
      </c>
      <c r="G704" t="n">
        <v/>
      </c>
      <c r="H704" t="inlineStr">
        <is>
          <t>TBR</t>
        </is>
      </c>
      <c r="I704" t="inlineStr">
        <is>
          <t>Tribune Resources Ltd</t>
        </is>
      </c>
      <c r="J704" t="inlineStr">
        <is>
          <t>AUD</t>
        </is>
      </c>
      <c r="K704" s="5" t="inlineStr">
        <is>
          <t>01a152b9-6ee2-7577-bddd-382bc3853fde</t>
        </is>
      </c>
      <c r="M704" t="inlineStr">
        <is>
          <t>UNKNOWN</t>
        </is>
      </c>
      <c r="N704" t="inlineStr">
        <is>
          <t>DEFAULT</t>
        </is>
      </c>
      <c r="Q704" t="n">
        <v>0</v>
      </c>
      <c r="R704" t="inlineStr">
        <is>
          <t>AUD</t>
        </is>
      </c>
      <c r="S704" t="n">
        <v>0</v>
      </c>
      <c r="T704" t="inlineStr">
        <is>
          <t>AUD</t>
        </is>
      </c>
      <c r="U704" t="n">
        <v>0</v>
      </c>
    </row>
    <row r="705">
      <c r="A705" s="5" t="inlineStr">
        <is>
          <t>01a152b9-7b6c-705d-bd8d-7b7f2bfdb4bb</t>
        </is>
      </c>
      <c r="C705" s="5" t="inlineStr">
        <is>
          <t>01a152b9-6e67-75da-8adb-b03e5d07fd21</t>
        </is>
      </c>
      <c r="D705" s="4" t="n">
        <v>46314.24594791968</v>
      </c>
      <c r="E705" s="4" t="n">
        <v>46314.24594791984</v>
      </c>
      <c r="F705" t="b">
        <v>1</v>
      </c>
      <c r="G705" t="n">
        <v/>
      </c>
      <c r="H705" t="inlineStr">
        <is>
          <t>PIXX</t>
        </is>
      </c>
      <c r="I705" t="inlineStr">
        <is>
          <t>Platinum International Fund (Quoted Managed Hedge Fund)</t>
        </is>
      </c>
      <c r="J705" t="inlineStr">
        <is>
          <t>AUD</t>
        </is>
      </c>
      <c r="K705" s="5" t="inlineStr">
        <is>
          <t>01a152b9-6ee2-7577-bddd-382bc3853fde</t>
        </is>
      </c>
      <c r="M705" t="inlineStr">
        <is>
          <t>UNKNOWN</t>
        </is>
      </c>
      <c r="N705" t="inlineStr">
        <is>
          <t>DEFAULT</t>
        </is>
      </c>
      <c r="Q705" t="n">
        <v>0</v>
      </c>
      <c r="R705" t="inlineStr">
        <is>
          <t>AUD</t>
        </is>
      </c>
      <c r="S705" t="n">
        <v>0</v>
      </c>
      <c r="T705" t="inlineStr">
        <is>
          <t>AUD</t>
        </is>
      </c>
      <c r="U705" t="n">
        <v>0</v>
      </c>
    </row>
    <row r="706">
      <c r="A706" s="5" t="inlineStr">
        <is>
          <t>01a152b9-7b70-77a1-849e-6f0a63975fa3</t>
        </is>
      </c>
      <c r="C706" s="5" t="inlineStr">
        <is>
          <t>01a152b9-6e67-75da-8adb-b03e5d07fd21</t>
        </is>
      </c>
      <c r="D706" s="4" t="n">
        <v>46314.24594796594</v>
      </c>
      <c r="E706" s="4" t="n">
        <v>46314.24594796608</v>
      </c>
      <c r="F706" t="b">
        <v>1</v>
      </c>
      <c r="G706" t="n">
        <v/>
      </c>
      <c r="H706" t="inlineStr">
        <is>
          <t>CVN</t>
        </is>
      </c>
      <c r="I706" t="inlineStr">
        <is>
          <t>Carnarvon Energy Ltd</t>
        </is>
      </c>
      <c r="J706" t="inlineStr">
        <is>
          <t>AUD</t>
        </is>
      </c>
      <c r="K706" s="5" t="inlineStr">
        <is>
          <t>01a152b9-6ee2-7577-bddd-382bc3853fde</t>
        </is>
      </c>
      <c r="M706" t="inlineStr">
        <is>
          <t>UNKNOWN</t>
        </is>
      </c>
      <c r="N706" t="inlineStr">
        <is>
          <t>DEFAULT</t>
        </is>
      </c>
      <c r="Q706" t="n">
        <v>0</v>
      </c>
      <c r="R706" t="inlineStr">
        <is>
          <t>AUD</t>
        </is>
      </c>
      <c r="S706" t="n">
        <v>0</v>
      </c>
      <c r="T706" t="inlineStr">
        <is>
          <t>AUD</t>
        </is>
      </c>
      <c r="U706" t="n">
        <v>0</v>
      </c>
    </row>
    <row r="707">
      <c r="A707" s="5" t="inlineStr">
        <is>
          <t>01a152b9-7b73-7776-b9d9-6c3f0d7335db</t>
        </is>
      </c>
      <c r="C707" s="5" t="inlineStr">
        <is>
          <t>01a152b9-6e67-75da-8adb-b03e5d07fd21</t>
        </is>
      </c>
      <c r="D707" s="4" t="n">
        <v>46314.24594801</v>
      </c>
      <c r="E707" s="4" t="n">
        <v>46314.24594801012</v>
      </c>
      <c r="F707" t="b">
        <v>1</v>
      </c>
      <c r="G707" t="n">
        <v/>
      </c>
      <c r="H707" t="inlineStr">
        <is>
          <t>IIND</t>
        </is>
      </c>
      <c r="I707" t="inlineStr">
        <is>
          <t>Betashares India Quality ETF</t>
        </is>
      </c>
      <c r="J707" t="inlineStr">
        <is>
          <t>AUD</t>
        </is>
      </c>
      <c r="K707" s="5" t="inlineStr">
        <is>
          <t>01a152b9-6ee2-7577-bddd-382bc3853fde</t>
        </is>
      </c>
      <c r="M707" t="inlineStr">
        <is>
          <t>UNKNOWN</t>
        </is>
      </c>
      <c r="N707" t="inlineStr">
        <is>
          <t>DEFAULT</t>
        </is>
      </c>
      <c r="Q707" t="n">
        <v>0</v>
      </c>
      <c r="R707" t="inlineStr">
        <is>
          <t>AUD</t>
        </is>
      </c>
      <c r="S707" t="n">
        <v>0</v>
      </c>
      <c r="T707" t="inlineStr">
        <is>
          <t>AUD</t>
        </is>
      </c>
      <c r="U707" t="n">
        <v>0</v>
      </c>
    </row>
    <row r="708">
      <c r="A708" s="5" t="inlineStr">
        <is>
          <t>01a152b9-7b77-7104-9ed7-ce36391050ac</t>
        </is>
      </c>
      <c r="C708" s="5" t="inlineStr">
        <is>
          <t>01a152b9-6e67-75da-8adb-b03e5d07fd21</t>
        </is>
      </c>
      <c r="D708" s="4" t="n">
        <v>46314.24594805176</v>
      </c>
      <c r="E708" s="4" t="n">
        <v>46314.24594805189</v>
      </c>
      <c r="F708" t="b">
        <v>1</v>
      </c>
      <c r="G708" t="n">
        <v/>
      </c>
      <c r="H708" t="inlineStr">
        <is>
          <t>LGL</t>
        </is>
      </c>
      <c r="I708" t="inlineStr">
        <is>
          <t>Lynch Group Holdings Ltd</t>
        </is>
      </c>
      <c r="J708" t="inlineStr">
        <is>
          <t>AUD</t>
        </is>
      </c>
      <c r="K708" s="5" t="inlineStr">
        <is>
          <t>01a152b9-6ee2-7577-bddd-382bc3853fde</t>
        </is>
      </c>
      <c r="M708" t="inlineStr">
        <is>
          <t>UNKNOWN</t>
        </is>
      </c>
      <c r="N708" t="inlineStr">
        <is>
          <t>DEFAULT</t>
        </is>
      </c>
      <c r="Q708" t="n">
        <v>0</v>
      </c>
      <c r="R708" t="inlineStr">
        <is>
          <t>AUD</t>
        </is>
      </c>
      <c r="S708" t="n">
        <v>0</v>
      </c>
      <c r="T708" t="inlineStr">
        <is>
          <t>AUD</t>
        </is>
      </c>
      <c r="U708" t="n">
        <v>0</v>
      </c>
    </row>
    <row r="709">
      <c r="A709" s="5" t="inlineStr">
        <is>
          <t>01a152b9-7b7b-7719-8f0f-b1c1a1f6afa8</t>
        </is>
      </c>
      <c r="C709" s="5" t="inlineStr">
        <is>
          <t>01a152b9-6e67-75da-8adb-b03e5d07fd21</t>
        </is>
      </c>
      <c r="D709" s="4" t="n">
        <v>46314.24594809809</v>
      </c>
      <c r="E709" s="4" t="n">
        <v>46314.24594809824</v>
      </c>
      <c r="F709" t="b">
        <v>1</v>
      </c>
      <c r="G709" t="n">
        <v/>
      </c>
      <c r="H709" t="inlineStr">
        <is>
          <t>ONE</t>
        </is>
      </c>
      <c r="I709" t="inlineStr">
        <is>
          <t>Oneview Healthcare Plc</t>
        </is>
      </c>
      <c r="J709" t="inlineStr">
        <is>
          <t>AUD</t>
        </is>
      </c>
      <c r="K709" s="5" t="inlineStr">
        <is>
          <t>01a152b9-6ee2-7577-bddd-382bc3853fde</t>
        </is>
      </c>
      <c r="M709" t="inlineStr">
        <is>
          <t>UNKNOWN</t>
        </is>
      </c>
      <c r="N709" t="inlineStr">
        <is>
          <t>DEFAULT</t>
        </is>
      </c>
      <c r="Q709" t="n">
        <v>0</v>
      </c>
      <c r="R709" t="inlineStr">
        <is>
          <t>AUD</t>
        </is>
      </c>
      <c r="S709" t="n">
        <v>0</v>
      </c>
      <c r="T709" t="inlineStr">
        <is>
          <t>AUD</t>
        </is>
      </c>
      <c r="U709" t="n">
        <v>0</v>
      </c>
    </row>
    <row r="710">
      <c r="A710" s="5" t="inlineStr">
        <is>
          <t>01a152b9-7b7f-7130-a9b3-c2cb073940c6</t>
        </is>
      </c>
      <c r="C710" s="5" t="inlineStr">
        <is>
          <t>01a152b9-6e67-75da-8adb-b03e5d07fd21</t>
        </is>
      </c>
      <c r="D710" s="4" t="n">
        <v>46314.24594814286</v>
      </c>
      <c r="E710" s="4" t="n">
        <v>46314.24594814298</v>
      </c>
      <c r="F710" t="b">
        <v>1</v>
      </c>
      <c r="G710" t="n">
        <v/>
      </c>
      <c r="H710" t="inlineStr">
        <is>
          <t>GLDN</t>
        </is>
      </c>
      <c r="I710" t="inlineStr">
        <is>
          <t>Ishares Physical Gold ETF</t>
        </is>
      </c>
      <c r="J710" t="inlineStr">
        <is>
          <t>AUD</t>
        </is>
      </c>
      <c r="K710" s="5" t="inlineStr">
        <is>
          <t>01a152b9-6ee2-7577-bddd-382bc3853fde</t>
        </is>
      </c>
      <c r="M710" t="inlineStr">
        <is>
          <t>UNKNOWN</t>
        </is>
      </c>
      <c r="N710" t="inlineStr">
        <is>
          <t>DEFAULT</t>
        </is>
      </c>
      <c r="Q710" t="n">
        <v>0</v>
      </c>
      <c r="R710" t="inlineStr">
        <is>
          <t>AUD</t>
        </is>
      </c>
      <c r="S710" t="n">
        <v>0</v>
      </c>
      <c r="T710" t="inlineStr">
        <is>
          <t>AUD</t>
        </is>
      </c>
      <c r="U710" t="n">
        <v>0</v>
      </c>
    </row>
    <row r="711">
      <c r="A711" s="5" t="inlineStr">
        <is>
          <t>01a152b9-7b83-7128-bf28-ae4e3e14a08b</t>
        </is>
      </c>
      <c r="C711" s="5" t="inlineStr">
        <is>
          <t>01a152b9-6e67-75da-8adb-b03e5d07fd21</t>
        </is>
      </c>
      <c r="D711" s="4" t="n">
        <v>46314.2459481854</v>
      </c>
      <c r="E711" s="4" t="n">
        <v>46314.24594818555</v>
      </c>
      <c r="F711" t="b">
        <v>1</v>
      </c>
      <c r="G711" t="n">
        <v/>
      </c>
      <c r="H711" t="inlineStr">
        <is>
          <t>GGOV</t>
        </is>
      </c>
      <c r="I711" t="inlineStr">
        <is>
          <t>Betashares US Treasury Bond 20+YR ETF - CCY Hedged</t>
        </is>
      </c>
      <c r="J711" t="inlineStr">
        <is>
          <t>AUD</t>
        </is>
      </c>
      <c r="K711" s="5" t="inlineStr">
        <is>
          <t>01a152b9-6ee2-7577-bddd-382bc3853fde</t>
        </is>
      </c>
      <c r="M711" t="inlineStr">
        <is>
          <t>UNKNOWN</t>
        </is>
      </c>
      <c r="N711" t="inlineStr">
        <is>
          <t>DEFAULT</t>
        </is>
      </c>
      <c r="Q711" t="n">
        <v>0</v>
      </c>
      <c r="R711" t="inlineStr">
        <is>
          <t>AUD</t>
        </is>
      </c>
      <c r="S711" t="n">
        <v>0</v>
      </c>
      <c r="T711" t="inlineStr">
        <is>
          <t>AUD</t>
        </is>
      </c>
      <c r="U711" t="n">
        <v>0</v>
      </c>
    </row>
    <row r="712">
      <c r="A712" s="5" t="inlineStr">
        <is>
          <t>01a152b9-7b87-7293-a395-c8c9902af988</t>
        </is>
      </c>
      <c r="C712" s="5" t="inlineStr">
        <is>
          <t>01a152b9-6e67-75da-8adb-b03e5d07fd21</t>
        </is>
      </c>
      <c r="D712" s="4" t="n">
        <v>46314.2459482332</v>
      </c>
      <c r="E712" s="4" t="n">
        <v>46314.24594823332</v>
      </c>
      <c r="F712" t="b">
        <v>1</v>
      </c>
      <c r="G712" t="n">
        <v/>
      </c>
      <c r="H712" t="inlineStr">
        <is>
          <t>FND</t>
        </is>
      </c>
      <c r="I712" t="inlineStr">
        <is>
          <t>Findi Ltd</t>
        </is>
      </c>
      <c r="J712" t="inlineStr">
        <is>
          <t>AUD</t>
        </is>
      </c>
      <c r="K712" s="5" t="inlineStr">
        <is>
          <t>01a152b9-6ee2-7577-bddd-382bc3853fde</t>
        </is>
      </c>
      <c r="M712" t="inlineStr">
        <is>
          <t>UNKNOWN</t>
        </is>
      </c>
      <c r="N712" t="inlineStr">
        <is>
          <t>DEFAULT</t>
        </is>
      </c>
      <c r="Q712" t="n">
        <v>0</v>
      </c>
      <c r="R712" t="inlineStr">
        <is>
          <t>AUD</t>
        </is>
      </c>
      <c r="S712" t="n">
        <v>0</v>
      </c>
      <c r="T712" t="inlineStr">
        <is>
          <t>AUD</t>
        </is>
      </c>
      <c r="U712" t="n">
        <v>0</v>
      </c>
    </row>
    <row r="713">
      <c r="A713" s="5" t="inlineStr">
        <is>
          <t>01a152b9-7b8b-718c-a510-5def2960508c</t>
        </is>
      </c>
      <c r="C713" s="5" t="inlineStr">
        <is>
          <t>01a152b9-6e67-75da-8adb-b03e5d07fd21</t>
        </is>
      </c>
      <c r="D713" s="4" t="n">
        <v>46314.24594827813</v>
      </c>
      <c r="E713" s="4" t="n">
        <v>46314.24594827829</v>
      </c>
      <c r="F713" t="b">
        <v>1</v>
      </c>
      <c r="G713" t="n">
        <v/>
      </c>
      <c r="H713" t="inlineStr">
        <is>
          <t>EOL</t>
        </is>
      </c>
      <c r="I713" t="inlineStr">
        <is>
          <t>Energy One Ltd</t>
        </is>
      </c>
      <c r="J713" t="inlineStr">
        <is>
          <t>AUD</t>
        </is>
      </c>
      <c r="K713" s="5" t="inlineStr">
        <is>
          <t>01a152b9-6ee2-7577-bddd-382bc3853fde</t>
        </is>
      </c>
      <c r="M713" t="inlineStr">
        <is>
          <t>UNKNOWN</t>
        </is>
      </c>
      <c r="N713" t="inlineStr">
        <is>
          <t>DEFAULT</t>
        </is>
      </c>
      <c r="Q713" t="n">
        <v>0</v>
      </c>
      <c r="R713" t="inlineStr">
        <is>
          <t>AUD</t>
        </is>
      </c>
      <c r="S713" t="n">
        <v>0</v>
      </c>
      <c r="T713" t="inlineStr">
        <is>
          <t>AUD</t>
        </is>
      </c>
      <c r="U713" t="n">
        <v>0</v>
      </c>
    </row>
    <row r="714">
      <c r="A714" s="5" t="inlineStr">
        <is>
          <t>01a152b9-7b8e-7606-8b88-bcb813efae9a</t>
        </is>
      </c>
      <c r="C714" s="5" t="inlineStr">
        <is>
          <t>01a152b9-6e67-75da-8adb-b03e5d07fd21</t>
        </is>
      </c>
      <c r="D714" s="4" t="n">
        <v>46314.24594831829</v>
      </c>
      <c r="E714" s="4" t="n">
        <v>46314.24594831843</v>
      </c>
      <c r="F714" t="b">
        <v>1</v>
      </c>
      <c r="G714" t="n">
        <v/>
      </c>
      <c r="H714" t="inlineStr">
        <is>
          <t>RAC</t>
        </is>
      </c>
      <c r="I714" t="inlineStr">
        <is>
          <t>Race Oncology Ltd</t>
        </is>
      </c>
      <c r="J714" t="inlineStr">
        <is>
          <t>AUD</t>
        </is>
      </c>
      <c r="K714" s="5" t="inlineStr">
        <is>
          <t>01a152b9-6ee2-7577-bddd-382bc3853fde</t>
        </is>
      </c>
      <c r="M714" t="inlineStr">
        <is>
          <t>UNKNOWN</t>
        </is>
      </c>
      <c r="N714" t="inlineStr">
        <is>
          <t>DEFAULT</t>
        </is>
      </c>
      <c r="Q714" t="n">
        <v>0</v>
      </c>
      <c r="R714" t="inlineStr">
        <is>
          <t>AUD</t>
        </is>
      </c>
      <c r="S714" t="n">
        <v>0</v>
      </c>
      <c r="T714" t="inlineStr">
        <is>
          <t>AUD</t>
        </is>
      </c>
      <c r="U714" t="n">
        <v>0</v>
      </c>
    </row>
    <row r="715">
      <c r="A715" s="5" t="inlineStr">
        <is>
          <t>01a152b9-7b92-7524-9172-05570c8d550d</t>
        </is>
      </c>
      <c r="C715" s="5" t="inlineStr">
        <is>
          <t>01a152b9-6e67-75da-8adb-b03e5d07fd21</t>
        </is>
      </c>
      <c r="D715" s="4" t="n">
        <v>46314.24594836257</v>
      </c>
      <c r="E715" s="4" t="n">
        <v>46314.24594836267</v>
      </c>
      <c r="F715" t="b">
        <v>1</v>
      </c>
      <c r="G715" t="n">
        <v/>
      </c>
      <c r="H715" t="inlineStr">
        <is>
          <t>IHHY</t>
        </is>
      </c>
      <c r="I715" t="inlineStr">
        <is>
          <t>Ishares Global High Yield Bond (Aud Hedged) ETF</t>
        </is>
      </c>
      <c r="J715" t="inlineStr">
        <is>
          <t>AUD</t>
        </is>
      </c>
      <c r="K715" s="5" t="inlineStr">
        <is>
          <t>01a152b9-6ee2-7577-bddd-382bc3853fde</t>
        </is>
      </c>
      <c r="M715" t="inlineStr">
        <is>
          <t>UNKNOWN</t>
        </is>
      </c>
      <c r="N715" t="inlineStr">
        <is>
          <t>DEFAULT</t>
        </is>
      </c>
      <c r="Q715" t="n">
        <v>0</v>
      </c>
      <c r="R715" t="inlineStr">
        <is>
          <t>AUD</t>
        </is>
      </c>
      <c r="S715" t="n">
        <v>0</v>
      </c>
      <c r="T715" t="inlineStr">
        <is>
          <t>AUD</t>
        </is>
      </c>
      <c r="U715" t="n">
        <v>0</v>
      </c>
    </row>
    <row r="716">
      <c r="A716" s="5" t="inlineStr">
        <is>
          <t>01a152b9-7b96-7374-817a-bfa4e23389c4</t>
        </is>
      </c>
      <c r="C716" s="5" t="inlineStr">
        <is>
          <t>01a152b9-6e67-75da-8adb-b03e5d07fd21</t>
        </is>
      </c>
      <c r="D716" s="4" t="n">
        <v>46314.24594840786</v>
      </c>
      <c r="E716" s="4" t="n">
        <v>46314.24594840797</v>
      </c>
      <c r="F716" t="b">
        <v>1</v>
      </c>
      <c r="G716" t="n">
        <v/>
      </c>
      <c r="H716" t="inlineStr">
        <is>
          <t>GRX</t>
        </is>
      </c>
      <c r="I716" t="inlineStr">
        <is>
          <t>Greenx Metals Ltd</t>
        </is>
      </c>
      <c r="J716" t="inlineStr">
        <is>
          <t>AUD</t>
        </is>
      </c>
      <c r="K716" s="5" t="inlineStr">
        <is>
          <t>01a152b9-6ee2-7577-bddd-382bc3853fde</t>
        </is>
      </c>
      <c r="M716" t="inlineStr">
        <is>
          <t>UNKNOWN</t>
        </is>
      </c>
      <c r="N716" t="inlineStr">
        <is>
          <t>DEFAULT</t>
        </is>
      </c>
      <c r="Q716" t="n">
        <v>0</v>
      </c>
      <c r="R716" t="inlineStr">
        <is>
          <t>AUD</t>
        </is>
      </c>
      <c r="S716" t="n">
        <v>0</v>
      </c>
      <c r="T716" t="inlineStr">
        <is>
          <t>AUD</t>
        </is>
      </c>
      <c r="U716" t="n">
        <v>0</v>
      </c>
    </row>
    <row r="717">
      <c r="A717" s="5" t="inlineStr">
        <is>
          <t>01a152b9-7b99-7053-a82c-4406977d8bd5</t>
        </is>
      </c>
      <c r="C717" s="5" t="inlineStr">
        <is>
          <t>01a152b9-6e67-75da-8adb-b03e5d07fd21</t>
        </is>
      </c>
      <c r="D717" s="4" t="n">
        <v>46314.24594844478</v>
      </c>
      <c r="E717" s="4" t="n">
        <v>46314.24594844488</v>
      </c>
      <c r="F717" t="b">
        <v>1</v>
      </c>
      <c r="G717" t="n">
        <v/>
      </c>
      <c r="H717" t="inlineStr">
        <is>
          <t>VYS</t>
        </is>
      </c>
      <c r="I717" t="inlineStr">
        <is>
          <t>Vysarn Ltd</t>
        </is>
      </c>
      <c r="J717" t="inlineStr">
        <is>
          <t>AUD</t>
        </is>
      </c>
      <c r="K717" s="5" t="inlineStr">
        <is>
          <t>01a152b9-6ee2-7577-bddd-382bc3853fde</t>
        </is>
      </c>
      <c r="M717" t="inlineStr">
        <is>
          <t>UNKNOWN</t>
        </is>
      </c>
      <c r="N717" t="inlineStr">
        <is>
          <t>DEFAULT</t>
        </is>
      </c>
      <c r="Q717" t="n">
        <v>0</v>
      </c>
      <c r="R717" t="inlineStr">
        <is>
          <t>AUD</t>
        </is>
      </c>
      <c r="S717" t="n">
        <v>0</v>
      </c>
      <c r="T717" t="inlineStr">
        <is>
          <t>AUD</t>
        </is>
      </c>
      <c r="U717" t="n">
        <v>0</v>
      </c>
    </row>
    <row r="718">
      <c r="A718" s="5" t="inlineStr">
        <is>
          <t>01a152b9-7b9d-72a8-8d8e-4e4f114c7fdb</t>
        </is>
      </c>
      <c r="C718" s="5" t="inlineStr">
        <is>
          <t>01a152b9-6e67-75da-8adb-b03e5d07fd21</t>
        </is>
      </c>
      <c r="D718" s="4" t="n">
        <v>46314.2459484864</v>
      </c>
      <c r="E718" s="4" t="n">
        <v>46314.24594848652</v>
      </c>
      <c r="F718" t="b">
        <v>1</v>
      </c>
      <c r="G718" t="n">
        <v/>
      </c>
      <c r="H718" t="inlineStr">
        <is>
          <t>RGB</t>
        </is>
      </c>
      <c r="I718" t="inlineStr">
        <is>
          <t>Russell Investments Australian Government Bond ETF</t>
        </is>
      </c>
      <c r="J718" t="inlineStr">
        <is>
          <t>AUD</t>
        </is>
      </c>
      <c r="K718" s="5" t="inlineStr">
        <is>
          <t>01a152b9-6ee2-7577-bddd-382bc3853fde</t>
        </is>
      </c>
      <c r="M718" t="inlineStr">
        <is>
          <t>UNKNOWN</t>
        </is>
      </c>
      <c r="N718" t="inlineStr">
        <is>
          <t>DEFAULT</t>
        </is>
      </c>
      <c r="Q718" t="n">
        <v>0</v>
      </c>
      <c r="R718" t="inlineStr">
        <is>
          <t>AUD</t>
        </is>
      </c>
      <c r="S718" t="n">
        <v>0</v>
      </c>
      <c r="T718" t="inlineStr">
        <is>
          <t>AUD</t>
        </is>
      </c>
      <c r="U718" t="n">
        <v>0</v>
      </c>
    </row>
    <row r="719">
      <c r="A719" s="5" t="inlineStr">
        <is>
          <t>01a152b9-7ba0-7271-99a7-8246a8c6fb2b</t>
        </is>
      </c>
      <c r="C719" s="5" t="inlineStr">
        <is>
          <t>01a152b9-6e67-75da-8adb-b03e5d07fd21</t>
        </is>
      </c>
      <c r="D719" s="4" t="n">
        <v>46314.2459485298</v>
      </c>
      <c r="E719" s="4" t="n">
        <v>46314.2459485299</v>
      </c>
      <c r="F719" t="b">
        <v>1</v>
      </c>
      <c r="G719" t="n">
        <v/>
      </c>
      <c r="H719" t="inlineStr">
        <is>
          <t>ART</t>
        </is>
      </c>
      <c r="I719" t="inlineStr">
        <is>
          <t>Airtasker Ltd</t>
        </is>
      </c>
      <c r="J719" t="inlineStr">
        <is>
          <t>AUD</t>
        </is>
      </c>
      <c r="K719" s="5" t="inlineStr">
        <is>
          <t>01a152b9-6ee2-7577-bddd-382bc3853fde</t>
        </is>
      </c>
      <c r="M719" t="inlineStr">
        <is>
          <t>UNKNOWN</t>
        </is>
      </c>
      <c r="N719" t="inlineStr">
        <is>
          <t>DEFAULT</t>
        </is>
      </c>
      <c r="Q719" t="n">
        <v>0</v>
      </c>
      <c r="R719" t="inlineStr">
        <is>
          <t>AUD</t>
        </is>
      </c>
      <c r="S719" t="n">
        <v>0</v>
      </c>
      <c r="T719" t="inlineStr">
        <is>
          <t>AUD</t>
        </is>
      </c>
      <c r="U719" t="n">
        <v>0</v>
      </c>
    </row>
    <row r="720">
      <c r="A720" s="5" t="inlineStr">
        <is>
          <t>01a152b9-7ba4-706c-a9d3-d916d27ccfa2</t>
        </is>
      </c>
      <c r="C720" s="5" t="inlineStr">
        <is>
          <t>01a152b9-6e67-75da-8adb-b03e5d07fd21</t>
        </is>
      </c>
      <c r="D720" s="4" t="n">
        <v>46314.24594857343</v>
      </c>
      <c r="E720" s="4" t="n">
        <v>46314.24594857353</v>
      </c>
      <c r="F720" t="b">
        <v>1</v>
      </c>
      <c r="G720" t="n">
        <v/>
      </c>
      <c r="H720" t="inlineStr">
        <is>
          <t>ALA</t>
        </is>
      </c>
      <c r="I720" t="inlineStr">
        <is>
          <t>Arovella Therapeutics Ltd</t>
        </is>
      </c>
      <c r="J720" t="inlineStr">
        <is>
          <t>AUD</t>
        </is>
      </c>
      <c r="K720" s="5" t="inlineStr">
        <is>
          <t>01a152b9-6ee2-7577-bddd-382bc3853fde</t>
        </is>
      </c>
      <c r="M720" t="inlineStr">
        <is>
          <t>UNKNOWN</t>
        </is>
      </c>
      <c r="N720" t="inlineStr">
        <is>
          <t>DEFAULT</t>
        </is>
      </c>
      <c r="Q720" t="n">
        <v>0</v>
      </c>
      <c r="R720" t="inlineStr">
        <is>
          <t>AUD</t>
        </is>
      </c>
      <c r="S720" t="n">
        <v>0</v>
      </c>
      <c r="T720" t="inlineStr">
        <is>
          <t>AUD</t>
        </is>
      </c>
      <c r="U720" t="n">
        <v>0</v>
      </c>
    </row>
    <row r="721">
      <c r="A721" s="5" t="inlineStr">
        <is>
          <t>01a152b9-7ba8-71ad-9735-722f96f15206</t>
        </is>
      </c>
      <c r="C721" s="5" t="inlineStr">
        <is>
          <t>01a152b9-6e67-75da-8adb-b03e5d07fd21</t>
        </is>
      </c>
      <c r="D721" s="4" t="n">
        <v>46314.24594861746</v>
      </c>
      <c r="E721" s="4" t="n">
        <v>46314.24594861756</v>
      </c>
      <c r="F721" t="b">
        <v>1</v>
      </c>
      <c r="G721" t="n">
        <v/>
      </c>
      <c r="H721" t="inlineStr">
        <is>
          <t>A1N</t>
        </is>
      </c>
      <c r="I721" t="inlineStr">
        <is>
          <t>Arn Media Ltd</t>
        </is>
      </c>
      <c r="J721" t="inlineStr">
        <is>
          <t>AUD</t>
        </is>
      </c>
      <c r="K721" s="5" t="inlineStr">
        <is>
          <t>01a152b9-6ee2-7577-bddd-382bc3853fde</t>
        </is>
      </c>
      <c r="M721" t="inlineStr">
        <is>
          <t>UNKNOWN</t>
        </is>
      </c>
      <c r="N721" t="inlineStr">
        <is>
          <t>DEFAULT</t>
        </is>
      </c>
      <c r="Q721" t="n">
        <v>0</v>
      </c>
      <c r="R721" t="inlineStr">
        <is>
          <t>AUD</t>
        </is>
      </c>
      <c r="S721" t="n">
        <v>0</v>
      </c>
      <c r="T721" t="inlineStr">
        <is>
          <t>AUD</t>
        </is>
      </c>
      <c r="U721" t="n">
        <v>0</v>
      </c>
    </row>
    <row r="722">
      <c r="A722" s="5" t="inlineStr">
        <is>
          <t>01a152b9-7bab-7227-92d4-80fc49d8dc8e</t>
        </is>
      </c>
      <c r="C722" s="5" t="inlineStr">
        <is>
          <t>01a152b9-6e67-75da-8adb-b03e5d07fd21</t>
        </is>
      </c>
      <c r="D722" s="4" t="n">
        <v>46314.24594865496</v>
      </c>
      <c r="E722" s="4" t="n">
        <v>46314.24594865507</v>
      </c>
      <c r="F722" t="b">
        <v>1</v>
      </c>
      <c r="G722" t="n">
        <v/>
      </c>
      <c r="H722" t="inlineStr">
        <is>
          <t>VBTC</t>
        </is>
      </c>
      <c r="I722" t="inlineStr">
        <is>
          <t>Vaneck Bitcoin ETF</t>
        </is>
      </c>
      <c r="J722" t="inlineStr">
        <is>
          <t>AUD</t>
        </is>
      </c>
      <c r="K722" s="5" t="inlineStr">
        <is>
          <t>01a152b9-6ee2-7577-bddd-382bc3853fde</t>
        </is>
      </c>
      <c r="M722" t="inlineStr">
        <is>
          <t>UNKNOWN</t>
        </is>
      </c>
      <c r="N722" t="inlineStr">
        <is>
          <t>DEFAULT</t>
        </is>
      </c>
      <c r="Q722" t="n">
        <v>0</v>
      </c>
      <c r="R722" t="inlineStr">
        <is>
          <t>AUD</t>
        </is>
      </c>
      <c r="S722" t="n">
        <v>0</v>
      </c>
      <c r="T722" t="inlineStr">
        <is>
          <t>AUD</t>
        </is>
      </c>
      <c r="U722" t="n">
        <v>0</v>
      </c>
    </row>
    <row r="723">
      <c r="A723" s="5" t="inlineStr">
        <is>
          <t>01a152b9-7baf-7015-830a-c4e8cd559079</t>
        </is>
      </c>
      <c r="C723" s="5" t="inlineStr">
        <is>
          <t>01a152b9-6e67-75da-8adb-b03e5d07fd21</t>
        </is>
      </c>
      <c r="D723" s="4" t="n">
        <v>46314.2459487008</v>
      </c>
      <c r="E723" s="4" t="n">
        <v>46314.24594870094</v>
      </c>
      <c r="F723" t="b">
        <v>1</v>
      </c>
      <c r="G723" t="n">
        <v/>
      </c>
      <c r="H723" t="inlineStr">
        <is>
          <t>FRI</t>
        </is>
      </c>
      <c r="I723" t="inlineStr">
        <is>
          <t>Finbar Group Ltd</t>
        </is>
      </c>
      <c r="J723" t="inlineStr">
        <is>
          <t>AUD</t>
        </is>
      </c>
      <c r="K723" s="5" t="inlineStr">
        <is>
          <t>01a152b9-6ee2-7577-bddd-382bc3853fde</t>
        </is>
      </c>
      <c r="M723" t="inlineStr">
        <is>
          <t>UNKNOWN</t>
        </is>
      </c>
      <c r="N723" t="inlineStr">
        <is>
          <t>DEFAULT</t>
        </is>
      </c>
      <c r="Q723" t="n">
        <v>0</v>
      </c>
      <c r="R723" t="inlineStr">
        <is>
          <t>AUD</t>
        </is>
      </c>
      <c r="S723" t="n">
        <v>0</v>
      </c>
      <c r="T723" t="inlineStr">
        <is>
          <t>AUD</t>
        </is>
      </c>
      <c r="U723" t="n">
        <v>0</v>
      </c>
    </row>
    <row r="724">
      <c r="A724" s="5" t="inlineStr">
        <is>
          <t>01a152b9-7bb3-707f-9c44-a18bf6d082b5</t>
        </is>
      </c>
      <c r="C724" s="5" t="inlineStr">
        <is>
          <t>01a152b9-6e67-75da-8adb-b03e5d07fd21</t>
        </is>
      </c>
      <c r="D724" s="4" t="n">
        <v>46314.24594874374</v>
      </c>
      <c r="E724" s="4" t="n">
        <v>46314.24594874388</v>
      </c>
      <c r="F724" t="b">
        <v>1</v>
      </c>
      <c r="G724" t="n">
        <v/>
      </c>
      <c r="H724" t="inlineStr">
        <is>
          <t>ESGI</t>
        </is>
      </c>
      <c r="I724" t="inlineStr">
        <is>
          <t>Vaneck MSCI International Sustainable Equity ETF</t>
        </is>
      </c>
      <c r="J724" t="inlineStr">
        <is>
          <t>AUD</t>
        </is>
      </c>
      <c r="K724" s="5" t="inlineStr">
        <is>
          <t>01a152b9-6ee2-7577-bddd-382bc3853fde</t>
        </is>
      </c>
      <c r="M724" t="inlineStr">
        <is>
          <t>UNKNOWN</t>
        </is>
      </c>
      <c r="N724" t="inlineStr">
        <is>
          <t>DEFAULT</t>
        </is>
      </c>
      <c r="Q724" t="n">
        <v>0</v>
      </c>
      <c r="R724" t="inlineStr">
        <is>
          <t>AUD</t>
        </is>
      </c>
      <c r="S724" t="n">
        <v>0</v>
      </c>
      <c r="T724" t="inlineStr">
        <is>
          <t>AUD</t>
        </is>
      </c>
      <c r="U724" t="n">
        <v>0</v>
      </c>
    </row>
    <row r="725">
      <c r="A725" s="5" t="inlineStr">
        <is>
          <t>01a152b9-7bb6-774c-99ad-4453278ac554</t>
        </is>
      </c>
      <c r="C725" s="5" t="inlineStr">
        <is>
          <t>01a152b9-6e67-75da-8adb-b03e5d07fd21</t>
        </is>
      </c>
      <c r="D725" s="4" t="n">
        <v>46314.24594878408</v>
      </c>
      <c r="E725" s="4" t="n">
        <v>46314.24594878418</v>
      </c>
      <c r="F725" t="b">
        <v>1</v>
      </c>
      <c r="G725" t="n">
        <v/>
      </c>
      <c r="H725" t="inlineStr">
        <is>
          <t>CTM</t>
        </is>
      </c>
      <c r="I725" t="inlineStr">
        <is>
          <t>Centaurus Metals Ltd</t>
        </is>
      </c>
      <c r="J725" t="inlineStr">
        <is>
          <t>AUD</t>
        </is>
      </c>
      <c r="K725" s="5" t="inlineStr">
        <is>
          <t>01a152b9-6ee2-7577-bddd-382bc3853fde</t>
        </is>
      </c>
      <c r="M725" t="inlineStr">
        <is>
          <t>UNKNOWN</t>
        </is>
      </c>
      <c r="N725" t="inlineStr">
        <is>
          <t>DEFAULT</t>
        </is>
      </c>
      <c r="Q725" t="n">
        <v>0</v>
      </c>
      <c r="R725" t="inlineStr">
        <is>
          <t>AUD</t>
        </is>
      </c>
      <c r="S725" t="n">
        <v>0</v>
      </c>
      <c r="T725" t="inlineStr">
        <is>
          <t>AUD</t>
        </is>
      </c>
      <c r="U725" t="n">
        <v>0</v>
      </c>
    </row>
    <row r="726">
      <c r="A726" s="5" t="inlineStr">
        <is>
          <t>01a152b9-7bba-70b4-b0a6-b4c8794bd132</t>
        </is>
      </c>
      <c r="C726" s="5" t="inlineStr">
        <is>
          <t>01a152b9-6e67-75da-8adb-b03e5d07fd21</t>
        </is>
      </c>
      <c r="D726" s="4" t="n">
        <v>46314.24594882823</v>
      </c>
      <c r="E726" s="4" t="n">
        <v>46314.24594882833</v>
      </c>
      <c r="F726" t="b">
        <v>1</v>
      </c>
      <c r="G726" t="n">
        <v/>
      </c>
      <c r="H726" t="inlineStr">
        <is>
          <t>3PL</t>
        </is>
      </c>
      <c r="I726" t="inlineStr">
        <is>
          <t>3P Learning Ltd</t>
        </is>
      </c>
      <c r="J726" t="inlineStr">
        <is>
          <t>AUD</t>
        </is>
      </c>
      <c r="K726" s="5" t="inlineStr">
        <is>
          <t>01a152b9-6ee2-7577-bddd-382bc3853fde</t>
        </is>
      </c>
      <c r="M726" t="inlineStr">
        <is>
          <t>UNKNOWN</t>
        </is>
      </c>
      <c r="N726" t="inlineStr">
        <is>
          <t>DEFAULT</t>
        </is>
      </c>
      <c r="Q726" t="n">
        <v>0</v>
      </c>
      <c r="R726" t="inlineStr">
        <is>
          <t>AUD</t>
        </is>
      </c>
      <c r="S726" t="n">
        <v>0</v>
      </c>
      <c r="T726" t="inlineStr">
        <is>
          <t>AUD</t>
        </is>
      </c>
      <c r="U726" t="n">
        <v>0</v>
      </c>
    </row>
    <row r="727">
      <c r="A727" s="5" t="inlineStr">
        <is>
          <t>01a152b9-7bbe-7323-8295-175280be4e97</t>
        </is>
      </c>
      <c r="C727" s="5" t="inlineStr">
        <is>
          <t>01a152b9-6e67-75da-8adb-b03e5d07fd21</t>
        </is>
      </c>
      <c r="D727" s="4" t="n">
        <v>46314.24594887299</v>
      </c>
      <c r="E727" s="4" t="n">
        <v>46314.24594887313</v>
      </c>
      <c r="F727" t="b">
        <v>1</v>
      </c>
      <c r="G727" t="n">
        <v/>
      </c>
      <c r="H727" t="inlineStr">
        <is>
          <t>3DA</t>
        </is>
      </c>
      <c r="I727" t="inlineStr">
        <is>
          <t>Amaero International Ltd</t>
        </is>
      </c>
      <c r="J727" t="inlineStr">
        <is>
          <t>AUD</t>
        </is>
      </c>
      <c r="K727" s="5" t="inlineStr">
        <is>
          <t>01a152b9-6ee2-7577-bddd-382bc3853fde</t>
        </is>
      </c>
      <c r="M727" t="inlineStr">
        <is>
          <t>UNKNOWN</t>
        </is>
      </c>
      <c r="N727" t="inlineStr">
        <is>
          <t>DEFAULT</t>
        </is>
      </c>
      <c r="Q727" t="n">
        <v>0</v>
      </c>
      <c r="R727" t="inlineStr">
        <is>
          <t>AUD</t>
        </is>
      </c>
      <c r="S727" t="n">
        <v>0</v>
      </c>
      <c r="T727" t="inlineStr">
        <is>
          <t>AUD</t>
        </is>
      </c>
      <c r="U727" t="n">
        <v>0</v>
      </c>
    </row>
    <row r="728">
      <c r="A728" s="5" t="inlineStr">
        <is>
          <t>01a152b9-7bc2-757b-b1dd-a48ddb252ca2</t>
        </is>
      </c>
      <c r="C728" s="5" t="inlineStr">
        <is>
          <t>01a152b9-6e67-75da-8adb-b03e5d07fd21</t>
        </is>
      </c>
      <c r="D728" s="4" t="n">
        <v>46314.24594891693</v>
      </c>
      <c r="E728" s="4" t="n">
        <v>46314.24594891706</v>
      </c>
      <c r="F728" t="b">
        <v>1</v>
      </c>
      <c r="G728" t="n">
        <v/>
      </c>
      <c r="H728" t="inlineStr">
        <is>
          <t>CDM</t>
        </is>
      </c>
      <c r="I728" t="inlineStr">
        <is>
          <t>Cadence Capital Ltd</t>
        </is>
      </c>
      <c r="J728" t="inlineStr">
        <is>
          <t>AUD</t>
        </is>
      </c>
      <c r="K728" s="5" t="inlineStr">
        <is>
          <t>01a152b9-6ee2-7577-bddd-382bc3853fde</t>
        </is>
      </c>
      <c r="M728" t="inlineStr">
        <is>
          <t>UNKNOWN</t>
        </is>
      </c>
      <c r="N728" t="inlineStr">
        <is>
          <t>DEFAULT</t>
        </is>
      </c>
      <c r="Q728" t="n">
        <v>0</v>
      </c>
      <c r="R728" t="inlineStr">
        <is>
          <t>AUD</t>
        </is>
      </c>
      <c r="S728" t="n">
        <v>0</v>
      </c>
      <c r="T728" t="inlineStr">
        <is>
          <t>AUD</t>
        </is>
      </c>
      <c r="U728" t="n">
        <v>0</v>
      </c>
    </row>
    <row r="729">
      <c r="A729" s="5" t="inlineStr">
        <is>
          <t>01a152b9-7bc6-7692-86b8-09d0900aaa25</t>
        </is>
      </c>
      <c r="C729" s="5" t="inlineStr">
        <is>
          <t>01a152b9-6e67-75da-8adb-b03e5d07fd21</t>
        </is>
      </c>
      <c r="D729" s="4" t="n">
        <v>46314.24594896075</v>
      </c>
      <c r="E729" s="4" t="n">
        <v>46314.24594896086</v>
      </c>
      <c r="F729" t="b">
        <v>1</v>
      </c>
      <c r="G729" t="n">
        <v/>
      </c>
      <c r="H729" t="inlineStr">
        <is>
          <t>CGS</t>
        </is>
      </c>
      <c r="I729" t="inlineStr">
        <is>
          <t>Cogstate Ltd</t>
        </is>
      </c>
      <c r="J729" t="inlineStr">
        <is>
          <t>AUD</t>
        </is>
      </c>
      <c r="K729" s="5" t="inlineStr">
        <is>
          <t>01a152b9-6ee2-7577-bddd-382bc3853fde</t>
        </is>
      </c>
      <c r="M729" t="inlineStr">
        <is>
          <t>UNKNOWN</t>
        </is>
      </c>
      <c r="N729" t="inlineStr">
        <is>
          <t>DEFAULT</t>
        </is>
      </c>
      <c r="Q729" t="n">
        <v>0</v>
      </c>
      <c r="R729" t="inlineStr">
        <is>
          <t>AUD</t>
        </is>
      </c>
      <c r="S729" t="n">
        <v>0</v>
      </c>
      <c r="T729" t="inlineStr">
        <is>
          <t>AUD</t>
        </is>
      </c>
      <c r="U729" t="n">
        <v>0</v>
      </c>
    </row>
    <row r="730">
      <c r="A730" s="5" t="inlineStr">
        <is>
          <t>01a152b9-7bc9-7485-82d1-0e676279d1fe</t>
        </is>
      </c>
      <c r="C730" s="5" t="inlineStr">
        <is>
          <t>01a152b9-6e67-75da-8adb-b03e5d07fd21</t>
        </is>
      </c>
      <c r="D730" s="4" t="n">
        <v>46314.24594900105</v>
      </c>
      <c r="E730" s="4" t="n">
        <v>46314.24594900118</v>
      </c>
      <c r="F730" t="b">
        <v>1</v>
      </c>
      <c r="G730" t="n">
        <v/>
      </c>
      <c r="H730" t="inlineStr">
        <is>
          <t>D2O</t>
        </is>
      </c>
      <c r="I730" t="inlineStr">
        <is>
          <t>Duxton Water Ltd</t>
        </is>
      </c>
      <c r="J730" t="inlineStr">
        <is>
          <t>AUD</t>
        </is>
      </c>
      <c r="K730" s="5" t="inlineStr">
        <is>
          <t>01a152b9-6ee2-7577-bddd-382bc3853fde</t>
        </is>
      </c>
      <c r="M730" t="inlineStr">
        <is>
          <t>UNKNOWN</t>
        </is>
      </c>
      <c r="N730" t="inlineStr">
        <is>
          <t>DEFAULT</t>
        </is>
      </c>
      <c r="Q730" t="n">
        <v>0</v>
      </c>
      <c r="R730" t="inlineStr">
        <is>
          <t>AUD</t>
        </is>
      </c>
      <c r="S730" t="n">
        <v>0</v>
      </c>
      <c r="T730" t="inlineStr">
        <is>
          <t>AUD</t>
        </is>
      </c>
      <c r="U730" t="n">
        <v>0</v>
      </c>
    </row>
    <row r="731">
      <c r="A731" s="5" t="inlineStr">
        <is>
          <t>01a152b9-7bcd-7089-85e9-ef648e159f48</t>
        </is>
      </c>
      <c r="C731" s="5" t="inlineStr">
        <is>
          <t>01a152b9-6e67-75da-8adb-b03e5d07fd21</t>
        </is>
      </c>
      <c r="D731" s="4" t="n">
        <v>46314.24594904343</v>
      </c>
      <c r="E731" s="4" t="n">
        <v>46314.24594904354</v>
      </c>
      <c r="F731" t="b">
        <v>1</v>
      </c>
      <c r="G731" t="n">
        <v/>
      </c>
      <c r="H731" t="inlineStr">
        <is>
          <t>BBT</t>
        </is>
      </c>
      <c r="I731" t="inlineStr">
        <is>
          <t>Bluebet Holdings Ltd</t>
        </is>
      </c>
      <c r="J731" t="inlineStr">
        <is>
          <t>AUD</t>
        </is>
      </c>
      <c r="K731" s="5" t="inlineStr">
        <is>
          <t>01a152b9-6ee2-7577-bddd-382bc3853fde</t>
        </is>
      </c>
      <c r="M731" t="inlineStr">
        <is>
          <t>UNKNOWN</t>
        </is>
      </c>
      <c r="N731" t="inlineStr">
        <is>
          <t>DEFAULT</t>
        </is>
      </c>
      <c r="Q731" t="n">
        <v>0</v>
      </c>
      <c r="R731" t="inlineStr">
        <is>
          <t>AUD</t>
        </is>
      </c>
      <c r="S731" t="n">
        <v>0</v>
      </c>
      <c r="T731" t="inlineStr">
        <is>
          <t>AUD</t>
        </is>
      </c>
      <c r="U731" t="n">
        <v>0</v>
      </c>
    </row>
    <row r="732">
      <c r="A732" s="5" t="inlineStr">
        <is>
          <t>01a152b9-7bd0-7773-b6a1-8c2a93a3bce2</t>
        </is>
      </c>
      <c r="C732" s="5" t="inlineStr">
        <is>
          <t>01a152b9-6e67-75da-8adb-b03e5d07fd21</t>
        </is>
      </c>
      <c r="D732" s="4" t="n">
        <v>46314.24594908278</v>
      </c>
      <c r="E732" s="4" t="n">
        <v>46314.24594908288</v>
      </c>
      <c r="F732" t="b">
        <v>1</v>
      </c>
      <c r="G732" t="n">
        <v/>
      </c>
      <c r="H732" t="inlineStr">
        <is>
          <t>FEX</t>
        </is>
      </c>
      <c r="I732" t="inlineStr">
        <is>
          <t>FENIX Resources Ltd</t>
        </is>
      </c>
      <c r="J732" t="inlineStr">
        <is>
          <t>AUD</t>
        </is>
      </c>
      <c r="K732" s="5" t="inlineStr">
        <is>
          <t>01a152b9-6ee2-7577-bddd-382bc3853fde</t>
        </is>
      </c>
      <c r="M732" t="inlineStr">
        <is>
          <t>UNKNOWN</t>
        </is>
      </c>
      <c r="N732" t="inlineStr">
        <is>
          <t>DEFAULT</t>
        </is>
      </c>
      <c r="Q732" t="n">
        <v>0</v>
      </c>
      <c r="R732" t="inlineStr">
        <is>
          <t>AUD</t>
        </is>
      </c>
      <c r="S732" t="n">
        <v>0</v>
      </c>
      <c r="T732" t="inlineStr">
        <is>
          <t>AUD</t>
        </is>
      </c>
      <c r="U732" t="n">
        <v>0</v>
      </c>
    </row>
    <row r="733">
      <c r="A733" s="5" t="inlineStr">
        <is>
          <t>01a152b9-7bd3-7087-bd3c-bfb6535431be</t>
        </is>
      </c>
      <c r="C733" s="5" t="inlineStr">
        <is>
          <t>01a152b9-6e67-75da-8adb-b03e5d07fd21</t>
        </is>
      </c>
      <c r="D733" s="4" t="n">
        <v>46314.24594911927</v>
      </c>
      <c r="E733" s="4" t="n">
        <v>46314.24594911937</v>
      </c>
      <c r="F733" t="b">
        <v>1</v>
      </c>
      <c r="G733" t="n">
        <v/>
      </c>
      <c r="H733" t="inlineStr">
        <is>
          <t>PMT</t>
        </is>
      </c>
      <c r="I733" t="inlineStr">
        <is>
          <t>Patriot Battery Metals Inc</t>
        </is>
      </c>
      <c r="J733" t="inlineStr">
        <is>
          <t>AUD</t>
        </is>
      </c>
      <c r="K733" s="5" t="inlineStr">
        <is>
          <t>01a152b9-6ee2-7577-bddd-382bc3853fde</t>
        </is>
      </c>
      <c r="M733" t="inlineStr">
        <is>
          <t>UNKNOWN</t>
        </is>
      </c>
      <c r="N733" t="inlineStr">
        <is>
          <t>DEFAULT</t>
        </is>
      </c>
      <c r="Q733" t="n">
        <v>0</v>
      </c>
      <c r="R733" t="inlineStr">
        <is>
          <t>AUD</t>
        </is>
      </c>
      <c r="S733" t="n">
        <v>0</v>
      </c>
      <c r="T733" t="inlineStr">
        <is>
          <t>AUD</t>
        </is>
      </c>
      <c r="U733" t="n">
        <v>0</v>
      </c>
    </row>
    <row r="734">
      <c r="A734" s="5" t="inlineStr">
        <is>
          <t>01a152b9-7bd6-74f3-b4e9-e026140368af</t>
        </is>
      </c>
      <c r="C734" s="5" t="inlineStr">
        <is>
          <t>01a152b9-6e67-75da-8adb-b03e5d07fd21</t>
        </is>
      </c>
      <c r="D734" s="4" t="n">
        <v>46314.24594915409</v>
      </c>
      <c r="E734" s="4" t="n">
        <v>46314.24594915419</v>
      </c>
      <c r="F734" t="b">
        <v>1</v>
      </c>
      <c r="G734" t="n">
        <v/>
      </c>
      <c r="H734" t="inlineStr">
        <is>
          <t>CEH</t>
        </is>
      </c>
      <c r="I734" t="inlineStr">
        <is>
          <t>Coast Entertainment Holdings Ltd</t>
        </is>
      </c>
      <c r="J734" t="inlineStr">
        <is>
          <t>AUD</t>
        </is>
      </c>
      <c r="K734" s="5" t="inlineStr">
        <is>
          <t>01a152b9-6ee2-7577-bddd-382bc3853fde</t>
        </is>
      </c>
      <c r="M734" t="inlineStr">
        <is>
          <t>UNKNOWN</t>
        </is>
      </c>
      <c r="N734" t="inlineStr">
        <is>
          <t>DEFAULT</t>
        </is>
      </c>
      <c r="Q734" t="n">
        <v>0</v>
      </c>
      <c r="R734" t="inlineStr">
        <is>
          <t>AUD</t>
        </is>
      </c>
      <c r="S734" t="n">
        <v>0</v>
      </c>
      <c r="T734" t="inlineStr">
        <is>
          <t>AUD</t>
        </is>
      </c>
      <c r="U734" t="n">
        <v>0</v>
      </c>
    </row>
    <row r="735">
      <c r="A735" s="5" t="inlineStr">
        <is>
          <t>01a152b9-7bd9-7686-9341-d02745883538</t>
        </is>
      </c>
      <c r="C735" s="5" t="inlineStr">
        <is>
          <t>01a152b9-6e67-75da-8adb-b03e5d07fd21</t>
        </is>
      </c>
      <c r="D735" s="4" t="n">
        <v>46314.24594919041</v>
      </c>
      <c r="E735" s="4" t="n">
        <v>46314.2459491905</v>
      </c>
      <c r="F735" t="b">
        <v>1</v>
      </c>
      <c r="G735" t="n">
        <v/>
      </c>
      <c r="H735" t="inlineStr">
        <is>
          <t>AVH</t>
        </is>
      </c>
      <c r="I735" t="inlineStr">
        <is>
          <t>Avita Medical Inc</t>
        </is>
      </c>
      <c r="J735" t="inlineStr">
        <is>
          <t>AUD</t>
        </is>
      </c>
      <c r="K735" s="5" t="inlineStr">
        <is>
          <t>01a152b9-6ee2-7577-bddd-382bc3853fde</t>
        </is>
      </c>
      <c r="M735" t="inlineStr">
        <is>
          <t>UNKNOWN</t>
        </is>
      </c>
      <c r="N735" t="inlineStr">
        <is>
          <t>DEFAULT</t>
        </is>
      </c>
      <c r="Q735" t="n">
        <v>0</v>
      </c>
      <c r="R735" t="inlineStr">
        <is>
          <t>AUD</t>
        </is>
      </c>
      <c r="S735" t="n">
        <v>0</v>
      </c>
      <c r="T735" t="inlineStr">
        <is>
          <t>AUD</t>
        </is>
      </c>
      <c r="U735" t="n">
        <v>0</v>
      </c>
    </row>
    <row r="736">
      <c r="A736" s="5" t="inlineStr">
        <is>
          <t>01a152b9-7bdd-75d1-95ed-3d509541ae6c</t>
        </is>
      </c>
      <c r="C736" s="5" t="inlineStr">
        <is>
          <t>01a152b9-6e67-75da-8adb-b03e5d07fd21</t>
        </is>
      </c>
      <c r="D736" s="4" t="n">
        <v>46314.2459492296</v>
      </c>
      <c r="E736" s="4" t="n">
        <v>46314.2459492297</v>
      </c>
      <c r="F736" t="b">
        <v>1</v>
      </c>
      <c r="G736" t="n">
        <v/>
      </c>
      <c r="H736" t="inlineStr">
        <is>
          <t>WHI</t>
        </is>
      </c>
      <c r="I736" t="inlineStr">
        <is>
          <t>Whitefield Income Ltd</t>
        </is>
      </c>
      <c r="J736" t="inlineStr">
        <is>
          <t>AUD</t>
        </is>
      </c>
      <c r="K736" s="5" t="inlineStr">
        <is>
          <t>01a152b9-6ee2-7577-bddd-382bc3853fde</t>
        </is>
      </c>
      <c r="M736" t="inlineStr">
        <is>
          <t>UNKNOWN</t>
        </is>
      </c>
      <c r="N736" t="inlineStr">
        <is>
          <t>DEFAULT</t>
        </is>
      </c>
      <c r="Q736" t="n">
        <v>0</v>
      </c>
      <c r="R736" t="inlineStr">
        <is>
          <t>AUD</t>
        </is>
      </c>
      <c r="S736" t="n">
        <v>0</v>
      </c>
      <c r="T736" t="inlineStr">
        <is>
          <t>AUD</t>
        </is>
      </c>
      <c r="U736" t="n">
        <v>0</v>
      </c>
    </row>
    <row r="737">
      <c r="A737" s="5" t="inlineStr">
        <is>
          <t>01a152b9-7be0-7164-af22-75553f160367</t>
        </is>
      </c>
      <c r="C737" s="5" t="inlineStr">
        <is>
          <t>01a152b9-6e67-75da-8adb-b03e5d07fd21</t>
        </is>
      </c>
      <c r="D737" s="4" t="n">
        <v>46314.24594926497</v>
      </c>
      <c r="E737" s="4" t="n">
        <v>46314.24594926507</v>
      </c>
      <c r="F737" t="b">
        <v>1</v>
      </c>
      <c r="G737" t="n">
        <v/>
      </c>
      <c r="H737" t="inlineStr">
        <is>
          <t>WAR</t>
        </is>
      </c>
      <c r="I737" t="inlineStr">
        <is>
          <t>Wam Strategic Value Ltd</t>
        </is>
      </c>
      <c r="J737" t="inlineStr">
        <is>
          <t>AUD</t>
        </is>
      </c>
      <c r="K737" s="5" t="inlineStr">
        <is>
          <t>01a152b9-6ee2-7577-bddd-382bc3853fde</t>
        </is>
      </c>
      <c r="M737" t="inlineStr">
        <is>
          <t>UNKNOWN</t>
        </is>
      </c>
      <c r="N737" t="inlineStr">
        <is>
          <t>DEFAULT</t>
        </is>
      </c>
      <c r="Q737" t="n">
        <v>0</v>
      </c>
      <c r="R737" t="inlineStr">
        <is>
          <t>AUD</t>
        </is>
      </c>
      <c r="S737" t="n">
        <v>0</v>
      </c>
      <c r="T737" t="inlineStr">
        <is>
          <t>AUD</t>
        </is>
      </c>
      <c r="U737" t="n">
        <v>0</v>
      </c>
    </row>
    <row r="738">
      <c r="A738" s="5" t="inlineStr">
        <is>
          <t>01a152b9-7be3-7796-989f-85ab0ebba3a2</t>
        </is>
      </c>
      <c r="C738" s="5" t="inlineStr">
        <is>
          <t>01a152b9-6e67-75da-8adb-b03e5d07fd21</t>
        </is>
      </c>
      <c r="D738" s="4" t="n">
        <v>46314.24594930142</v>
      </c>
      <c r="E738" s="4" t="n">
        <v>46314.24594930153</v>
      </c>
      <c r="F738" t="b">
        <v>1</v>
      </c>
      <c r="G738" t="n">
        <v/>
      </c>
      <c r="H738" t="inlineStr">
        <is>
          <t>FBR</t>
        </is>
      </c>
      <c r="I738" t="inlineStr">
        <is>
          <t>FBR Ltd</t>
        </is>
      </c>
      <c r="J738" t="inlineStr">
        <is>
          <t>AUD</t>
        </is>
      </c>
      <c r="K738" s="5" t="inlineStr">
        <is>
          <t>01a152b9-6ee2-7577-bddd-382bc3853fde</t>
        </is>
      </c>
      <c r="M738" t="inlineStr">
        <is>
          <t>UNKNOWN</t>
        </is>
      </c>
      <c r="N738" t="inlineStr">
        <is>
          <t>DEFAULT</t>
        </is>
      </c>
      <c r="Q738" t="n">
        <v>0</v>
      </c>
      <c r="R738" t="inlineStr">
        <is>
          <t>AUD</t>
        </is>
      </c>
      <c r="S738" t="n">
        <v>0</v>
      </c>
      <c r="T738" t="inlineStr">
        <is>
          <t>AUD</t>
        </is>
      </c>
      <c r="U738" t="n">
        <v>0</v>
      </c>
    </row>
    <row r="739">
      <c r="A739" s="5" t="inlineStr">
        <is>
          <t>01a152b9-7be6-726a-acd2-23257511610d</t>
        </is>
      </c>
      <c r="C739" s="5" t="inlineStr">
        <is>
          <t>01a152b9-6e67-75da-8adb-b03e5d07fd21</t>
        </is>
      </c>
      <c r="D739" s="4" t="n">
        <v>46314.2459493365</v>
      </c>
      <c r="E739" s="4" t="n">
        <v>46314.2459493366</v>
      </c>
      <c r="F739" t="b">
        <v>1</v>
      </c>
      <c r="G739" t="n">
        <v/>
      </c>
      <c r="H739" t="inlineStr">
        <is>
          <t>DUG</t>
        </is>
      </c>
      <c r="I739" t="inlineStr">
        <is>
          <t>DUG Technology Ltd</t>
        </is>
      </c>
      <c r="J739" t="inlineStr">
        <is>
          <t>AUD</t>
        </is>
      </c>
      <c r="K739" s="5" t="inlineStr">
        <is>
          <t>01a152b9-6ee2-7577-bddd-382bc3853fde</t>
        </is>
      </c>
      <c r="M739" t="inlineStr">
        <is>
          <t>UNKNOWN</t>
        </is>
      </c>
      <c r="N739" t="inlineStr">
        <is>
          <t>DEFAULT</t>
        </is>
      </c>
      <c r="Q739" t="n">
        <v>0</v>
      </c>
      <c r="R739" t="inlineStr">
        <is>
          <t>AUD</t>
        </is>
      </c>
      <c r="S739" t="n">
        <v>0</v>
      </c>
      <c r="T739" t="inlineStr">
        <is>
          <t>AUD</t>
        </is>
      </c>
      <c r="U739" t="n">
        <v>0</v>
      </c>
    </row>
    <row r="740">
      <c r="A740" s="5" t="inlineStr">
        <is>
          <t>01a152b9-7bea-7480-a71d-08d7c1353cfe</t>
        </is>
      </c>
      <c r="C740" s="5" t="inlineStr">
        <is>
          <t>01a152b9-6e67-75da-8adb-b03e5d07fd21</t>
        </is>
      </c>
      <c r="D740" s="4" t="n">
        <v>46314.24594937717</v>
      </c>
      <c r="E740" s="4" t="n">
        <v>46314.24594937727</v>
      </c>
      <c r="F740" t="b">
        <v>1</v>
      </c>
      <c r="G740" t="n">
        <v/>
      </c>
      <c r="H740" t="inlineStr">
        <is>
          <t>MHJ</t>
        </is>
      </c>
      <c r="I740" t="inlineStr">
        <is>
          <t>Michael Hill International Ltd</t>
        </is>
      </c>
      <c r="J740" t="inlineStr">
        <is>
          <t>AUD</t>
        </is>
      </c>
      <c r="K740" s="5" t="inlineStr">
        <is>
          <t>01a152b9-6ee2-7577-bddd-382bc3853fde</t>
        </is>
      </c>
      <c r="M740" t="inlineStr">
        <is>
          <t>UNKNOWN</t>
        </is>
      </c>
      <c r="N740" t="inlineStr">
        <is>
          <t>DEFAULT</t>
        </is>
      </c>
      <c r="Q740" t="n">
        <v>0</v>
      </c>
      <c r="R740" t="inlineStr">
        <is>
          <t>AUD</t>
        </is>
      </c>
      <c r="S740" t="n">
        <v>0</v>
      </c>
      <c r="T740" t="inlineStr">
        <is>
          <t>AUD</t>
        </is>
      </c>
      <c r="U740" t="n">
        <v>0</v>
      </c>
    </row>
    <row r="741">
      <c r="A741" s="5" t="inlineStr">
        <is>
          <t>01a152b9-7bee-74d9-a9c8-558e621bba38</t>
        </is>
      </c>
      <c r="C741" s="5" t="inlineStr">
        <is>
          <t>01a152b9-6e67-75da-8adb-b03e5d07fd21</t>
        </is>
      </c>
      <c r="D741" s="4" t="n">
        <v>46314.24594942618</v>
      </c>
      <c r="E741" s="4" t="n">
        <v>46314.24594942631</v>
      </c>
      <c r="F741" t="b">
        <v>1</v>
      </c>
      <c r="G741" t="n">
        <v/>
      </c>
      <c r="H741" t="inlineStr">
        <is>
          <t>EEG</t>
        </is>
      </c>
      <c r="I741" t="inlineStr">
        <is>
          <t>Empire Energy Group Ltd</t>
        </is>
      </c>
      <c r="J741" t="inlineStr">
        <is>
          <t>AUD</t>
        </is>
      </c>
      <c r="K741" s="5" t="inlineStr">
        <is>
          <t>01a152b9-6ee2-7577-bddd-382bc3853fde</t>
        </is>
      </c>
      <c r="M741" t="inlineStr">
        <is>
          <t>UNKNOWN</t>
        </is>
      </c>
      <c r="N741" t="inlineStr">
        <is>
          <t>DEFAULT</t>
        </is>
      </c>
      <c r="Q741" t="n">
        <v>0</v>
      </c>
      <c r="R741" t="inlineStr">
        <is>
          <t>AUD</t>
        </is>
      </c>
      <c r="S741" t="n">
        <v>0</v>
      </c>
      <c r="T741" t="inlineStr">
        <is>
          <t>AUD</t>
        </is>
      </c>
      <c r="U741" t="n">
        <v>0</v>
      </c>
    </row>
    <row r="742">
      <c r="A742" s="5" t="inlineStr">
        <is>
          <t>01a152b9-7bf2-72ee-83c8-d7cf59b7c3ab</t>
        </is>
      </c>
      <c r="C742" s="5" t="inlineStr">
        <is>
          <t>01a152b9-6e67-75da-8adb-b03e5d07fd21</t>
        </is>
      </c>
      <c r="D742" s="4" t="n">
        <v>46314.24594947496</v>
      </c>
      <c r="E742" s="4" t="n">
        <v>46314.24594947512</v>
      </c>
      <c r="F742" t="b">
        <v>1</v>
      </c>
      <c r="G742" t="n">
        <v/>
      </c>
      <c r="H742" t="inlineStr">
        <is>
          <t>CXO</t>
        </is>
      </c>
      <c r="I742" t="inlineStr">
        <is>
          <t>Core Lithium Ltd</t>
        </is>
      </c>
      <c r="J742" t="inlineStr">
        <is>
          <t>AUD</t>
        </is>
      </c>
      <c r="K742" s="5" t="inlineStr">
        <is>
          <t>01a152b9-6ee2-7577-bddd-382bc3853fde</t>
        </is>
      </c>
      <c r="M742" t="inlineStr">
        <is>
          <t>UNKNOWN</t>
        </is>
      </c>
      <c r="N742" t="inlineStr">
        <is>
          <t>DEFAULT</t>
        </is>
      </c>
      <c r="Q742" t="n">
        <v>0</v>
      </c>
      <c r="R742" t="inlineStr">
        <is>
          <t>AUD</t>
        </is>
      </c>
      <c r="S742" t="n">
        <v>0</v>
      </c>
      <c r="T742" t="inlineStr">
        <is>
          <t>AUD</t>
        </is>
      </c>
      <c r="U742" t="n">
        <v>0</v>
      </c>
    </row>
    <row r="743">
      <c r="A743" s="5" t="inlineStr">
        <is>
          <t>01a152b9-7bf6-74d0-8c07-f280cd25a176</t>
        </is>
      </c>
      <c r="C743" s="5" t="inlineStr">
        <is>
          <t>01a152b9-6e67-75da-8adb-b03e5d07fd21</t>
        </is>
      </c>
      <c r="D743" s="4" t="n">
        <v>46314.24594951743</v>
      </c>
      <c r="E743" s="4" t="n">
        <v>46314.24594951756</v>
      </c>
      <c r="F743" t="b">
        <v>1</v>
      </c>
      <c r="G743" t="n">
        <v/>
      </c>
      <c r="H743" t="inlineStr">
        <is>
          <t>COG</t>
        </is>
      </c>
      <c r="I743" t="inlineStr">
        <is>
          <t>COG Financial Services Ltd</t>
        </is>
      </c>
      <c r="J743" t="inlineStr">
        <is>
          <t>AUD</t>
        </is>
      </c>
      <c r="K743" s="5" t="inlineStr">
        <is>
          <t>01a152b9-6ee2-7577-bddd-382bc3853fde</t>
        </is>
      </c>
      <c r="M743" t="inlineStr">
        <is>
          <t>UNKNOWN</t>
        </is>
      </c>
      <c r="N743" t="inlineStr">
        <is>
          <t>DEFAULT</t>
        </is>
      </c>
      <c r="Q743" t="n">
        <v>0</v>
      </c>
      <c r="R743" t="inlineStr">
        <is>
          <t>AUD</t>
        </is>
      </c>
      <c r="S743" t="n">
        <v>0</v>
      </c>
      <c r="T743" t="inlineStr">
        <is>
          <t>AUD</t>
        </is>
      </c>
      <c r="U743" t="n">
        <v>0</v>
      </c>
    </row>
    <row r="744">
      <c r="A744" s="5" t="inlineStr">
        <is>
          <t>01a152b9-7bfa-714c-9108-5a6c7d9d672d</t>
        </is>
      </c>
      <c r="C744" s="5" t="inlineStr">
        <is>
          <t>01a152b9-6e67-75da-8adb-b03e5d07fd21</t>
        </is>
      </c>
      <c r="D744" s="4" t="n">
        <v>46314.24594956192</v>
      </c>
      <c r="E744" s="4" t="n">
        <v>46314.24594956204</v>
      </c>
      <c r="F744" t="b">
        <v>1</v>
      </c>
      <c r="G744" t="n">
        <v/>
      </c>
      <c r="H744" t="inlineStr">
        <is>
          <t>MEI</t>
        </is>
      </c>
      <c r="I744" t="inlineStr">
        <is>
          <t>Meteoric Resources NL</t>
        </is>
      </c>
      <c r="J744" t="inlineStr">
        <is>
          <t>AUD</t>
        </is>
      </c>
      <c r="K744" s="5" t="inlineStr">
        <is>
          <t>01a152b9-6ee2-7577-bddd-382bc3853fde</t>
        </is>
      </c>
      <c r="M744" t="inlineStr">
        <is>
          <t>UNKNOWN</t>
        </is>
      </c>
      <c r="N744" t="inlineStr">
        <is>
          <t>DEFAULT</t>
        </is>
      </c>
      <c r="Q744" t="n">
        <v>0</v>
      </c>
      <c r="R744" t="inlineStr">
        <is>
          <t>AUD</t>
        </is>
      </c>
      <c r="S744" t="n">
        <v>0</v>
      </c>
      <c r="T744" t="inlineStr">
        <is>
          <t>AUD</t>
        </is>
      </c>
      <c r="U744" t="n">
        <v>0</v>
      </c>
    </row>
    <row r="745">
      <c r="A745" s="5" t="inlineStr">
        <is>
          <t>01a152b9-7bfe-74f5-91a0-81522aec8c3c</t>
        </is>
      </c>
      <c r="C745" s="5" t="inlineStr">
        <is>
          <t>01a152b9-6e67-75da-8adb-b03e5d07fd21</t>
        </is>
      </c>
      <c r="D745" s="4" t="n">
        <v>46314.24594960995</v>
      </c>
      <c r="E745" s="4" t="n">
        <v>46314.24594961007</v>
      </c>
      <c r="F745" t="b">
        <v>1</v>
      </c>
      <c r="G745" t="n">
        <v/>
      </c>
      <c r="H745" t="inlineStr">
        <is>
          <t>WMA</t>
        </is>
      </c>
      <c r="I745" t="inlineStr">
        <is>
          <t>Wam Alternative Assets Ltd</t>
        </is>
      </c>
      <c r="J745" t="inlineStr">
        <is>
          <t>AUD</t>
        </is>
      </c>
      <c r="K745" s="5" t="inlineStr">
        <is>
          <t>01a152b9-6ee2-7577-bddd-382bc3853fde</t>
        </is>
      </c>
      <c r="M745" t="inlineStr">
        <is>
          <t>UNKNOWN</t>
        </is>
      </c>
      <c r="N745" t="inlineStr">
        <is>
          <t>DEFAULT</t>
        </is>
      </c>
      <c r="Q745" t="n">
        <v>0</v>
      </c>
      <c r="R745" t="inlineStr">
        <is>
          <t>AUD</t>
        </is>
      </c>
      <c r="S745" t="n">
        <v>0</v>
      </c>
      <c r="T745" t="inlineStr">
        <is>
          <t>AUD</t>
        </is>
      </c>
      <c r="U745" t="n">
        <v>0</v>
      </c>
    </row>
    <row r="746">
      <c r="A746" s="5" t="inlineStr">
        <is>
          <t>01a152b9-7c02-7424-a49b-b2229577448d</t>
        </is>
      </c>
      <c r="C746" s="5" t="inlineStr">
        <is>
          <t>01a152b9-6e67-75da-8adb-b03e5d07fd21</t>
        </is>
      </c>
      <c r="D746" s="4" t="n">
        <v>46314.24594965463</v>
      </c>
      <c r="E746" s="4" t="n">
        <v>46314.24594965475</v>
      </c>
      <c r="F746" t="b">
        <v>1</v>
      </c>
      <c r="G746" t="n">
        <v/>
      </c>
      <c r="H746" t="inlineStr">
        <is>
          <t>A1M</t>
        </is>
      </c>
      <c r="I746" t="inlineStr">
        <is>
          <t>Aic Mines Ltd</t>
        </is>
      </c>
      <c r="J746" t="inlineStr">
        <is>
          <t>AUD</t>
        </is>
      </c>
      <c r="K746" s="5" t="inlineStr">
        <is>
          <t>01a152b9-6ee2-7577-bddd-382bc3853fde</t>
        </is>
      </c>
      <c r="M746" t="inlineStr">
        <is>
          <t>UNKNOWN</t>
        </is>
      </c>
      <c r="N746" t="inlineStr">
        <is>
          <t>DEFAULT</t>
        </is>
      </c>
      <c r="Q746" t="n">
        <v>0</v>
      </c>
      <c r="R746" t="inlineStr">
        <is>
          <t>AUD</t>
        </is>
      </c>
      <c r="S746" t="n">
        <v>0</v>
      </c>
      <c r="T746" t="inlineStr">
        <is>
          <t>AUD</t>
        </is>
      </c>
      <c r="U746" t="n">
        <v>0</v>
      </c>
    </row>
    <row r="747">
      <c r="A747" s="5" t="inlineStr">
        <is>
          <t>01a152b9-7c05-7308-821c-80a38388dd37</t>
        </is>
      </c>
      <c r="C747" s="5" t="inlineStr">
        <is>
          <t>01a152b9-6e67-75da-8adb-b03e5d07fd21</t>
        </is>
      </c>
      <c r="D747" s="4" t="n">
        <v>46314.24594969861</v>
      </c>
      <c r="E747" s="4" t="n">
        <v>46314.24594969873</v>
      </c>
      <c r="F747" t="b">
        <v>1</v>
      </c>
      <c r="G747" t="n">
        <v/>
      </c>
      <c r="H747" t="inlineStr">
        <is>
          <t>WIA</t>
        </is>
      </c>
      <c r="I747" t="inlineStr">
        <is>
          <t>WIA Gold Ltd</t>
        </is>
      </c>
      <c r="J747" t="inlineStr">
        <is>
          <t>AUD</t>
        </is>
      </c>
      <c r="K747" s="5" t="inlineStr">
        <is>
          <t>01a152b9-6ee2-7577-bddd-382bc3853fde</t>
        </is>
      </c>
      <c r="M747" t="inlineStr">
        <is>
          <t>UNKNOWN</t>
        </is>
      </c>
      <c r="N747" t="inlineStr">
        <is>
          <t>DEFAULT</t>
        </is>
      </c>
      <c r="Q747" t="n">
        <v>0</v>
      </c>
      <c r="R747" t="inlineStr">
        <is>
          <t>AUD</t>
        </is>
      </c>
      <c r="S747" t="n">
        <v>0</v>
      </c>
      <c r="T747" t="inlineStr">
        <is>
          <t>AUD</t>
        </is>
      </c>
      <c r="U747" t="n">
        <v>0</v>
      </c>
    </row>
    <row r="748">
      <c r="A748" s="5" t="inlineStr">
        <is>
          <t>01a152b9-7c09-7093-9e13-45f4cb046c8b</t>
        </is>
      </c>
      <c r="C748" s="5" t="inlineStr">
        <is>
          <t>01a152b9-6e67-75da-8adb-b03e5d07fd21</t>
        </is>
      </c>
      <c r="D748" s="4" t="n">
        <v>46314.24594974215</v>
      </c>
      <c r="E748" s="4" t="n">
        <v>46314.24594974226</v>
      </c>
      <c r="F748" t="b">
        <v>1</v>
      </c>
      <c r="G748" t="n">
        <v/>
      </c>
      <c r="H748" t="inlineStr">
        <is>
          <t>DRUG</t>
        </is>
      </c>
      <c r="I748" t="inlineStr">
        <is>
          <t>Betashares Global Healthcare Currency Hedged ETF</t>
        </is>
      </c>
      <c r="J748" t="inlineStr">
        <is>
          <t>AUD</t>
        </is>
      </c>
      <c r="K748" s="5" t="inlineStr">
        <is>
          <t>01a152b9-6ee2-7577-bddd-382bc3853fde</t>
        </is>
      </c>
      <c r="M748" t="inlineStr">
        <is>
          <t>UNKNOWN</t>
        </is>
      </c>
      <c r="N748" t="inlineStr">
        <is>
          <t>DEFAULT</t>
        </is>
      </c>
      <c r="Q748" t="n">
        <v>0</v>
      </c>
      <c r="R748" t="inlineStr">
        <is>
          <t>AUD</t>
        </is>
      </c>
      <c r="S748" t="n">
        <v>0</v>
      </c>
      <c r="T748" t="inlineStr">
        <is>
          <t>AUD</t>
        </is>
      </c>
      <c r="U748" t="n">
        <v>0</v>
      </c>
    </row>
    <row r="749">
      <c r="A749" s="5" t="inlineStr">
        <is>
          <t>01a152b9-7c0c-714f-a7bf-00847421f04e</t>
        </is>
      </c>
      <c r="C749" s="5" t="inlineStr">
        <is>
          <t>01a152b9-6e67-75da-8adb-b03e5d07fd21</t>
        </is>
      </c>
      <c r="D749" s="4" t="n">
        <v>46314.24594978004</v>
      </c>
      <c r="E749" s="4" t="n">
        <v>46314.24594978012</v>
      </c>
      <c r="F749" t="b">
        <v>1</v>
      </c>
      <c r="G749" t="n">
        <v/>
      </c>
      <c r="H749" t="inlineStr">
        <is>
          <t>ERD</t>
        </is>
      </c>
      <c r="I749" t="inlineStr">
        <is>
          <t>Eroad Ltd</t>
        </is>
      </c>
      <c r="J749" t="inlineStr">
        <is>
          <t>AUD</t>
        </is>
      </c>
      <c r="K749" s="5" t="inlineStr">
        <is>
          <t>01a152b9-6ee2-7577-bddd-382bc3853fde</t>
        </is>
      </c>
      <c r="M749" t="inlineStr">
        <is>
          <t>UNKNOWN</t>
        </is>
      </c>
      <c r="N749" t="inlineStr">
        <is>
          <t>DEFAULT</t>
        </is>
      </c>
      <c r="Q749" t="n">
        <v>0</v>
      </c>
      <c r="R749" t="inlineStr">
        <is>
          <t>AUD</t>
        </is>
      </c>
      <c r="S749" t="n">
        <v>0</v>
      </c>
      <c r="T749" t="inlineStr">
        <is>
          <t>AUD</t>
        </is>
      </c>
      <c r="U749" t="n">
        <v>0</v>
      </c>
    </row>
    <row r="750">
      <c r="A750" s="5" t="inlineStr">
        <is>
          <t>01a152b9-7c10-77ae-b1c7-6180edda74b8</t>
        </is>
      </c>
      <c r="C750" s="5" t="inlineStr">
        <is>
          <t>01a152b9-6e67-75da-8adb-b03e5d07fd21</t>
        </is>
      </c>
      <c r="D750" s="4" t="n">
        <v>46314.24594982065</v>
      </c>
      <c r="E750" s="4" t="n">
        <v>46314.24594982075</v>
      </c>
      <c r="F750" t="b">
        <v>1</v>
      </c>
      <c r="G750" t="n">
        <v/>
      </c>
      <c r="H750" t="inlineStr">
        <is>
          <t>AAR</t>
        </is>
      </c>
      <c r="I750" t="inlineStr">
        <is>
          <t>Astral Resources NL</t>
        </is>
      </c>
      <c r="J750" t="inlineStr">
        <is>
          <t>AUD</t>
        </is>
      </c>
      <c r="K750" s="5" t="inlineStr">
        <is>
          <t>01a152b9-6ee2-7577-bddd-382bc3853fde</t>
        </is>
      </c>
      <c r="M750" t="inlineStr">
        <is>
          <t>UNKNOWN</t>
        </is>
      </c>
      <c r="N750" t="inlineStr">
        <is>
          <t>DEFAULT</t>
        </is>
      </c>
      <c r="Q750" t="n">
        <v>0</v>
      </c>
      <c r="R750" t="inlineStr">
        <is>
          <t>AUD</t>
        </is>
      </c>
      <c r="S750" t="n">
        <v>0</v>
      </c>
      <c r="T750" t="inlineStr">
        <is>
          <t>AUD</t>
        </is>
      </c>
      <c r="U750" t="n">
        <v>0</v>
      </c>
    </row>
    <row r="751">
      <c r="A751" s="5" t="inlineStr">
        <is>
          <t>01a152b9-7c13-7194-b2e4-b58622c6c629</t>
        </is>
      </c>
      <c r="C751" s="5" t="inlineStr">
        <is>
          <t>01a152b9-6e67-75da-8adb-b03e5d07fd21</t>
        </is>
      </c>
      <c r="D751" s="4" t="n">
        <v>46314.24594985642</v>
      </c>
      <c r="E751" s="4" t="n">
        <v>46314.24594985653</v>
      </c>
      <c r="F751" t="b">
        <v>1</v>
      </c>
      <c r="G751" t="n">
        <v/>
      </c>
      <c r="H751" t="inlineStr">
        <is>
          <t>UTIP</t>
        </is>
      </c>
      <c r="I751" t="inlineStr">
        <is>
          <t>Betashares Inflation Protected US TRSY Bond CH ETF</t>
        </is>
      </c>
      <c r="J751" t="inlineStr">
        <is>
          <t>AUD</t>
        </is>
      </c>
      <c r="K751" s="5" t="inlineStr">
        <is>
          <t>01a152b9-6ee2-7577-bddd-382bc3853fde</t>
        </is>
      </c>
      <c r="M751" t="inlineStr">
        <is>
          <t>UNKNOWN</t>
        </is>
      </c>
      <c r="N751" t="inlineStr">
        <is>
          <t>DEFAULT</t>
        </is>
      </c>
      <c r="Q751" t="n">
        <v>0</v>
      </c>
      <c r="R751" t="inlineStr">
        <is>
          <t>AUD</t>
        </is>
      </c>
      <c r="S751" t="n">
        <v>0</v>
      </c>
      <c r="T751" t="inlineStr">
        <is>
          <t>AUD</t>
        </is>
      </c>
      <c r="U751" t="n">
        <v>0</v>
      </c>
    </row>
    <row r="752">
      <c r="A752" s="5" t="inlineStr">
        <is>
          <t>01a152b9-7c16-778f-83ab-c59a53acc77f</t>
        </is>
      </c>
      <c r="C752" s="5" t="inlineStr">
        <is>
          <t>01a152b9-6e67-75da-8adb-b03e5d07fd21</t>
        </is>
      </c>
      <c r="D752" s="4" t="n">
        <v>46314.2459498967</v>
      </c>
      <c r="E752" s="4" t="n">
        <v>46314.24594989682</v>
      </c>
      <c r="F752" t="b">
        <v>1</v>
      </c>
      <c r="G752" t="n">
        <v/>
      </c>
      <c r="H752" t="inlineStr">
        <is>
          <t>BTI</t>
        </is>
      </c>
      <c r="I752" t="inlineStr">
        <is>
          <t>Bailador Technology Investments Ltd</t>
        </is>
      </c>
      <c r="J752" t="inlineStr">
        <is>
          <t>AUD</t>
        </is>
      </c>
      <c r="K752" s="5" t="inlineStr">
        <is>
          <t>01a152b9-6ee2-7577-bddd-382bc3853fde</t>
        </is>
      </c>
      <c r="M752" t="inlineStr">
        <is>
          <t>UNKNOWN</t>
        </is>
      </c>
      <c r="N752" t="inlineStr">
        <is>
          <t>DEFAULT</t>
        </is>
      </c>
      <c r="Q752" t="n">
        <v>0</v>
      </c>
      <c r="R752" t="inlineStr">
        <is>
          <t>AUD</t>
        </is>
      </c>
      <c r="S752" t="n">
        <v>0</v>
      </c>
      <c r="T752" t="inlineStr">
        <is>
          <t>AUD</t>
        </is>
      </c>
      <c r="U752" t="n">
        <v>0</v>
      </c>
    </row>
    <row r="753">
      <c r="A753" s="5" t="inlineStr">
        <is>
          <t>01a152b9-7c1a-74ef-9b8a-9ec177f57c55</t>
        </is>
      </c>
      <c r="C753" s="5" t="inlineStr">
        <is>
          <t>01a152b9-6e67-75da-8adb-b03e5d07fd21</t>
        </is>
      </c>
      <c r="D753" s="4" t="n">
        <v>46314.2459499394</v>
      </c>
      <c r="E753" s="4" t="n">
        <v>46314.24594993953</v>
      </c>
      <c r="F753" t="b">
        <v>1</v>
      </c>
      <c r="G753" t="n">
        <v/>
      </c>
      <c r="H753" t="inlineStr">
        <is>
          <t>AVR</t>
        </is>
      </c>
      <c r="I753" t="inlineStr">
        <is>
          <t>Anteris Technologies Global Corp</t>
        </is>
      </c>
      <c r="J753" t="inlineStr">
        <is>
          <t>AUD</t>
        </is>
      </c>
      <c r="K753" s="5" t="inlineStr">
        <is>
          <t>01a152b9-6ee2-7577-bddd-382bc3853fde</t>
        </is>
      </c>
      <c r="M753" t="inlineStr">
        <is>
          <t>UNKNOWN</t>
        </is>
      </c>
      <c r="N753" t="inlineStr">
        <is>
          <t>DEFAULT</t>
        </is>
      </c>
      <c r="Q753" t="n">
        <v>0</v>
      </c>
      <c r="R753" t="inlineStr">
        <is>
          <t>AUD</t>
        </is>
      </c>
      <c r="S753" t="n">
        <v>0</v>
      </c>
      <c r="T753" t="inlineStr">
        <is>
          <t>AUD</t>
        </is>
      </c>
      <c r="U753" t="n">
        <v>0</v>
      </c>
    </row>
    <row r="754">
      <c r="A754" s="5" t="inlineStr">
        <is>
          <t>01a152b9-7c1e-726f-9f5d-a7e7d5acb47b</t>
        </is>
      </c>
      <c r="C754" s="5" t="inlineStr">
        <is>
          <t>01a152b9-6e67-75da-8adb-b03e5d07fd21</t>
        </is>
      </c>
      <c r="D754" s="4" t="n">
        <v>46314.24594998376</v>
      </c>
      <c r="E754" s="4" t="n">
        <v>46314.24594998389</v>
      </c>
      <c r="F754" t="b">
        <v>1</v>
      </c>
      <c r="G754" t="n">
        <v/>
      </c>
      <c r="H754" t="inlineStr">
        <is>
          <t>UOS</t>
        </is>
      </c>
      <c r="I754" t="inlineStr">
        <is>
          <t>United Overseas Australia Ltd</t>
        </is>
      </c>
      <c r="J754" t="inlineStr">
        <is>
          <t>AUD</t>
        </is>
      </c>
      <c r="K754" s="5" t="inlineStr">
        <is>
          <t>01a152b9-6ee2-7577-bddd-382bc3853fde</t>
        </is>
      </c>
      <c r="M754" t="inlineStr">
        <is>
          <t>UNKNOWN</t>
        </is>
      </c>
      <c r="N754" t="inlineStr">
        <is>
          <t>DEFAULT</t>
        </is>
      </c>
      <c r="Q754" t="n">
        <v>0</v>
      </c>
      <c r="R754" t="inlineStr">
        <is>
          <t>AUD</t>
        </is>
      </c>
      <c r="S754" t="n">
        <v>0</v>
      </c>
      <c r="T754" t="inlineStr">
        <is>
          <t>AUD</t>
        </is>
      </c>
      <c r="U754" t="n">
        <v>0</v>
      </c>
    </row>
    <row r="755">
      <c r="A755" s="5" t="inlineStr">
        <is>
          <t>01a152b9-7c21-7441-9d31-c5d170d687c2</t>
        </is>
      </c>
      <c r="C755" s="5" t="inlineStr">
        <is>
          <t>01a152b9-6e67-75da-8adb-b03e5d07fd21</t>
        </is>
      </c>
      <c r="D755" s="4" t="n">
        <v>46314.24595002333</v>
      </c>
      <c r="E755" s="4" t="n">
        <v>46314.24595002346</v>
      </c>
      <c r="F755" t="b">
        <v>1</v>
      </c>
      <c r="G755" t="n">
        <v/>
      </c>
      <c r="H755" t="inlineStr">
        <is>
          <t>NDIA</t>
        </is>
      </c>
      <c r="I755" t="inlineStr">
        <is>
          <t>Global X India Nifty 50 ETF</t>
        </is>
      </c>
      <c r="J755" t="inlineStr">
        <is>
          <t>AUD</t>
        </is>
      </c>
      <c r="K755" s="5" t="inlineStr">
        <is>
          <t>01a152b9-6ee2-7577-bddd-382bc3853fde</t>
        </is>
      </c>
      <c r="M755" t="inlineStr">
        <is>
          <t>UNKNOWN</t>
        </is>
      </c>
      <c r="N755" t="inlineStr">
        <is>
          <t>DEFAULT</t>
        </is>
      </c>
      <c r="Q755" t="n">
        <v>0</v>
      </c>
      <c r="R755" t="inlineStr">
        <is>
          <t>AUD</t>
        </is>
      </c>
      <c r="S755" t="n">
        <v>0</v>
      </c>
      <c r="T755" t="inlineStr">
        <is>
          <t>AUD</t>
        </is>
      </c>
      <c r="U755" t="n">
        <v>0</v>
      </c>
    </row>
    <row r="756">
      <c r="A756" s="5" t="inlineStr">
        <is>
          <t>01a152b9-7c25-70cb-b804-2bee2a2ab4a2</t>
        </is>
      </c>
      <c r="C756" s="5" t="inlineStr">
        <is>
          <t>01a152b9-6e67-75da-8adb-b03e5d07fd21</t>
        </is>
      </c>
      <c r="D756" s="4" t="n">
        <v>46314.24595006982</v>
      </c>
      <c r="E756" s="4" t="n">
        <v>46314.24595006994</v>
      </c>
      <c r="F756" t="b">
        <v>1</v>
      </c>
      <c r="G756" t="n">
        <v/>
      </c>
      <c r="H756" t="inlineStr">
        <is>
          <t>PAR</t>
        </is>
      </c>
      <c r="I756" t="inlineStr">
        <is>
          <t>Paradigm Biopharmaceuticals Ltd</t>
        </is>
      </c>
      <c r="J756" t="inlineStr">
        <is>
          <t>AUD</t>
        </is>
      </c>
      <c r="K756" s="5" t="inlineStr">
        <is>
          <t>01a152b9-6ee2-7577-bddd-382bc3853fde</t>
        </is>
      </c>
      <c r="M756" t="inlineStr">
        <is>
          <t>UNKNOWN</t>
        </is>
      </c>
      <c r="N756" t="inlineStr">
        <is>
          <t>DEFAULT</t>
        </is>
      </c>
      <c r="Q756" t="n">
        <v>0</v>
      </c>
      <c r="R756" t="inlineStr">
        <is>
          <t>AUD</t>
        </is>
      </c>
      <c r="S756" t="n">
        <v>0</v>
      </c>
      <c r="T756" t="inlineStr">
        <is>
          <t>AUD</t>
        </is>
      </c>
      <c r="U756" t="n">
        <v>0</v>
      </c>
    </row>
    <row r="757">
      <c r="A757" s="5" t="inlineStr">
        <is>
          <t>01a152b9-7c29-733e-b128-16cd2f4b7f5e</t>
        </is>
      </c>
      <c r="C757" s="5" t="inlineStr">
        <is>
          <t>01a152b9-6e67-75da-8adb-b03e5d07fd21</t>
        </is>
      </c>
      <c r="D757" s="4" t="n">
        <v>46314.24595011638</v>
      </c>
      <c r="E757" s="4" t="n">
        <v>46314.24595011651</v>
      </c>
      <c r="F757" t="b">
        <v>1</v>
      </c>
      <c r="G757" t="n">
        <v/>
      </c>
      <c r="H757" t="inlineStr">
        <is>
          <t>EMKT</t>
        </is>
      </c>
      <c r="I757" t="inlineStr">
        <is>
          <t>Vaneck MSCI Multifactor Em Markets Equity ETF</t>
        </is>
      </c>
      <c r="J757" t="inlineStr">
        <is>
          <t>AUD</t>
        </is>
      </c>
      <c r="K757" s="5" t="inlineStr">
        <is>
          <t>01a152b9-6ee2-7577-bddd-382bc3853fde</t>
        </is>
      </c>
      <c r="M757" t="inlineStr">
        <is>
          <t>UNKNOWN</t>
        </is>
      </c>
      <c r="N757" t="inlineStr">
        <is>
          <t>DEFAULT</t>
        </is>
      </c>
      <c r="Q757" t="n">
        <v>0</v>
      </c>
      <c r="R757" t="inlineStr">
        <is>
          <t>AUD</t>
        </is>
      </c>
      <c r="S757" t="n">
        <v>0</v>
      </c>
      <c r="T757" t="inlineStr">
        <is>
          <t>AUD</t>
        </is>
      </c>
      <c r="U757" t="n">
        <v>0</v>
      </c>
    </row>
    <row r="758">
      <c r="A758" s="5" t="inlineStr">
        <is>
          <t>01a152b9-7c2e-75fd-81bd-42024cce9f12</t>
        </is>
      </c>
      <c r="C758" s="5" t="inlineStr">
        <is>
          <t>01a152b9-6e67-75da-8adb-b03e5d07fd21</t>
        </is>
      </c>
      <c r="D758" s="4" t="n">
        <v>46314.24595016515</v>
      </c>
      <c r="E758" s="4" t="n">
        <v>46314.24595016534</v>
      </c>
      <c r="F758" t="b">
        <v>1</v>
      </c>
      <c r="G758" t="n">
        <v/>
      </c>
      <c r="H758" t="inlineStr">
        <is>
          <t>AZY</t>
        </is>
      </c>
      <c r="I758" t="inlineStr">
        <is>
          <t>Antipa Minerals Ltd</t>
        </is>
      </c>
      <c r="J758" t="inlineStr">
        <is>
          <t>AUD</t>
        </is>
      </c>
      <c r="K758" s="5" t="inlineStr">
        <is>
          <t>01a152b9-6ee2-7577-bddd-382bc3853fde</t>
        </is>
      </c>
      <c r="M758" t="inlineStr">
        <is>
          <t>UNKNOWN</t>
        </is>
      </c>
      <c r="N758" t="inlineStr">
        <is>
          <t>DEFAULT</t>
        </is>
      </c>
      <c r="Q758" t="n">
        <v>0</v>
      </c>
      <c r="R758" t="inlineStr">
        <is>
          <t>AUD</t>
        </is>
      </c>
      <c r="S758" t="n">
        <v>0</v>
      </c>
      <c r="T758" t="inlineStr">
        <is>
          <t>AUD</t>
        </is>
      </c>
      <c r="U758" t="n">
        <v>0</v>
      </c>
    </row>
    <row r="759">
      <c r="A759" s="5" t="inlineStr">
        <is>
          <t>01a152b9-7c31-72c7-8d16-11f7e5cce155</t>
        </is>
      </c>
      <c r="C759" s="5" t="inlineStr">
        <is>
          <t>01a152b9-6e67-75da-8adb-b03e5d07fd21</t>
        </is>
      </c>
      <c r="D759" s="4" t="n">
        <v>46314.24595020714</v>
      </c>
      <c r="E759" s="4" t="n">
        <v>46314.24595020726</v>
      </c>
      <c r="F759" t="b">
        <v>1</v>
      </c>
      <c r="G759" t="n">
        <v/>
      </c>
      <c r="H759" t="inlineStr">
        <is>
          <t>ESTX</t>
        </is>
      </c>
      <c r="I759" t="inlineStr">
        <is>
          <t>Global X Euro STOXX 50 ETF</t>
        </is>
      </c>
      <c r="J759" t="inlineStr">
        <is>
          <t>AUD</t>
        </is>
      </c>
      <c r="K759" s="5" t="inlineStr">
        <is>
          <t>01a152b9-6ee2-7577-bddd-382bc3853fde</t>
        </is>
      </c>
      <c r="M759" t="inlineStr">
        <is>
          <t>UNKNOWN</t>
        </is>
      </c>
      <c r="N759" t="inlineStr">
        <is>
          <t>DEFAULT</t>
        </is>
      </c>
      <c r="Q759" t="n">
        <v>0</v>
      </c>
      <c r="R759" t="inlineStr">
        <is>
          <t>AUD</t>
        </is>
      </c>
      <c r="S759" t="n">
        <v>0</v>
      </c>
      <c r="T759" t="inlineStr">
        <is>
          <t>AUD</t>
        </is>
      </c>
      <c r="U759" t="n">
        <v>0</v>
      </c>
    </row>
    <row r="760">
      <c r="A760" s="5" t="inlineStr">
        <is>
          <t>01a152b9-7c35-71eb-bf1a-74c0765109df</t>
        </is>
      </c>
      <c r="C760" s="5" t="inlineStr">
        <is>
          <t>01a152b9-6e67-75da-8adb-b03e5d07fd21</t>
        </is>
      </c>
      <c r="D760" s="4" t="n">
        <v>46314.24595024935</v>
      </c>
      <c r="E760" s="4" t="n">
        <v>46314.24595024948</v>
      </c>
      <c r="F760" t="b">
        <v>1</v>
      </c>
      <c r="G760" t="n">
        <v/>
      </c>
      <c r="H760" t="inlineStr">
        <is>
          <t>AKP</t>
        </is>
      </c>
      <c r="I760" t="inlineStr">
        <is>
          <t>Audio Pixels Holdings Ltd</t>
        </is>
      </c>
      <c r="J760" t="inlineStr">
        <is>
          <t>AUD</t>
        </is>
      </c>
      <c r="K760" s="5" t="inlineStr">
        <is>
          <t>01a152b9-6ee2-7577-bddd-382bc3853fde</t>
        </is>
      </c>
      <c r="M760" t="inlineStr">
        <is>
          <t>UNKNOWN</t>
        </is>
      </c>
      <c r="N760" t="inlineStr">
        <is>
          <t>DEFAULT</t>
        </is>
      </c>
      <c r="Q760" t="n">
        <v>0</v>
      </c>
      <c r="R760" t="inlineStr">
        <is>
          <t>AUD</t>
        </is>
      </c>
      <c r="S760" t="n">
        <v>0</v>
      </c>
      <c r="T760" t="inlineStr">
        <is>
          <t>AUD</t>
        </is>
      </c>
      <c r="U760" t="n">
        <v>0</v>
      </c>
    </row>
    <row r="761">
      <c r="A761" s="5" t="inlineStr">
        <is>
          <t>01a152b9-7c38-7626-91ea-bf55e1c6b778</t>
        </is>
      </c>
      <c r="C761" s="5" t="inlineStr">
        <is>
          <t>01a152b9-6e67-75da-8adb-b03e5d07fd21</t>
        </is>
      </c>
      <c r="D761" s="4" t="n">
        <v>46314.24595028574</v>
      </c>
      <c r="E761" s="4" t="n">
        <v>46314.24595028585</v>
      </c>
      <c r="F761" t="b">
        <v>1</v>
      </c>
      <c r="G761" t="n">
        <v/>
      </c>
      <c r="H761" t="inlineStr">
        <is>
          <t>ETPMAG</t>
        </is>
      </c>
      <c r="I761" t="inlineStr">
        <is>
          <t>Global X Metal Securities Australia Ltd</t>
        </is>
      </c>
      <c r="J761" t="inlineStr">
        <is>
          <t>AUD</t>
        </is>
      </c>
      <c r="K761" s="5" t="inlineStr">
        <is>
          <t>01a152b9-6ee2-7577-bddd-382bc3853fde</t>
        </is>
      </c>
      <c r="M761" t="inlineStr">
        <is>
          <t>UNKNOWN</t>
        </is>
      </c>
      <c r="N761" t="inlineStr">
        <is>
          <t>DEFAULT</t>
        </is>
      </c>
      <c r="Q761" t="n">
        <v>0</v>
      </c>
      <c r="R761" t="inlineStr">
        <is>
          <t>AUD</t>
        </is>
      </c>
      <c r="S761" t="n">
        <v>0</v>
      </c>
      <c r="T761" t="inlineStr">
        <is>
          <t>AUD</t>
        </is>
      </c>
      <c r="U761" t="n">
        <v>0</v>
      </c>
    </row>
    <row r="762">
      <c r="A762" s="5" t="inlineStr">
        <is>
          <t>01a152b9-7c3b-72df-b79d-08c2f3bd28e7</t>
        </is>
      </c>
      <c r="C762" s="5" t="inlineStr">
        <is>
          <t>01a152b9-6e67-75da-8adb-b03e5d07fd21</t>
        </is>
      </c>
      <c r="D762" s="4" t="n">
        <v>46314.24595032234</v>
      </c>
      <c r="E762" s="4" t="n">
        <v>46314.24595032245</v>
      </c>
      <c r="F762" t="b">
        <v>1</v>
      </c>
      <c r="G762" t="n">
        <v/>
      </c>
      <c r="H762" t="inlineStr">
        <is>
          <t>NZM</t>
        </is>
      </c>
      <c r="I762" t="inlineStr">
        <is>
          <t>NZME Ltd</t>
        </is>
      </c>
      <c r="J762" t="inlineStr">
        <is>
          <t>AUD</t>
        </is>
      </c>
      <c r="K762" s="5" t="inlineStr">
        <is>
          <t>01a152b9-6ee2-7577-bddd-382bc3853fde</t>
        </is>
      </c>
      <c r="M762" t="inlineStr">
        <is>
          <t>UNKNOWN</t>
        </is>
      </c>
      <c r="N762" t="inlineStr">
        <is>
          <t>DEFAULT</t>
        </is>
      </c>
      <c r="Q762" t="n">
        <v>0</v>
      </c>
      <c r="R762" t="inlineStr">
        <is>
          <t>AUD</t>
        </is>
      </c>
      <c r="S762" t="n">
        <v>0</v>
      </c>
      <c r="T762" t="inlineStr">
        <is>
          <t>AUD</t>
        </is>
      </c>
      <c r="U762" t="n">
        <v>0</v>
      </c>
    </row>
    <row r="763">
      <c r="A763" s="5" t="inlineStr">
        <is>
          <t>01a152b9-7c3e-73da-9ba3-72295e1bda6e</t>
        </is>
      </c>
      <c r="C763" s="5" t="inlineStr">
        <is>
          <t>01a152b9-6e67-75da-8adb-b03e5d07fd21</t>
        </is>
      </c>
      <c r="D763" s="4" t="n">
        <v>46314.24595036015</v>
      </c>
      <c r="E763" s="4" t="n">
        <v>46314.24595036028</v>
      </c>
      <c r="F763" t="b">
        <v>1</v>
      </c>
      <c r="G763" t="n">
        <v/>
      </c>
      <c r="H763" t="inlineStr">
        <is>
          <t>AOF</t>
        </is>
      </c>
      <c r="I763" t="inlineStr">
        <is>
          <t>Australian Unity Office Fund</t>
        </is>
      </c>
      <c r="J763" t="inlineStr">
        <is>
          <t>AUD</t>
        </is>
      </c>
      <c r="K763" s="5" t="inlineStr">
        <is>
          <t>01a152b9-6ee2-7577-bddd-382bc3853fde</t>
        </is>
      </c>
      <c r="M763" t="inlineStr">
        <is>
          <t>UNKNOWN</t>
        </is>
      </c>
      <c r="N763" t="inlineStr">
        <is>
          <t>DEFAULT</t>
        </is>
      </c>
      <c r="Q763" t="n">
        <v>0</v>
      </c>
      <c r="R763" t="inlineStr">
        <is>
          <t>AUD</t>
        </is>
      </c>
      <c r="S763" t="n">
        <v>0</v>
      </c>
      <c r="T763" t="inlineStr">
        <is>
          <t>AUD</t>
        </is>
      </c>
      <c r="U763" t="n">
        <v>0</v>
      </c>
    </row>
    <row r="764">
      <c r="A764" s="5" t="inlineStr">
        <is>
          <t>01a152b9-7c42-7769-9b48-000f66b9f3b3</t>
        </is>
      </c>
      <c r="C764" s="5" t="inlineStr">
        <is>
          <t>01a152b9-6e67-75da-8adb-b03e5d07fd21</t>
        </is>
      </c>
      <c r="D764" s="4" t="n">
        <v>46314.24595039724</v>
      </c>
      <c r="E764" s="4" t="n">
        <v>46314.24595039736</v>
      </c>
      <c r="F764" t="b">
        <v>1</v>
      </c>
      <c r="G764" t="n">
        <v/>
      </c>
      <c r="H764" t="inlineStr">
        <is>
          <t>QPM</t>
        </is>
      </c>
      <c r="I764" t="inlineStr">
        <is>
          <t>QPM Energy Ltd</t>
        </is>
      </c>
      <c r="J764" t="inlineStr">
        <is>
          <t>AUD</t>
        </is>
      </c>
      <c r="K764" s="5" t="inlineStr">
        <is>
          <t>01a152b9-6ee2-7577-bddd-382bc3853fde</t>
        </is>
      </c>
      <c r="M764" t="inlineStr">
        <is>
          <t>UNKNOWN</t>
        </is>
      </c>
      <c r="N764" t="inlineStr">
        <is>
          <t>DEFAULT</t>
        </is>
      </c>
      <c r="Q764" t="n">
        <v>0</v>
      </c>
      <c r="R764" t="inlineStr">
        <is>
          <t>AUD</t>
        </is>
      </c>
      <c r="S764" t="n">
        <v>0</v>
      </c>
      <c r="T764" t="inlineStr">
        <is>
          <t>AUD</t>
        </is>
      </c>
      <c r="U764" t="n">
        <v>0</v>
      </c>
    </row>
    <row r="765">
      <c r="A765" s="5" t="inlineStr">
        <is>
          <t>01a152b9-7c46-777d-a5db-6551b50c906e</t>
        </is>
      </c>
      <c r="C765" s="5" t="inlineStr">
        <is>
          <t>01a152b9-6e67-75da-8adb-b03e5d07fd21</t>
        </is>
      </c>
      <c r="D765" s="4" t="n">
        <v>46314.24595044328</v>
      </c>
      <c r="E765" s="4" t="n">
        <v>46314.24595044342</v>
      </c>
      <c r="F765" t="b">
        <v>1</v>
      </c>
      <c r="G765" t="n">
        <v/>
      </c>
      <c r="H765" t="inlineStr">
        <is>
          <t>FEMX</t>
        </is>
      </c>
      <c r="I765" t="inlineStr">
        <is>
          <t>Fidelity Global Emerging Markets Active ETF</t>
        </is>
      </c>
      <c r="J765" t="inlineStr">
        <is>
          <t>AUD</t>
        </is>
      </c>
      <c r="K765" s="5" t="inlineStr">
        <is>
          <t>01a152b9-6ee2-7577-bddd-382bc3853fde</t>
        </is>
      </c>
      <c r="M765" t="inlineStr">
        <is>
          <t>UNKNOWN</t>
        </is>
      </c>
      <c r="N765" t="inlineStr">
        <is>
          <t>DEFAULT</t>
        </is>
      </c>
      <c r="Q765" t="n">
        <v>0</v>
      </c>
      <c r="R765" t="inlineStr">
        <is>
          <t>AUD</t>
        </is>
      </c>
      <c r="S765" t="n">
        <v>0</v>
      </c>
      <c r="T765" t="inlineStr">
        <is>
          <t>AUD</t>
        </is>
      </c>
      <c r="U765" t="n">
        <v>0</v>
      </c>
    </row>
    <row r="766">
      <c r="A766" s="5" t="inlineStr">
        <is>
          <t>01a152b9-7c49-7062-99fa-222b20ca171c</t>
        </is>
      </c>
      <c r="C766" s="5" t="inlineStr">
        <is>
          <t>01a152b9-6e67-75da-8adb-b03e5d07fd21</t>
        </is>
      </c>
      <c r="D766" s="4" t="n">
        <v>46314.24595048252</v>
      </c>
      <c r="E766" s="4" t="n">
        <v>46314.24595048268</v>
      </c>
      <c r="F766" t="b">
        <v>1</v>
      </c>
      <c r="G766" t="n">
        <v/>
      </c>
      <c r="H766" t="inlineStr">
        <is>
          <t>GRNV</t>
        </is>
      </c>
      <c r="I766" t="inlineStr">
        <is>
          <t>Vaneck MSCI Australian Sustainable Equity ETF</t>
        </is>
      </c>
      <c r="J766" t="inlineStr">
        <is>
          <t>AUD</t>
        </is>
      </c>
      <c r="K766" s="5" t="inlineStr">
        <is>
          <t>01a152b9-6ee2-7577-bddd-382bc3853fde</t>
        </is>
      </c>
      <c r="M766" t="inlineStr">
        <is>
          <t>UNKNOWN</t>
        </is>
      </c>
      <c r="N766" t="inlineStr">
        <is>
          <t>DEFAULT</t>
        </is>
      </c>
      <c r="Q766" t="n">
        <v>0</v>
      </c>
      <c r="R766" t="inlineStr">
        <is>
          <t>AUD</t>
        </is>
      </c>
      <c r="S766" t="n">
        <v>0</v>
      </c>
      <c r="T766" t="inlineStr">
        <is>
          <t>AUD</t>
        </is>
      </c>
      <c r="U766" t="n">
        <v>0</v>
      </c>
    </row>
    <row r="767">
      <c r="A767" s="5" t="inlineStr">
        <is>
          <t>01a152b9-7c4d-70b8-a77d-eedb14a53f51</t>
        </is>
      </c>
      <c r="C767" s="5" t="inlineStr">
        <is>
          <t>01a152b9-6e67-75da-8adb-b03e5d07fd21</t>
        </is>
      </c>
      <c r="D767" s="4" t="n">
        <v>46314.24595052767</v>
      </c>
      <c r="E767" s="4" t="n">
        <v>46314.24595052781</v>
      </c>
      <c r="F767" t="b">
        <v>1</v>
      </c>
      <c r="G767" t="n">
        <v/>
      </c>
      <c r="H767" t="inlineStr">
        <is>
          <t>FWD</t>
        </is>
      </c>
      <c r="I767" t="inlineStr">
        <is>
          <t>Fleetwood Ltd</t>
        </is>
      </c>
      <c r="J767" t="inlineStr">
        <is>
          <t>AUD</t>
        </is>
      </c>
      <c r="K767" s="5" t="inlineStr">
        <is>
          <t>01a152b9-6ee2-7577-bddd-382bc3853fde</t>
        </is>
      </c>
      <c r="M767" t="inlineStr">
        <is>
          <t>UNKNOWN</t>
        </is>
      </c>
      <c r="N767" t="inlineStr">
        <is>
          <t>DEFAULT</t>
        </is>
      </c>
      <c r="Q767" t="n">
        <v>0</v>
      </c>
      <c r="R767" t="inlineStr">
        <is>
          <t>AUD</t>
        </is>
      </c>
      <c r="S767" t="n">
        <v>0</v>
      </c>
      <c r="T767" t="inlineStr">
        <is>
          <t>AUD</t>
        </is>
      </c>
      <c r="U767" t="n">
        <v>0</v>
      </c>
    </row>
    <row r="768">
      <c r="A768" s="5" t="inlineStr">
        <is>
          <t>01a152b9-7c51-7722-9a5b-e4afcc61b199</t>
        </is>
      </c>
      <c r="C768" s="5" t="inlineStr">
        <is>
          <t>01a152b9-6e67-75da-8adb-b03e5d07fd21</t>
        </is>
      </c>
      <c r="D768" s="4" t="n">
        <v>46314.24595057097</v>
      </c>
      <c r="E768" s="4" t="n">
        <v>46314.24595057109</v>
      </c>
      <c r="F768" t="b">
        <v>1</v>
      </c>
      <c r="G768" t="n">
        <v/>
      </c>
      <c r="H768" t="inlineStr">
        <is>
          <t>TZN</t>
        </is>
      </c>
      <c r="I768" t="inlineStr">
        <is>
          <t>Terramin Australia Ltd</t>
        </is>
      </c>
      <c r="J768" t="inlineStr">
        <is>
          <t>AUD</t>
        </is>
      </c>
      <c r="K768" s="5" t="inlineStr">
        <is>
          <t>01a152b9-6ee2-7577-bddd-382bc3853fde</t>
        </is>
      </c>
      <c r="M768" t="inlineStr">
        <is>
          <t>UNKNOWN</t>
        </is>
      </c>
      <c r="N768" t="inlineStr">
        <is>
          <t>DEFAULT</t>
        </is>
      </c>
      <c r="Q768" t="n">
        <v>0</v>
      </c>
      <c r="R768" t="inlineStr">
        <is>
          <t>AUD</t>
        </is>
      </c>
      <c r="S768" t="n">
        <v>0</v>
      </c>
      <c r="T768" t="inlineStr">
        <is>
          <t>AUD</t>
        </is>
      </c>
      <c r="U768" t="n">
        <v>0</v>
      </c>
    </row>
    <row r="769">
      <c r="A769" s="5" t="inlineStr">
        <is>
          <t>01a152b9-7c54-71d9-a444-40ec7aacd0bb</t>
        </is>
      </c>
      <c r="C769" s="5" t="inlineStr">
        <is>
          <t>01a152b9-6e67-75da-8adb-b03e5d07fd21</t>
        </is>
      </c>
      <c r="D769" s="4" t="n">
        <v>46314.24595061133</v>
      </c>
      <c r="E769" s="4" t="n">
        <v>46314.24595061143</v>
      </c>
      <c r="F769" t="b">
        <v>1</v>
      </c>
      <c r="G769" t="n">
        <v/>
      </c>
      <c r="H769" t="inlineStr">
        <is>
          <t>WDMF</t>
        </is>
      </c>
      <c r="I769" t="inlineStr">
        <is>
          <t>Ishares World Equity Factor ETF</t>
        </is>
      </c>
      <c r="J769" t="inlineStr">
        <is>
          <t>AUD</t>
        </is>
      </c>
      <c r="K769" s="5" t="inlineStr">
        <is>
          <t>01a152b9-6ee2-7577-bddd-382bc3853fde</t>
        </is>
      </c>
      <c r="M769" t="inlineStr">
        <is>
          <t>UNKNOWN</t>
        </is>
      </c>
      <c r="N769" t="inlineStr">
        <is>
          <t>DEFAULT</t>
        </is>
      </c>
      <c r="Q769" t="n">
        <v>0</v>
      </c>
      <c r="R769" t="inlineStr">
        <is>
          <t>AUD</t>
        </is>
      </c>
      <c r="S769" t="n">
        <v>0</v>
      </c>
      <c r="T769" t="inlineStr">
        <is>
          <t>AUD</t>
        </is>
      </c>
      <c r="U769" t="n">
        <v>0</v>
      </c>
    </row>
    <row r="770">
      <c r="A770" s="5" t="inlineStr">
        <is>
          <t>01a152b9-7c58-7636-978d-7f2cbe117e95</t>
        </is>
      </c>
      <c r="C770" s="5" t="inlineStr">
        <is>
          <t>01a152b9-6e67-75da-8adb-b03e5d07fd21</t>
        </is>
      </c>
      <c r="D770" s="4" t="n">
        <v>46314.24595065018</v>
      </c>
      <c r="E770" s="4" t="n">
        <v>46314.24595065029</v>
      </c>
      <c r="F770" t="b">
        <v>1</v>
      </c>
      <c r="G770" t="n">
        <v/>
      </c>
      <c r="H770" t="inlineStr">
        <is>
          <t>GXLD</t>
        </is>
      </c>
      <c r="I770" t="inlineStr">
        <is>
          <t>Global X Gold Bullion ETF</t>
        </is>
      </c>
      <c r="J770" t="inlineStr">
        <is>
          <t>AUD</t>
        </is>
      </c>
      <c r="K770" s="5" t="inlineStr">
        <is>
          <t>01a152b9-6ee2-7577-bddd-382bc3853fde</t>
        </is>
      </c>
      <c r="M770" t="inlineStr">
        <is>
          <t>UNKNOWN</t>
        </is>
      </c>
      <c r="N770" t="inlineStr">
        <is>
          <t>DEFAULT</t>
        </is>
      </c>
      <c r="Q770" t="n">
        <v>0</v>
      </c>
      <c r="R770" t="inlineStr">
        <is>
          <t>AUD</t>
        </is>
      </c>
      <c r="S770" t="n">
        <v>0</v>
      </c>
      <c r="T770" t="inlineStr">
        <is>
          <t>AUD</t>
        </is>
      </c>
      <c r="U770" t="n">
        <v>0</v>
      </c>
    </row>
    <row r="771">
      <c r="A771" s="5" t="inlineStr">
        <is>
          <t>01a152b9-7c5b-7040-8226-fb7011d57f18</t>
        </is>
      </c>
      <c r="C771" s="5" t="inlineStr">
        <is>
          <t>01a152b9-6e67-75da-8adb-b03e5d07fd21</t>
        </is>
      </c>
      <c r="D771" s="4" t="n">
        <v>46314.24595068972</v>
      </c>
      <c r="E771" s="4" t="n">
        <v>46314.24595068982</v>
      </c>
      <c r="F771" t="b">
        <v>1</v>
      </c>
      <c r="G771" t="n">
        <v/>
      </c>
      <c r="H771" t="inlineStr">
        <is>
          <t>NDO</t>
        </is>
      </c>
      <c r="I771" t="inlineStr">
        <is>
          <t>Nido Education Ltd</t>
        </is>
      </c>
      <c r="J771" t="inlineStr">
        <is>
          <t>AUD</t>
        </is>
      </c>
      <c r="K771" s="5" t="inlineStr">
        <is>
          <t>01a152b9-6ee2-7577-bddd-382bc3853fde</t>
        </is>
      </c>
      <c r="M771" t="inlineStr">
        <is>
          <t>UNKNOWN</t>
        </is>
      </c>
      <c r="N771" t="inlineStr">
        <is>
          <t>DEFAULT</t>
        </is>
      </c>
      <c r="Q771" t="n">
        <v>0</v>
      </c>
      <c r="R771" t="inlineStr">
        <is>
          <t>AUD</t>
        </is>
      </c>
      <c r="S771" t="n">
        <v>0</v>
      </c>
      <c r="T771" t="inlineStr">
        <is>
          <t>AUD</t>
        </is>
      </c>
      <c r="U771" t="n">
        <v>0</v>
      </c>
    </row>
    <row r="772">
      <c r="A772" s="5" t="inlineStr">
        <is>
          <t>01a152b9-7c5e-7585-a2c0-e2b462b0c4af</t>
        </is>
      </c>
      <c r="C772" s="5" t="inlineStr">
        <is>
          <t>01a152b9-6e67-75da-8adb-b03e5d07fd21</t>
        </is>
      </c>
      <c r="D772" s="4" t="n">
        <v>46314.24595072914</v>
      </c>
      <c r="E772" s="4" t="n">
        <v>46314.24595072926</v>
      </c>
      <c r="F772" t="b">
        <v>1</v>
      </c>
      <c r="G772" t="n">
        <v/>
      </c>
      <c r="H772" t="inlineStr">
        <is>
          <t>OZR</t>
        </is>
      </c>
      <c r="I772" t="inlineStr">
        <is>
          <t>SPDR S&amp;P/ASX 200 Resources Fund</t>
        </is>
      </c>
      <c r="J772" t="inlineStr">
        <is>
          <t>AUD</t>
        </is>
      </c>
      <c r="K772" s="5" t="inlineStr">
        <is>
          <t>01a152b9-6ee2-7577-bddd-382bc3853fde</t>
        </is>
      </c>
      <c r="M772" t="inlineStr">
        <is>
          <t>UNKNOWN</t>
        </is>
      </c>
      <c r="N772" t="inlineStr">
        <is>
          <t>DEFAULT</t>
        </is>
      </c>
      <c r="Q772" t="n">
        <v>0</v>
      </c>
      <c r="R772" t="inlineStr">
        <is>
          <t>AUD</t>
        </is>
      </c>
      <c r="S772" t="n">
        <v>0</v>
      </c>
      <c r="T772" t="inlineStr">
        <is>
          <t>AUD</t>
        </is>
      </c>
      <c r="U772" t="n">
        <v>0</v>
      </c>
    </row>
    <row r="773">
      <c r="A773" s="5" t="inlineStr">
        <is>
          <t>01a152b9-7c62-7119-a3dc-ab2ceafb370f</t>
        </is>
      </c>
      <c r="C773" s="5" t="inlineStr">
        <is>
          <t>01a152b9-6e67-75da-8adb-b03e5d07fd21</t>
        </is>
      </c>
      <c r="D773" s="4" t="n">
        <v>46314.24595076616</v>
      </c>
      <c r="E773" s="4" t="n">
        <v>46314.24595076626</v>
      </c>
      <c r="F773" t="b">
        <v>1</v>
      </c>
      <c r="G773" t="n">
        <v/>
      </c>
      <c r="H773" t="inlineStr">
        <is>
          <t>BIS</t>
        </is>
      </c>
      <c r="I773" t="inlineStr">
        <is>
          <t>Bisalloy Steel Group Ltd</t>
        </is>
      </c>
      <c r="J773" t="inlineStr">
        <is>
          <t>AUD</t>
        </is>
      </c>
      <c r="K773" s="5" t="inlineStr">
        <is>
          <t>01a152b9-6ee2-7577-bddd-382bc3853fde</t>
        </is>
      </c>
      <c r="M773" t="inlineStr">
        <is>
          <t>UNKNOWN</t>
        </is>
      </c>
      <c r="N773" t="inlineStr">
        <is>
          <t>DEFAULT</t>
        </is>
      </c>
      <c r="Q773" t="n">
        <v>0</v>
      </c>
      <c r="R773" t="inlineStr">
        <is>
          <t>AUD</t>
        </is>
      </c>
      <c r="S773" t="n">
        <v>0</v>
      </c>
      <c r="T773" t="inlineStr">
        <is>
          <t>AUD</t>
        </is>
      </c>
      <c r="U773" t="n">
        <v>0</v>
      </c>
    </row>
    <row r="774">
      <c r="A774" s="5" t="inlineStr">
        <is>
          <t>01a152b9-7c65-73f5-aa76-b792cd1d6d03</t>
        </is>
      </c>
      <c r="C774" s="5" t="inlineStr">
        <is>
          <t>01a152b9-6e67-75da-8adb-b03e5d07fd21</t>
        </is>
      </c>
      <c r="D774" s="4" t="n">
        <v>46314.24595080892</v>
      </c>
      <c r="E774" s="4" t="n">
        <v>46314.24595080905</v>
      </c>
      <c r="F774" t="b">
        <v>1</v>
      </c>
      <c r="G774" t="n">
        <v/>
      </c>
      <c r="H774" t="inlineStr">
        <is>
          <t>POL</t>
        </is>
      </c>
      <c r="I774" t="inlineStr">
        <is>
          <t>Polymetals Resources Ltd</t>
        </is>
      </c>
      <c r="J774" t="inlineStr">
        <is>
          <t>AUD</t>
        </is>
      </c>
      <c r="K774" s="5" t="inlineStr">
        <is>
          <t>01a152b9-6ee2-7577-bddd-382bc3853fde</t>
        </is>
      </c>
      <c r="M774" t="inlineStr">
        <is>
          <t>UNKNOWN</t>
        </is>
      </c>
      <c r="N774" t="inlineStr">
        <is>
          <t>DEFAULT</t>
        </is>
      </c>
      <c r="Q774" t="n">
        <v>0</v>
      </c>
      <c r="R774" t="inlineStr">
        <is>
          <t>AUD</t>
        </is>
      </c>
      <c r="S774" t="n">
        <v>0</v>
      </c>
      <c r="T774" t="inlineStr">
        <is>
          <t>AUD</t>
        </is>
      </c>
      <c r="U774" t="n">
        <v>0</v>
      </c>
    </row>
    <row r="775">
      <c r="A775" s="5" t="inlineStr">
        <is>
          <t>01a152b9-7c68-7560-a65d-4c11640a12fc</t>
        </is>
      </c>
      <c r="C775" s="5" t="inlineStr">
        <is>
          <t>01a152b9-6e67-75da-8adb-b03e5d07fd21</t>
        </is>
      </c>
      <c r="D775" s="4" t="n">
        <v>46314.24595084578</v>
      </c>
      <c r="E775" s="4" t="n">
        <v>46314.24595084588</v>
      </c>
      <c r="F775" t="b">
        <v>1</v>
      </c>
      <c r="G775" t="n">
        <v/>
      </c>
      <c r="H775" t="inlineStr">
        <is>
          <t>MMKT</t>
        </is>
      </c>
      <c r="I775" t="inlineStr">
        <is>
          <t>Betashares Aust. Cash Plus Fund (Managed Fund)</t>
        </is>
      </c>
      <c r="J775" t="inlineStr">
        <is>
          <t>AUD</t>
        </is>
      </c>
      <c r="K775" s="5" t="inlineStr">
        <is>
          <t>01a152b9-6ee2-7577-bddd-382bc3853fde</t>
        </is>
      </c>
      <c r="M775" t="inlineStr">
        <is>
          <t>UNKNOWN</t>
        </is>
      </c>
      <c r="N775" t="inlineStr">
        <is>
          <t>DEFAULT</t>
        </is>
      </c>
      <c r="Q775" t="n">
        <v>0</v>
      </c>
      <c r="R775" t="inlineStr">
        <is>
          <t>AUD</t>
        </is>
      </c>
      <c r="S775" t="n">
        <v>0</v>
      </c>
      <c r="T775" t="inlineStr">
        <is>
          <t>AUD</t>
        </is>
      </c>
      <c r="U775" t="n">
        <v>0</v>
      </c>
    </row>
    <row r="776">
      <c r="A776" s="5" t="inlineStr">
        <is>
          <t>01a152b9-7c6c-7604-8c35-24a45260dd63</t>
        </is>
      </c>
      <c r="C776" s="5" t="inlineStr">
        <is>
          <t>01a152b9-6e67-75da-8adb-b03e5d07fd21</t>
        </is>
      </c>
      <c r="D776" s="4" t="n">
        <v>46314.24595088387</v>
      </c>
      <c r="E776" s="4" t="n">
        <v>46314.245950884</v>
      </c>
      <c r="F776" t="b">
        <v>1</v>
      </c>
      <c r="G776" t="n">
        <v/>
      </c>
      <c r="H776" t="inlineStr">
        <is>
          <t>SSG</t>
        </is>
      </c>
      <c r="I776" t="inlineStr">
        <is>
          <t>Shaver Shop Group Ltd</t>
        </is>
      </c>
      <c r="J776" t="inlineStr">
        <is>
          <t>AUD</t>
        </is>
      </c>
      <c r="K776" s="5" t="inlineStr">
        <is>
          <t>01a152b9-6ee2-7577-bddd-382bc3853fde</t>
        </is>
      </c>
      <c r="M776" t="inlineStr">
        <is>
          <t>UNKNOWN</t>
        </is>
      </c>
      <c r="N776" t="inlineStr">
        <is>
          <t>DEFAULT</t>
        </is>
      </c>
      <c r="Q776" t="n">
        <v>0</v>
      </c>
      <c r="R776" t="inlineStr">
        <is>
          <t>AUD</t>
        </is>
      </c>
      <c r="S776" t="n">
        <v>0</v>
      </c>
      <c r="T776" t="inlineStr">
        <is>
          <t>AUD</t>
        </is>
      </c>
      <c r="U776" t="n">
        <v>0</v>
      </c>
    </row>
    <row r="777">
      <c r="A777" s="5" t="inlineStr">
        <is>
          <t>01a152b9-7c70-70b5-a530-ea275313cd24</t>
        </is>
      </c>
      <c r="C777" s="5" t="inlineStr">
        <is>
          <t>01a152b9-6e67-75da-8adb-b03e5d07fd21</t>
        </is>
      </c>
      <c r="D777" s="4" t="n">
        <v>46314.2459509293</v>
      </c>
      <c r="E777" s="4" t="n">
        <v>46314.24595092941</v>
      </c>
      <c r="F777" t="b">
        <v>1</v>
      </c>
      <c r="G777" t="n">
        <v/>
      </c>
      <c r="H777" t="inlineStr">
        <is>
          <t>AIM</t>
        </is>
      </c>
      <c r="I777" t="inlineStr">
        <is>
          <t>Ai-Media Technologies Ltd</t>
        </is>
      </c>
      <c r="J777" t="inlineStr">
        <is>
          <t>AUD</t>
        </is>
      </c>
      <c r="K777" s="5" t="inlineStr">
        <is>
          <t>01a152b9-6ee2-7577-bddd-382bc3853fde</t>
        </is>
      </c>
      <c r="M777" t="inlineStr">
        <is>
          <t>UNKNOWN</t>
        </is>
      </c>
      <c r="N777" t="inlineStr">
        <is>
          <t>DEFAULT</t>
        </is>
      </c>
      <c r="Q777" t="n">
        <v>0</v>
      </c>
      <c r="R777" t="inlineStr">
        <is>
          <t>AUD</t>
        </is>
      </c>
      <c r="S777" t="n">
        <v>0</v>
      </c>
      <c r="T777" t="inlineStr">
        <is>
          <t>AUD</t>
        </is>
      </c>
      <c r="U777" t="n">
        <v>0</v>
      </c>
    </row>
    <row r="778">
      <c r="A778" s="5" t="inlineStr">
        <is>
          <t>01a152b9-7c73-7213-baf3-3e70b422764c</t>
        </is>
      </c>
      <c r="C778" s="5" t="inlineStr">
        <is>
          <t>01a152b9-6e67-75da-8adb-b03e5d07fd21</t>
        </is>
      </c>
      <c r="D778" s="4" t="n">
        <v>46314.24595097332</v>
      </c>
      <c r="E778" s="4" t="n">
        <v>46314.24595097343</v>
      </c>
      <c r="F778" t="b">
        <v>1</v>
      </c>
      <c r="G778" t="n">
        <v/>
      </c>
      <c r="H778" t="inlineStr">
        <is>
          <t>IMB</t>
        </is>
      </c>
      <c r="I778" t="inlineStr">
        <is>
          <t>Intelligent Monitoring Group Ltd</t>
        </is>
      </c>
      <c r="J778" t="inlineStr">
        <is>
          <t>AUD</t>
        </is>
      </c>
      <c r="K778" s="5" t="inlineStr">
        <is>
          <t>01a152b9-6ee2-7577-bddd-382bc3853fde</t>
        </is>
      </c>
      <c r="M778" t="inlineStr">
        <is>
          <t>UNKNOWN</t>
        </is>
      </c>
      <c r="N778" t="inlineStr">
        <is>
          <t>DEFAULT</t>
        </is>
      </c>
      <c r="Q778" t="n">
        <v>0</v>
      </c>
      <c r="R778" t="inlineStr">
        <is>
          <t>AUD</t>
        </is>
      </c>
      <c r="S778" t="n">
        <v>0</v>
      </c>
      <c r="T778" t="inlineStr">
        <is>
          <t>AUD</t>
        </is>
      </c>
      <c r="U778" t="n">
        <v>0</v>
      </c>
    </row>
    <row r="779">
      <c r="A779" s="5" t="inlineStr">
        <is>
          <t>01a152b9-7c77-7337-bc56-8026034aadf6</t>
        </is>
      </c>
      <c r="C779" s="5" t="inlineStr">
        <is>
          <t>01a152b9-6e67-75da-8adb-b03e5d07fd21</t>
        </is>
      </c>
      <c r="D779" s="4" t="n">
        <v>46314.24595101461</v>
      </c>
      <c r="E779" s="4" t="n">
        <v>46314.24595101472</v>
      </c>
      <c r="F779" t="b">
        <v>1</v>
      </c>
      <c r="G779" t="n">
        <v/>
      </c>
      <c r="H779" t="inlineStr">
        <is>
          <t>STK</t>
        </is>
      </c>
      <c r="I779" t="inlineStr">
        <is>
          <t>Strickland Metals Ltd</t>
        </is>
      </c>
      <c r="J779" t="inlineStr">
        <is>
          <t>AUD</t>
        </is>
      </c>
      <c r="K779" s="5" t="inlineStr">
        <is>
          <t>01a152b9-6ee2-7577-bddd-382bc3853fde</t>
        </is>
      </c>
      <c r="M779" t="inlineStr">
        <is>
          <t>UNKNOWN</t>
        </is>
      </c>
      <c r="N779" t="inlineStr">
        <is>
          <t>DEFAULT</t>
        </is>
      </c>
      <c r="Q779" t="n">
        <v>0</v>
      </c>
      <c r="R779" t="inlineStr">
        <is>
          <t>AUD</t>
        </is>
      </c>
      <c r="S779" t="n">
        <v>0</v>
      </c>
      <c r="T779" t="inlineStr">
        <is>
          <t>AUD</t>
        </is>
      </c>
      <c r="U779" t="n">
        <v>0</v>
      </c>
    </row>
    <row r="780">
      <c r="A780" s="5" t="inlineStr">
        <is>
          <t>01a152b9-7c7a-7662-ac51-a7393e312014</t>
        </is>
      </c>
      <c r="C780" s="5" t="inlineStr">
        <is>
          <t>01a152b9-6e67-75da-8adb-b03e5d07fd21</t>
        </is>
      </c>
      <c r="D780" s="4" t="n">
        <v>46314.24595105172</v>
      </c>
      <c r="E780" s="4" t="n">
        <v>46314.24595105182</v>
      </c>
      <c r="F780" t="b">
        <v>1</v>
      </c>
      <c r="G780" t="n">
        <v/>
      </c>
      <c r="H780" t="inlineStr">
        <is>
          <t>MME</t>
        </is>
      </c>
      <c r="I780" t="inlineStr">
        <is>
          <t>Moneyme Ltd</t>
        </is>
      </c>
      <c r="J780" t="inlineStr">
        <is>
          <t>AUD</t>
        </is>
      </c>
      <c r="K780" s="5" t="inlineStr">
        <is>
          <t>01a152b9-6ee2-7577-bddd-382bc3853fde</t>
        </is>
      </c>
      <c r="M780" t="inlineStr">
        <is>
          <t>UNKNOWN</t>
        </is>
      </c>
      <c r="N780" t="inlineStr">
        <is>
          <t>DEFAULT</t>
        </is>
      </c>
      <c r="Q780" t="n">
        <v>0</v>
      </c>
      <c r="R780" t="inlineStr">
        <is>
          <t>AUD</t>
        </is>
      </c>
      <c r="S780" t="n">
        <v>0</v>
      </c>
      <c r="T780" t="inlineStr">
        <is>
          <t>AUD</t>
        </is>
      </c>
      <c r="U780" t="n">
        <v>0</v>
      </c>
    </row>
    <row r="781">
      <c r="A781" s="5" t="inlineStr">
        <is>
          <t>01a152b9-7c7e-772c-a72e-226c7ae2d145</t>
        </is>
      </c>
      <c r="C781" s="5" t="inlineStr">
        <is>
          <t>01a152b9-6e67-75da-8adb-b03e5d07fd21</t>
        </is>
      </c>
      <c r="D781" s="4" t="n">
        <v>46314.24595108942</v>
      </c>
      <c r="E781" s="4" t="n">
        <v>46314.24595108953</v>
      </c>
      <c r="F781" t="b">
        <v>1</v>
      </c>
      <c r="G781" t="n">
        <v/>
      </c>
      <c r="H781" t="inlineStr">
        <is>
          <t>PCX</t>
        </is>
      </c>
      <c r="I781" t="inlineStr">
        <is>
          <t>Pengana Global Private Credit Trust</t>
        </is>
      </c>
      <c r="J781" t="inlineStr">
        <is>
          <t>AUD</t>
        </is>
      </c>
      <c r="K781" s="5" t="inlineStr">
        <is>
          <t>01a152b9-6ee2-7577-bddd-382bc3853fde</t>
        </is>
      </c>
      <c r="M781" t="inlineStr">
        <is>
          <t>UNKNOWN</t>
        </is>
      </c>
      <c r="N781" t="inlineStr">
        <is>
          <t>DEFAULT</t>
        </is>
      </c>
      <c r="Q781" t="n">
        <v>0</v>
      </c>
      <c r="R781" t="inlineStr">
        <is>
          <t>AUD</t>
        </is>
      </c>
      <c r="S781" t="n">
        <v>0</v>
      </c>
      <c r="T781" t="inlineStr">
        <is>
          <t>AUD</t>
        </is>
      </c>
      <c r="U781" t="n">
        <v>0</v>
      </c>
    </row>
    <row r="782">
      <c r="A782" s="5" t="inlineStr">
        <is>
          <t>01a152b9-7c81-74c2-ab96-a0fce528470a</t>
        </is>
      </c>
      <c r="C782" s="5" t="inlineStr">
        <is>
          <t>01a152b9-6e67-75da-8adb-b03e5d07fd21</t>
        </is>
      </c>
      <c r="D782" s="4" t="n">
        <v>46314.24595112797</v>
      </c>
      <c r="E782" s="4" t="n">
        <v>46314.24595112808</v>
      </c>
      <c r="F782" t="b">
        <v>1</v>
      </c>
      <c r="G782" t="n">
        <v/>
      </c>
      <c r="H782" t="inlineStr">
        <is>
          <t>EBND</t>
        </is>
      </c>
      <c r="I782" t="inlineStr">
        <is>
          <t>Vaneck Emerging Inc Opportunities Active ETF (Managed Fund)</t>
        </is>
      </c>
      <c r="J782" t="inlineStr">
        <is>
          <t>AUD</t>
        </is>
      </c>
      <c r="K782" s="5" t="inlineStr">
        <is>
          <t>01a152b9-6ee2-7577-bddd-382bc3853fde</t>
        </is>
      </c>
      <c r="M782" t="inlineStr">
        <is>
          <t>UNKNOWN</t>
        </is>
      </c>
      <c r="N782" t="inlineStr">
        <is>
          <t>DEFAULT</t>
        </is>
      </c>
      <c r="Q782" t="n">
        <v>0</v>
      </c>
      <c r="R782" t="inlineStr">
        <is>
          <t>AUD</t>
        </is>
      </c>
      <c r="S782" t="n">
        <v>0</v>
      </c>
      <c r="T782" t="inlineStr">
        <is>
          <t>AUD</t>
        </is>
      </c>
      <c r="U782" t="n">
        <v>0</v>
      </c>
    </row>
    <row r="783">
      <c r="A783" s="5" t="inlineStr">
        <is>
          <t>01a152b9-7c84-71bd-a792-bd0e655c24bc</t>
        </is>
      </c>
      <c r="C783" s="5" t="inlineStr">
        <is>
          <t>01a152b9-6e67-75da-8adb-b03e5d07fd21</t>
        </is>
      </c>
      <c r="D783" s="4" t="n">
        <v>46314.24595116975</v>
      </c>
      <c r="E783" s="4" t="n">
        <v>46314.24595116984</v>
      </c>
      <c r="F783" t="b">
        <v>1</v>
      </c>
      <c r="G783" t="n">
        <v/>
      </c>
      <c r="H783" t="inlineStr">
        <is>
          <t>BWN</t>
        </is>
      </c>
      <c r="I783" t="inlineStr">
        <is>
          <t>Bhagwan Marine Ltd</t>
        </is>
      </c>
      <c r="J783" t="inlineStr">
        <is>
          <t>AUD</t>
        </is>
      </c>
      <c r="K783" s="5" t="inlineStr">
        <is>
          <t>01a152b9-6ee2-7577-bddd-382bc3853fde</t>
        </is>
      </c>
      <c r="M783" t="inlineStr">
        <is>
          <t>UNKNOWN</t>
        </is>
      </c>
      <c r="N783" t="inlineStr">
        <is>
          <t>DEFAULT</t>
        </is>
      </c>
      <c r="Q783" t="n">
        <v>0</v>
      </c>
      <c r="R783" t="inlineStr">
        <is>
          <t>AUD</t>
        </is>
      </c>
      <c r="S783" t="n">
        <v>0</v>
      </c>
      <c r="T783" t="inlineStr">
        <is>
          <t>AUD</t>
        </is>
      </c>
      <c r="U783" t="n">
        <v>0</v>
      </c>
    </row>
    <row r="784">
      <c r="A784" s="5" t="inlineStr">
        <is>
          <t>01a152b9-7c88-74fa-ac70-fc4faaa04f8f</t>
        </is>
      </c>
      <c r="C784" s="5" t="inlineStr">
        <is>
          <t>01a152b9-6e67-75da-8adb-b03e5d07fd21</t>
        </is>
      </c>
      <c r="D784" s="4" t="n">
        <v>46314.24595121144</v>
      </c>
      <c r="E784" s="4" t="n">
        <v>46314.24595121155</v>
      </c>
      <c r="F784" t="b">
        <v>1</v>
      </c>
      <c r="G784" t="n">
        <v/>
      </c>
      <c r="H784" t="inlineStr">
        <is>
          <t>CAA</t>
        </is>
      </c>
      <c r="I784" t="inlineStr">
        <is>
          <t>Capral Ltd</t>
        </is>
      </c>
      <c r="J784" t="inlineStr">
        <is>
          <t>AUD</t>
        </is>
      </c>
      <c r="K784" s="5" t="inlineStr">
        <is>
          <t>01a152b9-6ee2-7577-bddd-382bc3853fde</t>
        </is>
      </c>
      <c r="M784" t="inlineStr">
        <is>
          <t>UNKNOWN</t>
        </is>
      </c>
      <c r="N784" t="inlineStr">
        <is>
          <t>DEFAULT</t>
        </is>
      </c>
      <c r="Q784" t="n">
        <v>0</v>
      </c>
      <c r="R784" t="inlineStr">
        <is>
          <t>AUD</t>
        </is>
      </c>
      <c r="S784" t="n">
        <v>0</v>
      </c>
      <c r="T784" t="inlineStr">
        <is>
          <t>AUD</t>
        </is>
      </c>
      <c r="U784" t="n">
        <v>0</v>
      </c>
    </row>
    <row r="785">
      <c r="A785" s="5" t="inlineStr">
        <is>
          <t>01a152b9-7c8b-77c7-a0f0-70654ec63bfa</t>
        </is>
      </c>
      <c r="C785" s="5" t="inlineStr">
        <is>
          <t>01a152b9-6e67-75da-8adb-b03e5d07fd21</t>
        </is>
      </c>
      <c r="D785" s="4" t="n">
        <v>46314.24595124718</v>
      </c>
      <c r="E785" s="4" t="n">
        <v>46314.24595124729</v>
      </c>
      <c r="F785" t="b">
        <v>1</v>
      </c>
      <c r="G785" t="n">
        <v/>
      </c>
      <c r="H785" t="inlineStr">
        <is>
          <t>COS</t>
        </is>
      </c>
      <c r="I785" t="inlineStr">
        <is>
          <t>Cosol Ltd</t>
        </is>
      </c>
      <c r="J785" t="inlineStr">
        <is>
          <t>AUD</t>
        </is>
      </c>
      <c r="K785" s="5" t="inlineStr">
        <is>
          <t>01a152b9-6ee2-7577-bddd-382bc3853fde</t>
        </is>
      </c>
      <c r="M785" t="inlineStr">
        <is>
          <t>UNKNOWN</t>
        </is>
      </c>
      <c r="N785" t="inlineStr">
        <is>
          <t>DEFAULT</t>
        </is>
      </c>
      <c r="Q785" t="n">
        <v>0</v>
      </c>
      <c r="R785" t="inlineStr">
        <is>
          <t>AUD</t>
        </is>
      </c>
      <c r="S785" t="n">
        <v>0</v>
      </c>
      <c r="T785" t="inlineStr">
        <is>
          <t>AUD</t>
        </is>
      </c>
      <c r="U785" t="n">
        <v>0</v>
      </c>
    </row>
    <row r="786">
      <c r="A786" s="5" t="inlineStr">
        <is>
          <t>01a152b9-7c8f-71ae-b0af-b059c70cc411</t>
        </is>
      </c>
      <c r="C786" s="5" t="inlineStr">
        <is>
          <t>01a152b9-6e67-75da-8adb-b03e5d07fd21</t>
        </is>
      </c>
      <c r="D786" s="4" t="n">
        <v>46314.24595129048</v>
      </c>
      <c r="E786" s="4" t="n">
        <v>46314.24595129059</v>
      </c>
      <c r="F786" t="b">
        <v>1</v>
      </c>
      <c r="G786" t="n">
        <v/>
      </c>
      <c r="H786" t="inlineStr">
        <is>
          <t>A11</t>
        </is>
      </c>
      <c r="I786" t="inlineStr">
        <is>
          <t>Atlantic Lithium Ltd</t>
        </is>
      </c>
      <c r="J786" t="inlineStr">
        <is>
          <t>AUD</t>
        </is>
      </c>
      <c r="K786" s="5" t="inlineStr">
        <is>
          <t>01a152b9-6ee2-7577-bddd-382bc3853fde</t>
        </is>
      </c>
      <c r="M786" t="inlineStr">
        <is>
          <t>UNKNOWN</t>
        </is>
      </c>
      <c r="N786" t="inlineStr">
        <is>
          <t>DEFAULT</t>
        </is>
      </c>
      <c r="Q786" t="n">
        <v>0</v>
      </c>
      <c r="R786" t="inlineStr">
        <is>
          <t>AUD</t>
        </is>
      </c>
      <c r="S786" t="n">
        <v>0</v>
      </c>
      <c r="T786" t="inlineStr">
        <is>
          <t>AUD</t>
        </is>
      </c>
      <c r="U786" t="n">
        <v>0</v>
      </c>
    </row>
    <row r="787">
      <c r="A787" s="5" t="inlineStr">
        <is>
          <t>01a152b9-7c92-77cd-9c4e-6264cef02df8</t>
        </is>
      </c>
      <c r="C787" s="5" t="inlineStr">
        <is>
          <t>01a152b9-6e67-75da-8adb-b03e5d07fd21</t>
        </is>
      </c>
      <c r="D787" s="4" t="n">
        <v>46314.24595132517</v>
      </c>
      <c r="E787" s="4" t="n">
        <v>46314.24595132528</v>
      </c>
      <c r="F787" t="b">
        <v>1</v>
      </c>
      <c r="G787" t="n">
        <v/>
      </c>
      <c r="H787" t="inlineStr">
        <is>
          <t>SLH</t>
        </is>
      </c>
      <c r="I787" t="inlineStr">
        <is>
          <t>Silk Logistics Holdings Ltd</t>
        </is>
      </c>
      <c r="J787" t="inlineStr">
        <is>
          <t>AUD</t>
        </is>
      </c>
      <c r="K787" s="5" t="inlineStr">
        <is>
          <t>01a152b9-6ee2-7577-bddd-382bc3853fde</t>
        </is>
      </c>
      <c r="M787" t="inlineStr">
        <is>
          <t>UNKNOWN</t>
        </is>
      </c>
      <c r="N787" t="inlineStr">
        <is>
          <t>DEFAULT</t>
        </is>
      </c>
      <c r="Q787" t="n">
        <v>0</v>
      </c>
      <c r="R787" t="inlineStr">
        <is>
          <t>AUD</t>
        </is>
      </c>
      <c r="S787" t="n">
        <v>0</v>
      </c>
      <c r="T787" t="inlineStr">
        <is>
          <t>AUD</t>
        </is>
      </c>
      <c r="U787" t="n">
        <v>0</v>
      </c>
    </row>
    <row r="788">
      <c r="A788" s="5" t="inlineStr">
        <is>
          <t>01a152b9-7c95-7665-a704-bf3e28b44b68</t>
        </is>
      </c>
      <c r="C788" s="5" t="inlineStr">
        <is>
          <t>01a152b9-6e67-75da-8adb-b03e5d07fd21</t>
        </is>
      </c>
      <c r="D788" s="4" t="n">
        <v>46314.24595136518</v>
      </c>
      <c r="E788" s="4" t="n">
        <v>46314.24595136528</v>
      </c>
      <c r="F788" t="b">
        <v>1</v>
      </c>
      <c r="G788" t="n">
        <v/>
      </c>
      <c r="H788" t="inlineStr">
        <is>
          <t>VCF</t>
        </is>
      </c>
      <c r="I788" t="inlineStr">
        <is>
          <t>Vanguard International Credit Securities INDEX (Hedged) ETF</t>
        </is>
      </c>
      <c r="J788" t="inlineStr">
        <is>
          <t>AUD</t>
        </is>
      </c>
      <c r="K788" s="5" t="inlineStr">
        <is>
          <t>01a152b9-6ee2-7577-bddd-382bc3853fde</t>
        </is>
      </c>
      <c r="M788" t="inlineStr">
        <is>
          <t>UNKNOWN</t>
        </is>
      </c>
      <c r="N788" t="inlineStr">
        <is>
          <t>DEFAULT</t>
        </is>
      </c>
      <c r="Q788" t="n">
        <v>0</v>
      </c>
      <c r="R788" t="inlineStr">
        <is>
          <t>AUD</t>
        </is>
      </c>
      <c r="S788" t="n">
        <v>0</v>
      </c>
      <c r="T788" t="inlineStr">
        <is>
          <t>AUD</t>
        </is>
      </c>
      <c r="U788" t="n">
        <v>0</v>
      </c>
    </row>
    <row r="789">
      <c r="A789" s="5" t="inlineStr">
        <is>
          <t>01a152b9-7c99-70b4-90d3-9cdc9844ac91</t>
        </is>
      </c>
      <c r="C789" s="5" t="inlineStr">
        <is>
          <t>01a152b9-6e67-75da-8adb-b03e5d07fd21</t>
        </is>
      </c>
      <c r="D789" s="4" t="n">
        <v>46314.24595140208</v>
      </c>
      <c r="E789" s="4" t="n">
        <v>46314.24595140218</v>
      </c>
      <c r="F789" t="b">
        <v>1</v>
      </c>
      <c r="G789" t="n">
        <v/>
      </c>
      <c r="H789" t="inlineStr">
        <is>
          <t>BTH</t>
        </is>
      </c>
      <c r="I789" t="inlineStr">
        <is>
          <t>Bigtincan Holdings Ltd</t>
        </is>
      </c>
      <c r="J789" t="inlineStr">
        <is>
          <t>AUD</t>
        </is>
      </c>
      <c r="K789" s="5" t="inlineStr">
        <is>
          <t>01a152b9-6ee2-7577-bddd-382bc3853fde</t>
        </is>
      </c>
      <c r="M789" t="inlineStr">
        <is>
          <t>UNKNOWN</t>
        </is>
      </c>
      <c r="N789" t="inlineStr">
        <is>
          <t>DEFAULT</t>
        </is>
      </c>
      <c r="Q789" t="n">
        <v>0</v>
      </c>
      <c r="R789" t="inlineStr">
        <is>
          <t>AUD</t>
        </is>
      </c>
      <c r="S789" t="n">
        <v>0</v>
      </c>
      <c r="T789" t="inlineStr">
        <is>
          <t>AUD</t>
        </is>
      </c>
      <c r="U789" t="n">
        <v>0</v>
      </c>
    </row>
    <row r="790">
      <c r="A790" s="5" t="inlineStr">
        <is>
          <t>01a152b9-7c9c-7046-8033-bb682df504a0</t>
        </is>
      </c>
      <c r="C790" s="5" t="inlineStr">
        <is>
          <t>01a152b9-6e67-75da-8adb-b03e5d07fd21</t>
        </is>
      </c>
      <c r="D790" s="4" t="n">
        <v>46314.24595144332</v>
      </c>
      <c r="E790" s="4" t="n">
        <v>46314.24595144347</v>
      </c>
      <c r="F790" t="b">
        <v>1</v>
      </c>
      <c r="G790" t="n">
        <v/>
      </c>
      <c r="H790" t="inlineStr">
        <is>
          <t>FSML</t>
        </is>
      </c>
      <c r="I790" t="inlineStr">
        <is>
          <t>Firetrail Aust Small Companies Fund - Active ETF</t>
        </is>
      </c>
      <c r="J790" t="inlineStr">
        <is>
          <t>AUD</t>
        </is>
      </c>
      <c r="K790" s="5" t="inlineStr">
        <is>
          <t>01a152b9-6ee2-7577-bddd-382bc3853fde</t>
        </is>
      </c>
      <c r="M790" t="inlineStr">
        <is>
          <t>UNKNOWN</t>
        </is>
      </c>
      <c r="N790" t="inlineStr">
        <is>
          <t>DEFAULT</t>
        </is>
      </c>
      <c r="Q790" t="n">
        <v>0</v>
      </c>
      <c r="R790" t="inlineStr">
        <is>
          <t>AUD</t>
        </is>
      </c>
      <c r="S790" t="n">
        <v>0</v>
      </c>
      <c r="T790" t="inlineStr">
        <is>
          <t>AUD</t>
        </is>
      </c>
      <c r="U790" t="n">
        <v>0</v>
      </c>
    </row>
    <row r="791">
      <c r="A791" s="5" t="inlineStr">
        <is>
          <t>01a152b9-7c9f-75a5-a586-52a754b70dec</t>
        </is>
      </c>
      <c r="C791" s="5" t="inlineStr">
        <is>
          <t>01a152b9-6e67-75da-8adb-b03e5d07fd21</t>
        </is>
      </c>
      <c r="D791" s="4" t="n">
        <v>46314.24595148257</v>
      </c>
      <c r="E791" s="4" t="n">
        <v>46314.2459514827</v>
      </c>
      <c r="F791" t="b">
        <v>1</v>
      </c>
      <c r="G791" t="n">
        <v/>
      </c>
      <c r="H791" t="inlineStr">
        <is>
          <t>COI</t>
        </is>
      </c>
      <c r="I791" t="inlineStr">
        <is>
          <t>Comet Ridge Ltd</t>
        </is>
      </c>
      <c r="J791" t="inlineStr">
        <is>
          <t>AUD</t>
        </is>
      </c>
      <c r="K791" s="5" t="inlineStr">
        <is>
          <t>01a152b9-6ee2-7577-bddd-382bc3853fde</t>
        </is>
      </c>
      <c r="M791" t="inlineStr">
        <is>
          <t>UNKNOWN</t>
        </is>
      </c>
      <c r="N791" t="inlineStr">
        <is>
          <t>DEFAULT</t>
        </is>
      </c>
      <c r="Q791" t="n">
        <v>0</v>
      </c>
      <c r="R791" t="inlineStr">
        <is>
          <t>AUD</t>
        </is>
      </c>
      <c r="S791" t="n">
        <v>0</v>
      </c>
      <c r="T791" t="inlineStr">
        <is>
          <t>AUD</t>
        </is>
      </c>
      <c r="U791" t="n">
        <v>0</v>
      </c>
    </row>
    <row r="792">
      <c r="A792" s="5" t="inlineStr">
        <is>
          <t>01a152b9-7ca4-7070-965e-fb3ce0da8b9d</t>
        </is>
      </c>
      <c r="C792" s="5" t="inlineStr">
        <is>
          <t>01a152b9-6e67-75da-8adb-b03e5d07fd21</t>
        </is>
      </c>
      <c r="D792" s="4" t="n">
        <v>46314.24595152926</v>
      </c>
      <c r="E792" s="4" t="n">
        <v>46314.24595152935</v>
      </c>
      <c r="F792" t="b">
        <v>1</v>
      </c>
      <c r="G792" t="n">
        <v/>
      </c>
      <c r="H792" t="inlineStr">
        <is>
          <t>MVS</t>
        </is>
      </c>
      <c r="I792" t="inlineStr">
        <is>
          <t>Vaneck Small Companies Masters ETF</t>
        </is>
      </c>
      <c r="J792" t="inlineStr">
        <is>
          <t>AUD</t>
        </is>
      </c>
      <c r="K792" s="5" t="inlineStr">
        <is>
          <t>01a152b9-6ee2-7577-bddd-382bc3853fde</t>
        </is>
      </c>
      <c r="M792" t="inlineStr">
        <is>
          <t>UNKNOWN</t>
        </is>
      </c>
      <c r="N792" t="inlineStr">
        <is>
          <t>DEFAULT</t>
        </is>
      </c>
      <c r="Q792" t="n">
        <v>0</v>
      </c>
      <c r="R792" t="inlineStr">
        <is>
          <t>AUD</t>
        </is>
      </c>
      <c r="S792" t="n">
        <v>0</v>
      </c>
      <c r="T792" t="inlineStr">
        <is>
          <t>AUD</t>
        </is>
      </c>
      <c r="U792" t="n">
        <v>0</v>
      </c>
    </row>
    <row r="793">
      <c r="A793" s="5" t="inlineStr">
        <is>
          <t>01a152b9-7ca7-72bd-86b1-ba98751b9c95</t>
        </is>
      </c>
      <c r="C793" s="5" t="inlineStr">
        <is>
          <t>01a152b9-6e67-75da-8adb-b03e5d07fd21</t>
        </is>
      </c>
      <c r="D793" s="4" t="n">
        <v>46314.24595157072</v>
      </c>
      <c r="E793" s="4" t="n">
        <v>46314.24595157081</v>
      </c>
      <c r="F793" t="b">
        <v>1</v>
      </c>
      <c r="G793" t="n">
        <v/>
      </c>
      <c r="H793" t="inlineStr">
        <is>
          <t>NTU</t>
        </is>
      </c>
      <c r="I793" t="inlineStr">
        <is>
          <t>Northern Minerals Ltd</t>
        </is>
      </c>
      <c r="J793" t="inlineStr">
        <is>
          <t>AUD</t>
        </is>
      </c>
      <c r="K793" s="5" t="inlineStr">
        <is>
          <t>01a152b9-6ee2-7577-bddd-382bc3853fde</t>
        </is>
      </c>
      <c r="M793" t="inlineStr">
        <is>
          <t>UNKNOWN</t>
        </is>
      </c>
      <c r="N793" t="inlineStr">
        <is>
          <t>DEFAULT</t>
        </is>
      </c>
      <c r="Q793" t="n">
        <v>0</v>
      </c>
      <c r="R793" t="inlineStr">
        <is>
          <t>AUD</t>
        </is>
      </c>
      <c r="S793" t="n">
        <v>0</v>
      </c>
      <c r="T793" t="inlineStr">
        <is>
          <t>AUD</t>
        </is>
      </c>
      <c r="U793" t="n">
        <v>0</v>
      </c>
    </row>
    <row r="794">
      <c r="A794" s="5" t="inlineStr">
        <is>
          <t>01a152b9-7cab-707b-917f-fc4f8a6e5631</t>
        </is>
      </c>
      <c r="C794" s="5" t="inlineStr">
        <is>
          <t>01a152b9-6e67-75da-8adb-b03e5d07fd21</t>
        </is>
      </c>
      <c r="D794" s="4" t="n">
        <v>46314.2459516118</v>
      </c>
      <c r="E794" s="4" t="n">
        <v>46314.24595161191</v>
      </c>
      <c r="F794" t="b">
        <v>1</v>
      </c>
      <c r="G794" t="n">
        <v/>
      </c>
      <c r="H794" t="inlineStr">
        <is>
          <t>SPG</t>
        </is>
      </c>
      <c r="I794" t="inlineStr">
        <is>
          <t>SPC Global Holdings Ltd</t>
        </is>
      </c>
      <c r="J794" t="inlineStr">
        <is>
          <t>AUD</t>
        </is>
      </c>
      <c r="K794" s="5" t="inlineStr">
        <is>
          <t>01a152b9-6ee2-7577-bddd-382bc3853fde</t>
        </is>
      </c>
      <c r="M794" t="inlineStr">
        <is>
          <t>UNKNOWN</t>
        </is>
      </c>
      <c r="N794" t="inlineStr">
        <is>
          <t>DEFAULT</t>
        </is>
      </c>
      <c r="Q794" t="n">
        <v>0</v>
      </c>
      <c r="R794" t="inlineStr">
        <is>
          <t>AUD</t>
        </is>
      </c>
      <c r="S794" t="n">
        <v>0</v>
      </c>
      <c r="T794" t="inlineStr">
        <is>
          <t>AUD</t>
        </is>
      </c>
      <c r="U794" t="n">
        <v>0</v>
      </c>
    </row>
    <row r="795">
      <c r="A795" s="5" t="inlineStr">
        <is>
          <t>01a152b9-7cae-730e-9dc1-57a6384bdf18</t>
        </is>
      </c>
      <c r="C795" s="5" t="inlineStr">
        <is>
          <t>01a152b9-6e67-75da-8adb-b03e5d07fd21</t>
        </is>
      </c>
      <c r="D795" s="4" t="n">
        <v>46314.24595165224</v>
      </c>
      <c r="E795" s="4" t="n">
        <v>46314.24595165234</v>
      </c>
      <c r="F795" t="b">
        <v>1</v>
      </c>
      <c r="G795" t="n">
        <v/>
      </c>
      <c r="H795" t="inlineStr">
        <is>
          <t>URNM</t>
        </is>
      </c>
      <c r="I795" t="inlineStr">
        <is>
          <t>Betashares Global Uranium ETF</t>
        </is>
      </c>
      <c r="J795" t="inlineStr">
        <is>
          <t>AUD</t>
        </is>
      </c>
      <c r="K795" s="5" t="inlineStr">
        <is>
          <t>01a152b9-6ee2-7577-bddd-382bc3853fde</t>
        </is>
      </c>
      <c r="M795" t="inlineStr">
        <is>
          <t>UNKNOWN</t>
        </is>
      </c>
      <c r="N795" t="inlineStr">
        <is>
          <t>DEFAULT</t>
        </is>
      </c>
      <c r="Q795" t="n">
        <v>0</v>
      </c>
      <c r="R795" t="inlineStr">
        <is>
          <t>AUD</t>
        </is>
      </c>
      <c r="S795" t="n">
        <v>0</v>
      </c>
      <c r="T795" t="inlineStr">
        <is>
          <t>AUD</t>
        </is>
      </c>
      <c r="U795" t="n">
        <v>0</v>
      </c>
    </row>
    <row r="796">
      <c r="A796" s="5" t="inlineStr">
        <is>
          <t>01a152b9-7cb2-70e1-aef8-4dcd9d9b97c9</t>
        </is>
      </c>
      <c r="C796" s="5" t="inlineStr">
        <is>
          <t>01a152b9-6e67-75da-8adb-b03e5d07fd21</t>
        </is>
      </c>
      <c r="D796" s="4" t="n">
        <v>46314.2459516923</v>
      </c>
      <c r="E796" s="4" t="n">
        <v>46314.2459516924</v>
      </c>
      <c r="F796" t="b">
        <v>1</v>
      </c>
      <c r="G796" t="n">
        <v/>
      </c>
      <c r="H796" t="inlineStr">
        <is>
          <t>RHK</t>
        </is>
      </c>
      <c r="I796" t="inlineStr">
        <is>
          <t>Red Hawk Mining Ltd</t>
        </is>
      </c>
      <c r="J796" t="inlineStr">
        <is>
          <t>AUD</t>
        </is>
      </c>
      <c r="K796" s="5" t="inlineStr">
        <is>
          <t>01a152b9-6ee2-7577-bddd-382bc3853fde</t>
        </is>
      </c>
      <c r="M796" t="inlineStr">
        <is>
          <t>UNKNOWN</t>
        </is>
      </c>
      <c r="N796" t="inlineStr">
        <is>
          <t>DEFAULT</t>
        </is>
      </c>
      <c r="Q796" t="n">
        <v>0</v>
      </c>
      <c r="R796" t="inlineStr">
        <is>
          <t>AUD</t>
        </is>
      </c>
      <c r="S796" t="n">
        <v>0</v>
      </c>
      <c r="T796" t="inlineStr">
        <is>
          <t>AUD</t>
        </is>
      </c>
      <c r="U796" t="n">
        <v>0</v>
      </c>
    </row>
    <row r="797">
      <c r="A797" s="5" t="inlineStr">
        <is>
          <t>01a152b9-7cb5-70c8-8b16-a1fc2c29f142</t>
        </is>
      </c>
      <c r="C797" s="5" t="inlineStr">
        <is>
          <t>01a152b9-6e67-75da-8adb-b03e5d07fd21</t>
        </is>
      </c>
      <c r="D797" s="4" t="n">
        <v>46314.24595173705</v>
      </c>
      <c r="E797" s="4" t="n">
        <v>46314.24595173715</v>
      </c>
      <c r="F797" t="b">
        <v>1</v>
      </c>
      <c r="G797" t="n">
        <v/>
      </c>
      <c r="H797" t="inlineStr">
        <is>
          <t>HPG</t>
        </is>
      </c>
      <c r="I797" t="inlineStr">
        <is>
          <t>Hipages Group Holdings Ltd</t>
        </is>
      </c>
      <c r="J797" t="inlineStr">
        <is>
          <t>AUD</t>
        </is>
      </c>
      <c r="K797" s="5" t="inlineStr">
        <is>
          <t>01a152b9-6ee2-7577-bddd-382bc3853fde</t>
        </is>
      </c>
      <c r="M797" t="inlineStr">
        <is>
          <t>UNKNOWN</t>
        </is>
      </c>
      <c r="N797" t="inlineStr">
        <is>
          <t>DEFAULT</t>
        </is>
      </c>
      <c r="Q797" t="n">
        <v>0</v>
      </c>
      <c r="R797" t="inlineStr">
        <is>
          <t>AUD</t>
        </is>
      </c>
      <c r="S797" t="n">
        <v>0</v>
      </c>
      <c r="T797" t="inlineStr">
        <is>
          <t>AUD</t>
        </is>
      </c>
      <c r="U797" t="n">
        <v>0</v>
      </c>
    </row>
    <row r="798">
      <c r="A798" s="5" t="inlineStr">
        <is>
          <t>01a152b9-7cb9-74ed-8472-ccf71138f46b</t>
        </is>
      </c>
      <c r="C798" s="5" t="inlineStr">
        <is>
          <t>01a152b9-6e67-75da-8adb-b03e5d07fd21</t>
        </is>
      </c>
      <c r="D798" s="4" t="n">
        <v>46314.24595177981</v>
      </c>
      <c r="E798" s="4" t="n">
        <v>46314.24595177994</v>
      </c>
      <c r="F798" t="b">
        <v>1</v>
      </c>
      <c r="G798" t="n">
        <v/>
      </c>
      <c r="H798" t="inlineStr">
        <is>
          <t>EMV</t>
        </is>
      </c>
      <c r="I798" t="inlineStr">
        <is>
          <t>Emvision Medical Devices Ltd</t>
        </is>
      </c>
      <c r="J798" t="inlineStr">
        <is>
          <t>AUD</t>
        </is>
      </c>
      <c r="K798" s="5" t="inlineStr">
        <is>
          <t>01a152b9-6ee2-7577-bddd-382bc3853fde</t>
        </is>
      </c>
      <c r="M798" t="inlineStr">
        <is>
          <t>UNKNOWN</t>
        </is>
      </c>
      <c r="N798" t="inlineStr">
        <is>
          <t>DEFAULT</t>
        </is>
      </c>
      <c r="Q798" t="n">
        <v>0</v>
      </c>
      <c r="R798" t="inlineStr">
        <is>
          <t>AUD</t>
        </is>
      </c>
      <c r="S798" t="n">
        <v>0</v>
      </c>
      <c r="T798" t="inlineStr">
        <is>
          <t>AUD</t>
        </is>
      </c>
      <c r="U798" t="n">
        <v>0</v>
      </c>
    </row>
    <row r="799">
      <c r="A799" s="5" t="inlineStr">
        <is>
          <t>01a152b9-7cbd-7207-a699-8e840467bf13</t>
        </is>
      </c>
      <c r="C799" s="5" t="inlineStr">
        <is>
          <t>01a152b9-6e67-75da-8adb-b03e5d07fd21</t>
        </is>
      </c>
      <c r="D799" s="4" t="n">
        <v>46314.24595182079</v>
      </c>
      <c r="E799" s="4" t="n">
        <v>46314.24595182088</v>
      </c>
      <c r="F799" t="b">
        <v>1</v>
      </c>
      <c r="G799" t="n">
        <v/>
      </c>
      <c r="H799" t="inlineStr">
        <is>
          <t>ASL</t>
        </is>
      </c>
      <c r="I799" t="inlineStr">
        <is>
          <t>Andean Silver Ltd</t>
        </is>
      </c>
      <c r="J799" t="inlineStr">
        <is>
          <t>AUD</t>
        </is>
      </c>
      <c r="K799" s="5" t="inlineStr">
        <is>
          <t>01a152b9-6ee2-7577-bddd-382bc3853fde</t>
        </is>
      </c>
      <c r="M799" t="inlineStr">
        <is>
          <t>UNKNOWN</t>
        </is>
      </c>
      <c r="N799" t="inlineStr">
        <is>
          <t>DEFAULT</t>
        </is>
      </c>
      <c r="Q799" t="n">
        <v>0</v>
      </c>
      <c r="R799" t="inlineStr">
        <is>
          <t>AUD</t>
        </is>
      </c>
      <c r="S799" t="n">
        <v>0</v>
      </c>
      <c r="T799" t="inlineStr">
        <is>
          <t>AUD</t>
        </is>
      </c>
      <c r="U799" t="n">
        <v>0</v>
      </c>
    </row>
    <row r="800">
      <c r="A800" s="5" t="inlineStr">
        <is>
          <t>01a152b9-7cc0-71aa-85ce-11bef3e2c683</t>
        </is>
      </c>
      <c r="C800" s="5" t="inlineStr">
        <is>
          <t>01a152b9-6e67-75da-8adb-b03e5d07fd21</t>
        </is>
      </c>
      <c r="D800" s="4" t="n">
        <v>46314.24595186118</v>
      </c>
      <c r="E800" s="4" t="n">
        <v>46314.24595186127</v>
      </c>
      <c r="F800" t="b">
        <v>1</v>
      </c>
      <c r="G800" t="n">
        <v/>
      </c>
      <c r="H800" t="inlineStr">
        <is>
          <t>CCV</t>
        </is>
      </c>
      <c r="I800" t="inlineStr">
        <is>
          <t>Cash Converters International</t>
        </is>
      </c>
      <c r="J800" t="inlineStr">
        <is>
          <t>AUD</t>
        </is>
      </c>
      <c r="K800" s="5" t="inlineStr">
        <is>
          <t>01a152b9-6ee2-7577-bddd-382bc3853fde</t>
        </is>
      </c>
      <c r="M800" t="inlineStr">
        <is>
          <t>UNKNOWN</t>
        </is>
      </c>
      <c r="N800" t="inlineStr">
        <is>
          <t>DEFAULT</t>
        </is>
      </c>
      <c r="Q800" t="n">
        <v>0</v>
      </c>
      <c r="R800" t="inlineStr">
        <is>
          <t>AUD</t>
        </is>
      </c>
      <c r="S800" t="n">
        <v>0</v>
      </c>
      <c r="T800" t="inlineStr">
        <is>
          <t>AUD</t>
        </is>
      </c>
      <c r="U800" t="n">
        <v>0</v>
      </c>
    </row>
    <row r="801">
      <c r="A801" s="5" t="inlineStr">
        <is>
          <t>01a152b9-7cc4-75a2-af1e-c7858943d8f1</t>
        </is>
      </c>
      <c r="C801" s="5" t="inlineStr">
        <is>
          <t>01a152b9-6e67-75da-8adb-b03e5d07fd21</t>
        </is>
      </c>
      <c r="D801" s="4" t="n">
        <v>46314.24595190329</v>
      </c>
      <c r="E801" s="4" t="n">
        <v>46314.24595190339</v>
      </c>
      <c r="F801" t="b">
        <v>1</v>
      </c>
      <c r="G801" t="n">
        <v/>
      </c>
      <c r="H801" t="inlineStr">
        <is>
          <t>FUEL</t>
        </is>
      </c>
      <c r="I801" t="inlineStr">
        <is>
          <t>Betashares Global Energy Comp Currency Hedged ETF</t>
        </is>
      </c>
      <c r="J801" t="inlineStr">
        <is>
          <t>AUD</t>
        </is>
      </c>
      <c r="K801" s="5" t="inlineStr">
        <is>
          <t>01a152b9-6ee2-7577-bddd-382bc3853fde</t>
        </is>
      </c>
      <c r="M801" t="inlineStr">
        <is>
          <t>UNKNOWN</t>
        </is>
      </c>
      <c r="N801" t="inlineStr">
        <is>
          <t>DEFAULT</t>
        </is>
      </c>
      <c r="Q801" t="n">
        <v>0</v>
      </c>
      <c r="R801" t="inlineStr">
        <is>
          <t>AUD</t>
        </is>
      </c>
      <c r="S801" t="n">
        <v>0</v>
      </c>
      <c r="T801" t="inlineStr">
        <is>
          <t>AUD</t>
        </is>
      </c>
      <c r="U801" t="n">
        <v>0</v>
      </c>
    </row>
    <row r="802">
      <c r="A802" s="5" t="inlineStr">
        <is>
          <t>01a152b9-7cc7-740e-9432-6827b45f60cd</t>
        </is>
      </c>
      <c r="C802" s="5" t="inlineStr">
        <is>
          <t>01a152b9-6e67-75da-8adb-b03e5d07fd21</t>
        </is>
      </c>
      <c r="D802" s="4" t="n">
        <v>46314.24595194365</v>
      </c>
      <c r="E802" s="4" t="n">
        <v>46314.24595194375</v>
      </c>
      <c r="F802" t="b">
        <v>1</v>
      </c>
      <c r="G802" t="n">
        <v/>
      </c>
      <c r="H802" t="inlineStr">
        <is>
          <t>BCK</t>
        </is>
      </c>
      <c r="I802" t="inlineStr">
        <is>
          <t>Brockman Mining Ltd</t>
        </is>
      </c>
      <c r="J802" t="inlineStr">
        <is>
          <t>AUD</t>
        </is>
      </c>
      <c r="K802" s="5" t="inlineStr">
        <is>
          <t>01a152b9-6ee2-7577-bddd-382bc3853fde</t>
        </is>
      </c>
      <c r="M802" t="inlineStr">
        <is>
          <t>UNKNOWN</t>
        </is>
      </c>
      <c r="N802" t="inlineStr">
        <is>
          <t>DEFAULT</t>
        </is>
      </c>
      <c r="Q802" t="n">
        <v>0</v>
      </c>
      <c r="R802" t="inlineStr">
        <is>
          <t>AUD</t>
        </is>
      </c>
      <c r="S802" t="n">
        <v>0</v>
      </c>
      <c r="T802" t="inlineStr">
        <is>
          <t>AUD</t>
        </is>
      </c>
      <c r="U802" t="n">
        <v>0</v>
      </c>
    </row>
    <row r="803">
      <c r="A803" s="5" t="inlineStr">
        <is>
          <t>01a152b9-7ccb-735d-97bc-7cf16f41a316</t>
        </is>
      </c>
      <c r="C803" s="5" t="inlineStr">
        <is>
          <t>01a152b9-6e67-75da-8adb-b03e5d07fd21</t>
        </is>
      </c>
      <c r="D803" s="4" t="n">
        <v>46314.24595198165</v>
      </c>
      <c r="E803" s="4" t="n">
        <v>46314.24595198175</v>
      </c>
      <c r="F803" t="b">
        <v>1</v>
      </c>
      <c r="G803" t="n">
        <v/>
      </c>
      <c r="H803" t="inlineStr">
        <is>
          <t>AUC</t>
        </is>
      </c>
      <c r="I803" t="inlineStr">
        <is>
          <t>Ausgold Ltd</t>
        </is>
      </c>
      <c r="J803" t="inlineStr">
        <is>
          <t>AUD</t>
        </is>
      </c>
      <c r="K803" s="5" t="inlineStr">
        <is>
          <t>01a152b9-6ee2-7577-bddd-382bc3853fde</t>
        </is>
      </c>
      <c r="M803" t="inlineStr">
        <is>
          <t>UNKNOWN</t>
        </is>
      </c>
      <c r="N803" t="inlineStr">
        <is>
          <t>DEFAULT</t>
        </is>
      </c>
      <c r="Q803" t="n">
        <v>0</v>
      </c>
      <c r="R803" t="inlineStr">
        <is>
          <t>AUD</t>
        </is>
      </c>
      <c r="S803" t="n">
        <v>0</v>
      </c>
      <c r="T803" t="inlineStr">
        <is>
          <t>AUD</t>
        </is>
      </c>
      <c r="U803" t="n">
        <v>0</v>
      </c>
    </row>
    <row r="804">
      <c r="A804" s="5" t="inlineStr">
        <is>
          <t>01a152b9-7cce-70a6-ba9f-295d146355cf</t>
        </is>
      </c>
      <c r="C804" s="5" t="inlineStr">
        <is>
          <t>01a152b9-6e67-75da-8adb-b03e5d07fd21</t>
        </is>
      </c>
      <c r="D804" s="4" t="n">
        <v>46314.24595202223</v>
      </c>
      <c r="E804" s="4" t="n">
        <v>46314.24595202244</v>
      </c>
      <c r="F804" t="b">
        <v>1</v>
      </c>
      <c r="G804" t="n">
        <v/>
      </c>
      <c r="H804" t="inlineStr">
        <is>
          <t>EZL</t>
        </is>
      </c>
      <c r="I804" t="inlineStr">
        <is>
          <t>EUROZ Hartleys Group Ltd</t>
        </is>
      </c>
      <c r="J804" t="inlineStr">
        <is>
          <t>AUD</t>
        </is>
      </c>
      <c r="K804" s="5" t="inlineStr">
        <is>
          <t>01a152b9-6ee2-7577-bddd-382bc3853fde</t>
        </is>
      </c>
      <c r="M804" t="inlineStr">
        <is>
          <t>UNKNOWN</t>
        </is>
      </c>
      <c r="N804" t="inlineStr">
        <is>
          <t>DEFAULT</t>
        </is>
      </c>
      <c r="Q804" t="n">
        <v>0</v>
      </c>
      <c r="R804" t="inlineStr">
        <is>
          <t>AUD</t>
        </is>
      </c>
      <c r="S804" t="n">
        <v>0</v>
      </c>
      <c r="T804" t="inlineStr">
        <is>
          <t>AUD</t>
        </is>
      </c>
      <c r="U804" t="n">
        <v>0</v>
      </c>
    </row>
    <row r="805">
      <c r="A805" s="5" t="inlineStr">
        <is>
          <t>01a152b9-7cd2-74f0-a00a-6fa2b9869cf2</t>
        </is>
      </c>
      <c r="C805" s="5" t="inlineStr">
        <is>
          <t>01a152b9-6e67-75da-8adb-b03e5d07fd21</t>
        </is>
      </c>
      <c r="D805" s="4" t="n">
        <v>46314.24595206373</v>
      </c>
      <c r="E805" s="4" t="n">
        <v>46314.24595206385</v>
      </c>
      <c r="F805" t="b">
        <v>1</v>
      </c>
      <c r="G805" t="n">
        <v/>
      </c>
      <c r="H805" t="inlineStr">
        <is>
          <t>AIS</t>
        </is>
      </c>
      <c r="I805" t="inlineStr">
        <is>
          <t>Aeris Resources Ltd</t>
        </is>
      </c>
      <c r="J805" t="inlineStr">
        <is>
          <t>AUD</t>
        </is>
      </c>
      <c r="K805" s="5" t="inlineStr">
        <is>
          <t>01a152b9-6ee2-7577-bddd-382bc3853fde</t>
        </is>
      </c>
      <c r="M805" t="inlineStr">
        <is>
          <t>UNKNOWN</t>
        </is>
      </c>
      <c r="N805" t="inlineStr">
        <is>
          <t>DEFAULT</t>
        </is>
      </c>
      <c r="Q805" t="n">
        <v>0</v>
      </c>
      <c r="R805" t="inlineStr">
        <is>
          <t>AUD</t>
        </is>
      </c>
      <c r="S805" t="n">
        <v>0</v>
      </c>
      <c r="T805" t="inlineStr">
        <is>
          <t>AUD</t>
        </is>
      </c>
      <c r="U805" t="n">
        <v>0</v>
      </c>
    </row>
    <row r="806">
      <c r="A806" s="5" t="inlineStr">
        <is>
          <t>01a152b9-7cd6-7218-9b14-2ffc74d22af6</t>
        </is>
      </c>
      <c r="C806" s="5" t="inlineStr">
        <is>
          <t>01a152b9-6e67-75da-8adb-b03e5d07fd21</t>
        </is>
      </c>
      <c r="D806" s="4" t="n">
        <v>46314.24595211044</v>
      </c>
      <c r="E806" s="4" t="n">
        <v>46314.24595211056</v>
      </c>
      <c r="F806" t="b">
        <v>1</v>
      </c>
      <c r="G806" t="n">
        <v/>
      </c>
      <c r="H806" t="inlineStr">
        <is>
          <t>CRD</t>
        </is>
      </c>
      <c r="I806" t="inlineStr">
        <is>
          <t>Conrad Asia Energy Ltd</t>
        </is>
      </c>
      <c r="J806" t="inlineStr">
        <is>
          <t>AUD</t>
        </is>
      </c>
      <c r="K806" s="5" t="inlineStr">
        <is>
          <t>01a152b9-6ee2-7577-bddd-382bc3853fde</t>
        </is>
      </c>
      <c r="M806" t="inlineStr">
        <is>
          <t>UNKNOWN</t>
        </is>
      </c>
      <c r="N806" t="inlineStr">
        <is>
          <t>DEFAULT</t>
        </is>
      </c>
      <c r="Q806" t="n">
        <v>0</v>
      </c>
      <c r="R806" t="inlineStr">
        <is>
          <t>AUD</t>
        </is>
      </c>
      <c r="S806" t="n">
        <v>0</v>
      </c>
      <c r="T806" t="inlineStr">
        <is>
          <t>AUD</t>
        </is>
      </c>
      <c r="U806" t="n">
        <v>0</v>
      </c>
    </row>
    <row r="807">
      <c r="A807" s="5" t="inlineStr">
        <is>
          <t>01a152b9-7cd9-71b9-ad9c-137e84f53ce1</t>
        </is>
      </c>
      <c r="C807" s="5" t="inlineStr">
        <is>
          <t>01a152b9-6e67-75da-8adb-b03e5d07fd21</t>
        </is>
      </c>
      <c r="D807" s="4" t="n">
        <v>46314.24595215299</v>
      </c>
      <c r="E807" s="4" t="n">
        <v>46314.24595215311</v>
      </c>
      <c r="F807" t="b">
        <v>1</v>
      </c>
      <c r="G807" t="n">
        <v/>
      </c>
      <c r="H807" t="inlineStr">
        <is>
          <t>LV1</t>
        </is>
      </c>
      <c r="I807" t="inlineStr">
        <is>
          <t>Live Verdure Ltd</t>
        </is>
      </c>
      <c r="J807" t="inlineStr">
        <is>
          <t>AUD</t>
        </is>
      </c>
      <c r="K807" s="5" t="inlineStr">
        <is>
          <t>01a152b9-6ee2-7577-bddd-382bc3853fde</t>
        </is>
      </c>
      <c r="M807" t="inlineStr">
        <is>
          <t>UNKNOWN</t>
        </is>
      </c>
      <c r="N807" t="inlineStr">
        <is>
          <t>DEFAULT</t>
        </is>
      </c>
      <c r="Q807" t="n">
        <v>0</v>
      </c>
      <c r="R807" t="inlineStr">
        <is>
          <t>AUD</t>
        </is>
      </c>
      <c r="S807" t="n">
        <v>0</v>
      </c>
      <c r="T807" t="inlineStr">
        <is>
          <t>AUD</t>
        </is>
      </c>
      <c r="U807" t="n">
        <v>0</v>
      </c>
    </row>
    <row r="808">
      <c r="A808" s="5" t="inlineStr">
        <is>
          <t>01a152b9-7cdd-7016-aec1-1343d2d71639</t>
        </is>
      </c>
      <c r="C808" s="5" t="inlineStr">
        <is>
          <t>01a152b9-6e67-75da-8adb-b03e5d07fd21</t>
        </is>
      </c>
      <c r="D808" s="4" t="n">
        <v>46314.24595219535</v>
      </c>
      <c r="E808" s="4" t="n">
        <v>46314.24595219547</v>
      </c>
      <c r="F808" t="b">
        <v>1</v>
      </c>
      <c r="G808" t="n">
        <v/>
      </c>
      <c r="H808" t="inlineStr">
        <is>
          <t>QGL</t>
        </is>
      </c>
      <c r="I808" t="inlineStr">
        <is>
          <t>Quantum Graphite Ltd</t>
        </is>
      </c>
      <c r="J808" t="inlineStr">
        <is>
          <t>AUD</t>
        </is>
      </c>
      <c r="K808" s="5" t="inlineStr">
        <is>
          <t>01a152b9-6ee2-7577-bddd-382bc3853fde</t>
        </is>
      </c>
      <c r="M808" t="inlineStr">
        <is>
          <t>UNKNOWN</t>
        </is>
      </c>
      <c r="N808" t="inlineStr">
        <is>
          <t>DEFAULT</t>
        </is>
      </c>
      <c r="Q808" t="n">
        <v>0</v>
      </c>
      <c r="R808" t="inlineStr">
        <is>
          <t>AUD</t>
        </is>
      </c>
      <c r="S808" t="n">
        <v>0</v>
      </c>
      <c r="T808" t="inlineStr">
        <is>
          <t>AUD</t>
        </is>
      </c>
      <c r="U808" t="n">
        <v>0</v>
      </c>
    </row>
    <row r="809">
      <c r="A809" s="5" t="inlineStr">
        <is>
          <t>01a152b9-7ce0-71a9-a4a6-6ffb9d068525</t>
        </is>
      </c>
      <c r="C809" s="5" t="inlineStr">
        <is>
          <t>01a152b9-6e67-75da-8adb-b03e5d07fd21</t>
        </is>
      </c>
      <c r="D809" s="4" t="n">
        <v>46314.24595223486</v>
      </c>
      <c r="E809" s="4" t="n">
        <v>46314.245952235</v>
      </c>
      <c r="F809" t="b">
        <v>1</v>
      </c>
      <c r="G809" t="n">
        <v/>
      </c>
      <c r="H809" t="inlineStr">
        <is>
          <t>BKY</t>
        </is>
      </c>
      <c r="I809" t="inlineStr">
        <is>
          <t>Berkeley Energia Ltd</t>
        </is>
      </c>
      <c r="J809" t="inlineStr">
        <is>
          <t>AUD</t>
        </is>
      </c>
      <c r="K809" s="5" t="inlineStr">
        <is>
          <t>01a152b9-6ee2-7577-bddd-382bc3853fde</t>
        </is>
      </c>
      <c r="M809" t="inlineStr">
        <is>
          <t>UNKNOWN</t>
        </is>
      </c>
      <c r="N809" t="inlineStr">
        <is>
          <t>DEFAULT</t>
        </is>
      </c>
      <c r="Q809" t="n">
        <v>0</v>
      </c>
      <c r="R809" t="inlineStr">
        <is>
          <t>AUD</t>
        </is>
      </c>
      <c r="S809" t="n">
        <v>0</v>
      </c>
      <c r="T809" t="inlineStr">
        <is>
          <t>AUD</t>
        </is>
      </c>
      <c r="U809" t="n">
        <v>0</v>
      </c>
    </row>
    <row r="810">
      <c r="A810" s="5" t="inlineStr">
        <is>
          <t>01a152b9-7ce4-7357-b2cd-f740937cc824</t>
        </is>
      </c>
      <c r="C810" s="5" t="inlineStr">
        <is>
          <t>01a152b9-6e67-75da-8adb-b03e5d07fd21</t>
        </is>
      </c>
      <c r="D810" s="4" t="n">
        <v>46314.24595227787</v>
      </c>
      <c r="E810" s="4" t="n">
        <v>46314.245952278</v>
      </c>
      <c r="F810" t="b">
        <v>1</v>
      </c>
      <c r="G810" t="n">
        <v/>
      </c>
      <c r="H810" t="inlineStr">
        <is>
          <t>PLY</t>
        </is>
      </c>
      <c r="I810" t="inlineStr">
        <is>
          <t>Playside Studios Ltd</t>
        </is>
      </c>
      <c r="J810" t="inlineStr">
        <is>
          <t>AUD</t>
        </is>
      </c>
      <c r="K810" s="5" t="inlineStr">
        <is>
          <t>01a152b9-6ee2-7577-bddd-382bc3853fde</t>
        </is>
      </c>
      <c r="M810" t="inlineStr">
        <is>
          <t>UNKNOWN</t>
        </is>
      </c>
      <c r="N810" t="inlineStr">
        <is>
          <t>DEFAULT</t>
        </is>
      </c>
      <c r="Q810" t="n">
        <v>0</v>
      </c>
      <c r="R810" t="inlineStr">
        <is>
          <t>AUD</t>
        </is>
      </c>
      <c r="S810" t="n">
        <v>0</v>
      </c>
      <c r="T810" t="inlineStr">
        <is>
          <t>AUD</t>
        </is>
      </c>
      <c r="U810" t="n">
        <v>0</v>
      </c>
    </row>
    <row r="811">
      <c r="A811" s="5" t="inlineStr">
        <is>
          <t>01a152b9-7ce9-7561-b10a-b02842f8fc46</t>
        </is>
      </c>
      <c r="C811" s="5" t="inlineStr">
        <is>
          <t>01a152b9-6e67-75da-8adb-b03e5d07fd21</t>
        </is>
      </c>
      <c r="D811" s="4" t="n">
        <v>46314.2459523307</v>
      </c>
      <c r="E811" s="4" t="n">
        <v>46314.2459523309</v>
      </c>
      <c r="F811" t="b">
        <v>1</v>
      </c>
      <c r="G811" t="n">
        <v/>
      </c>
      <c r="H811" t="inlineStr">
        <is>
          <t>DGL</t>
        </is>
      </c>
      <c r="I811" t="inlineStr">
        <is>
          <t>DGL Group Ltd</t>
        </is>
      </c>
      <c r="J811" t="inlineStr">
        <is>
          <t>AUD</t>
        </is>
      </c>
      <c r="K811" s="5" t="inlineStr">
        <is>
          <t>01a152b9-6ee2-7577-bddd-382bc3853fde</t>
        </is>
      </c>
      <c r="M811" t="inlineStr">
        <is>
          <t>UNKNOWN</t>
        </is>
      </c>
      <c r="N811" t="inlineStr">
        <is>
          <t>DEFAULT</t>
        </is>
      </c>
      <c r="Q811" t="n">
        <v>0</v>
      </c>
      <c r="R811" t="inlineStr">
        <is>
          <t>AUD</t>
        </is>
      </c>
      <c r="S811" t="n">
        <v>0</v>
      </c>
      <c r="T811" t="inlineStr">
        <is>
          <t>AUD</t>
        </is>
      </c>
      <c r="U811" t="n">
        <v>0</v>
      </c>
    </row>
    <row r="812">
      <c r="A812" s="5" t="inlineStr">
        <is>
          <t>01a152b9-7ced-7558-a6e5-a99592afe636</t>
        </is>
      </c>
      <c r="C812" s="5" t="inlineStr">
        <is>
          <t>01a152b9-6e67-75da-8adb-b03e5d07fd21</t>
        </is>
      </c>
      <c r="D812" s="4" t="n">
        <v>46314.24595238575</v>
      </c>
      <c r="E812" s="4" t="n">
        <v>46314.2459523859</v>
      </c>
      <c r="F812" t="b">
        <v>1</v>
      </c>
      <c r="G812" t="n">
        <v/>
      </c>
      <c r="H812" t="inlineStr">
        <is>
          <t>HJPN</t>
        </is>
      </c>
      <c r="I812" t="inlineStr">
        <is>
          <t>Betashares Japan Currency Hedged ETF</t>
        </is>
      </c>
      <c r="J812" t="inlineStr">
        <is>
          <t>AUD</t>
        </is>
      </c>
      <c r="K812" s="5" t="inlineStr">
        <is>
          <t>01a152b9-6ee2-7577-bddd-382bc3853fde</t>
        </is>
      </c>
      <c r="M812" t="inlineStr">
        <is>
          <t>UNKNOWN</t>
        </is>
      </c>
      <c r="N812" t="inlineStr">
        <is>
          <t>DEFAULT</t>
        </is>
      </c>
      <c r="Q812" t="n">
        <v>0</v>
      </c>
      <c r="R812" t="inlineStr">
        <is>
          <t>AUD</t>
        </is>
      </c>
      <c r="S812" t="n">
        <v>0</v>
      </c>
      <c r="T812" t="inlineStr">
        <is>
          <t>AUD</t>
        </is>
      </c>
      <c r="U812" t="n">
        <v>0</v>
      </c>
    </row>
    <row r="813">
      <c r="A813" s="5" t="inlineStr">
        <is>
          <t>01a152b9-7cf1-73ab-871d-a9fccdfc3953</t>
        </is>
      </c>
      <c r="C813" s="5" t="inlineStr">
        <is>
          <t>01a152b9-6e67-75da-8adb-b03e5d07fd21</t>
        </is>
      </c>
      <c r="D813" s="4" t="n">
        <v>46314.24595243033</v>
      </c>
      <c r="E813" s="4" t="n">
        <v>46314.24595243047</v>
      </c>
      <c r="F813" t="b">
        <v>1</v>
      </c>
      <c r="G813" t="n">
        <v/>
      </c>
      <c r="H813" t="inlineStr">
        <is>
          <t>CLX</t>
        </is>
      </c>
      <c r="I813" t="inlineStr">
        <is>
          <t>Cti Logistics Ltd</t>
        </is>
      </c>
      <c r="J813" t="inlineStr">
        <is>
          <t>AUD</t>
        </is>
      </c>
      <c r="K813" s="5" t="inlineStr">
        <is>
          <t>01a152b9-6ee2-7577-bddd-382bc3853fde</t>
        </is>
      </c>
      <c r="M813" t="inlineStr">
        <is>
          <t>UNKNOWN</t>
        </is>
      </c>
      <c r="N813" t="inlineStr">
        <is>
          <t>DEFAULT</t>
        </is>
      </c>
      <c r="Q813" t="n">
        <v>0</v>
      </c>
      <c r="R813" t="inlineStr">
        <is>
          <t>AUD</t>
        </is>
      </c>
      <c r="S813" t="n">
        <v>0</v>
      </c>
      <c r="T813" t="inlineStr">
        <is>
          <t>AUD</t>
        </is>
      </c>
      <c r="U813" t="n">
        <v>0</v>
      </c>
    </row>
    <row r="814">
      <c r="A814" s="5" t="inlineStr">
        <is>
          <t>01a152b9-7cf5-770c-8b83-fcff3719d6ad</t>
        </is>
      </c>
      <c r="C814" s="5" t="inlineStr">
        <is>
          <t>01a152b9-6e67-75da-8adb-b03e5d07fd21</t>
        </is>
      </c>
      <c r="D814" s="4" t="n">
        <v>46314.24595247259</v>
      </c>
      <c r="E814" s="4" t="n">
        <v>46314.24595247271</v>
      </c>
      <c r="F814" t="b">
        <v>1</v>
      </c>
      <c r="G814" t="n">
        <v/>
      </c>
      <c r="H814" t="inlineStr">
        <is>
          <t>TER</t>
        </is>
      </c>
      <c r="I814" t="inlineStr">
        <is>
          <t>Terracom Ltd</t>
        </is>
      </c>
      <c r="J814" t="inlineStr">
        <is>
          <t>AUD</t>
        </is>
      </c>
      <c r="K814" s="5" t="inlineStr">
        <is>
          <t>01a152b9-6ee2-7577-bddd-382bc3853fde</t>
        </is>
      </c>
      <c r="M814" t="inlineStr">
        <is>
          <t>UNKNOWN</t>
        </is>
      </c>
      <c r="N814" t="inlineStr">
        <is>
          <t>DEFAULT</t>
        </is>
      </c>
      <c r="Q814" t="n">
        <v>0</v>
      </c>
      <c r="R814" t="inlineStr">
        <is>
          <t>AUD</t>
        </is>
      </c>
      <c r="S814" t="n">
        <v>0</v>
      </c>
      <c r="T814" t="inlineStr">
        <is>
          <t>AUD</t>
        </is>
      </c>
      <c r="U814" t="n">
        <v>0</v>
      </c>
    </row>
    <row r="815">
      <c r="A815" s="5" t="inlineStr">
        <is>
          <t>01a152b9-7cf9-76c6-9fad-ee6f15b3aaf7</t>
        </is>
      </c>
      <c r="C815" s="5" t="inlineStr">
        <is>
          <t>01a152b9-6e67-75da-8adb-b03e5d07fd21</t>
        </is>
      </c>
      <c r="D815" s="4" t="n">
        <v>46314.24595251387</v>
      </c>
      <c r="E815" s="4" t="n">
        <v>46314.24595251399</v>
      </c>
      <c r="F815" t="b">
        <v>1</v>
      </c>
      <c r="G815" t="n">
        <v/>
      </c>
      <c r="H815" t="inlineStr">
        <is>
          <t>AGE</t>
        </is>
      </c>
      <c r="I815" t="inlineStr">
        <is>
          <t>Alligator Energy Ltd</t>
        </is>
      </c>
      <c r="J815" t="inlineStr">
        <is>
          <t>AUD</t>
        </is>
      </c>
      <c r="K815" s="5" t="inlineStr">
        <is>
          <t>01a152b9-6ee2-7577-bddd-382bc3853fde</t>
        </is>
      </c>
      <c r="M815" t="inlineStr">
        <is>
          <t>UNKNOWN</t>
        </is>
      </c>
      <c r="N815" t="inlineStr">
        <is>
          <t>DEFAULT</t>
        </is>
      </c>
      <c r="Q815" t="n">
        <v>0</v>
      </c>
      <c r="R815" t="inlineStr">
        <is>
          <t>AUD</t>
        </is>
      </c>
      <c r="S815" t="n">
        <v>0</v>
      </c>
      <c r="T815" t="inlineStr">
        <is>
          <t>AUD</t>
        </is>
      </c>
      <c r="U815" t="n">
        <v>0</v>
      </c>
    </row>
    <row r="816">
      <c r="A816" s="5" t="inlineStr">
        <is>
          <t>01a152b9-7cfc-7746-9982-20358ee11375</t>
        </is>
      </c>
      <c r="C816" s="5" t="inlineStr">
        <is>
          <t>01a152b9-6e67-75da-8adb-b03e5d07fd21</t>
        </is>
      </c>
      <c r="D816" s="4" t="n">
        <v>46314.24595255199</v>
      </c>
      <c r="E816" s="4" t="n">
        <v>46314.24595255213</v>
      </c>
      <c r="F816" t="b">
        <v>1</v>
      </c>
      <c r="G816" t="n">
        <v/>
      </c>
      <c r="H816" t="inlineStr">
        <is>
          <t>EIQ</t>
        </is>
      </c>
      <c r="I816" t="inlineStr">
        <is>
          <t>Echoiq Ltd</t>
        </is>
      </c>
      <c r="J816" t="inlineStr">
        <is>
          <t>AUD</t>
        </is>
      </c>
      <c r="K816" s="5" t="inlineStr">
        <is>
          <t>01a152b9-6ee2-7577-bddd-382bc3853fde</t>
        </is>
      </c>
      <c r="M816" t="inlineStr">
        <is>
          <t>UNKNOWN</t>
        </is>
      </c>
      <c r="N816" t="inlineStr">
        <is>
          <t>DEFAULT</t>
        </is>
      </c>
      <c r="Q816" t="n">
        <v>0</v>
      </c>
      <c r="R816" t="inlineStr">
        <is>
          <t>AUD</t>
        </is>
      </c>
      <c r="S816" t="n">
        <v>0</v>
      </c>
      <c r="T816" t="inlineStr">
        <is>
          <t>AUD</t>
        </is>
      </c>
      <c r="U816" t="n">
        <v>0</v>
      </c>
    </row>
    <row r="817">
      <c r="A817" s="5" t="inlineStr">
        <is>
          <t>01a152b9-7d00-7364-90c1-56be55c9bb43</t>
        </is>
      </c>
      <c r="C817" s="5" t="inlineStr">
        <is>
          <t>01a152b9-6e67-75da-8adb-b03e5d07fd21</t>
        </is>
      </c>
      <c r="D817" s="4" t="n">
        <v>46314.24595259505</v>
      </c>
      <c r="E817" s="4" t="n">
        <v>46314.24595259517</v>
      </c>
      <c r="F817" t="b">
        <v>1</v>
      </c>
      <c r="G817" t="n">
        <v/>
      </c>
      <c r="H817" t="inlineStr">
        <is>
          <t>ACE</t>
        </is>
      </c>
      <c r="I817" t="inlineStr">
        <is>
          <t>Acusensus Ltd</t>
        </is>
      </c>
      <c r="J817" t="inlineStr">
        <is>
          <t>AUD</t>
        </is>
      </c>
      <c r="K817" s="5" t="inlineStr">
        <is>
          <t>01a152b9-6ee2-7577-bddd-382bc3853fde</t>
        </is>
      </c>
      <c r="M817" t="inlineStr">
        <is>
          <t>UNKNOWN</t>
        </is>
      </c>
      <c r="N817" t="inlineStr">
        <is>
          <t>DEFAULT</t>
        </is>
      </c>
      <c r="Q817" t="n">
        <v>0</v>
      </c>
      <c r="R817" t="inlineStr">
        <is>
          <t>AUD</t>
        </is>
      </c>
      <c r="S817" t="n">
        <v>0</v>
      </c>
      <c r="T817" t="inlineStr">
        <is>
          <t>AUD</t>
        </is>
      </c>
      <c r="U817" t="n">
        <v>0</v>
      </c>
    </row>
    <row r="818">
      <c r="A818" s="5" t="inlineStr">
        <is>
          <t>01a152b9-7d03-75d8-beb8-5d85a1ef2d3c</t>
        </is>
      </c>
      <c r="C818" s="5" t="inlineStr">
        <is>
          <t>01a152b9-6e67-75da-8adb-b03e5d07fd21</t>
        </is>
      </c>
      <c r="D818" s="4" t="n">
        <v>46314.24595263108</v>
      </c>
      <c r="E818" s="4" t="n">
        <v>46314.2459526312</v>
      </c>
      <c r="F818" t="b">
        <v>1</v>
      </c>
      <c r="G818" t="n">
        <v/>
      </c>
      <c r="H818" t="inlineStr">
        <is>
          <t>BSUB</t>
        </is>
      </c>
      <c r="I818" t="inlineStr">
        <is>
          <t>Betashares Aus Major Bank Subordinated Debt ETF</t>
        </is>
      </c>
      <c r="J818" t="inlineStr">
        <is>
          <t>AUD</t>
        </is>
      </c>
      <c r="K818" s="5" t="inlineStr">
        <is>
          <t>01a152b9-6ee2-7577-bddd-382bc3853fde</t>
        </is>
      </c>
      <c r="M818" t="inlineStr">
        <is>
          <t>UNKNOWN</t>
        </is>
      </c>
      <c r="N818" t="inlineStr">
        <is>
          <t>DEFAULT</t>
        </is>
      </c>
      <c r="Q818" t="n">
        <v>0</v>
      </c>
      <c r="R818" t="inlineStr">
        <is>
          <t>AUD</t>
        </is>
      </c>
      <c r="S818" t="n">
        <v>0</v>
      </c>
      <c r="T818" t="inlineStr">
        <is>
          <t>AUD</t>
        </is>
      </c>
      <c r="U818" t="n">
        <v>0</v>
      </c>
    </row>
    <row r="819">
      <c r="A819" s="5" t="inlineStr">
        <is>
          <t>01a152b9-7d06-7449-bf5e-cf90f82ef923</t>
        </is>
      </c>
      <c r="C819" s="5" t="inlineStr">
        <is>
          <t>01a152b9-6e67-75da-8adb-b03e5d07fd21</t>
        </is>
      </c>
      <c r="D819" s="4" t="n">
        <v>46314.2459526686</v>
      </c>
      <c r="E819" s="4" t="n">
        <v>46314.2459526687</v>
      </c>
      <c r="F819" t="b">
        <v>1</v>
      </c>
      <c r="G819" t="n">
        <v/>
      </c>
      <c r="H819" t="inlineStr">
        <is>
          <t>BOC</t>
        </is>
      </c>
      <c r="I819" t="inlineStr">
        <is>
          <t>Bougainville Copper Ltd</t>
        </is>
      </c>
      <c r="J819" t="inlineStr">
        <is>
          <t>AUD</t>
        </is>
      </c>
      <c r="K819" s="5" t="inlineStr">
        <is>
          <t>01a152b9-6ee2-7577-bddd-382bc3853fde</t>
        </is>
      </c>
      <c r="M819" t="inlineStr">
        <is>
          <t>UNKNOWN</t>
        </is>
      </c>
      <c r="N819" t="inlineStr">
        <is>
          <t>DEFAULT</t>
        </is>
      </c>
      <c r="Q819" t="n">
        <v>0</v>
      </c>
      <c r="R819" t="inlineStr">
        <is>
          <t>AUD</t>
        </is>
      </c>
      <c r="S819" t="n">
        <v>0</v>
      </c>
      <c r="T819" t="inlineStr">
        <is>
          <t>AUD</t>
        </is>
      </c>
      <c r="U819" t="n">
        <v>0</v>
      </c>
    </row>
    <row r="820">
      <c r="A820" s="5" t="inlineStr">
        <is>
          <t>01a152b9-7d0a-713a-9b01-da6cf5d7a2dc</t>
        </is>
      </c>
      <c r="C820" s="5" t="inlineStr">
        <is>
          <t>01a152b9-6e67-75da-8adb-b03e5d07fd21</t>
        </is>
      </c>
      <c r="D820" s="4" t="n">
        <v>46314.24595271065</v>
      </c>
      <c r="E820" s="4" t="n">
        <v>46314.24595271076</v>
      </c>
      <c r="F820" t="b">
        <v>1</v>
      </c>
      <c r="G820" t="n">
        <v/>
      </c>
      <c r="H820" t="inlineStr">
        <is>
          <t>ISO</t>
        </is>
      </c>
      <c r="I820" t="inlineStr">
        <is>
          <t>Ishares S&amp;P/ASX Small Ordinaries ETF</t>
        </is>
      </c>
      <c r="J820" t="inlineStr">
        <is>
          <t>AUD</t>
        </is>
      </c>
      <c r="K820" s="5" t="inlineStr">
        <is>
          <t>01a152b9-6ee2-7577-bddd-382bc3853fde</t>
        </is>
      </c>
      <c r="M820" t="inlineStr">
        <is>
          <t>UNKNOWN</t>
        </is>
      </c>
      <c r="N820" t="inlineStr">
        <is>
          <t>DEFAULT</t>
        </is>
      </c>
      <c r="Q820" t="n">
        <v>0</v>
      </c>
      <c r="R820" t="inlineStr">
        <is>
          <t>AUD</t>
        </is>
      </c>
      <c r="S820" t="n">
        <v>0</v>
      </c>
      <c r="T820" t="inlineStr">
        <is>
          <t>AUD</t>
        </is>
      </c>
      <c r="U820" t="n">
        <v>0</v>
      </c>
    </row>
    <row r="821">
      <c r="A821" s="5" t="inlineStr">
        <is>
          <t>01a152b9-7d0d-7609-8476-aa967d0c4d0f</t>
        </is>
      </c>
      <c r="C821" s="5" t="inlineStr">
        <is>
          <t>01a152b9-6e67-75da-8adb-b03e5d07fd21</t>
        </is>
      </c>
      <c r="D821" s="4" t="n">
        <v>46314.24595274738</v>
      </c>
      <c r="E821" s="4" t="n">
        <v>46314.24595274751</v>
      </c>
      <c r="F821" t="b">
        <v>1</v>
      </c>
      <c r="G821" t="n">
        <v/>
      </c>
      <c r="H821" t="inlineStr">
        <is>
          <t>BRL</t>
        </is>
      </c>
      <c r="I821" t="inlineStr">
        <is>
          <t>Bathurst Resources Ltd</t>
        </is>
      </c>
      <c r="J821" t="inlineStr">
        <is>
          <t>AUD</t>
        </is>
      </c>
      <c r="K821" s="5" t="inlineStr">
        <is>
          <t>01a152b9-6ee2-7577-bddd-382bc3853fde</t>
        </is>
      </c>
      <c r="M821" t="inlineStr">
        <is>
          <t>UNKNOWN</t>
        </is>
      </c>
      <c r="N821" t="inlineStr">
        <is>
          <t>DEFAULT</t>
        </is>
      </c>
      <c r="Q821" t="n">
        <v>0</v>
      </c>
      <c r="R821" t="inlineStr">
        <is>
          <t>AUD</t>
        </is>
      </c>
      <c r="S821" t="n">
        <v>0</v>
      </c>
      <c r="T821" t="inlineStr">
        <is>
          <t>AUD</t>
        </is>
      </c>
      <c r="U821" t="n">
        <v>0</v>
      </c>
    </row>
    <row r="822">
      <c r="A822" s="5" t="inlineStr">
        <is>
          <t>01a152b9-7d11-7228-b99f-9e8bb94764c4</t>
        </is>
      </c>
      <c r="C822" s="5" t="inlineStr">
        <is>
          <t>01a152b9-6e67-75da-8adb-b03e5d07fd21</t>
        </is>
      </c>
      <c r="D822" s="4" t="n">
        <v>46314.24595279239</v>
      </c>
      <c r="E822" s="4" t="n">
        <v>46314.24595279251</v>
      </c>
      <c r="F822" t="b">
        <v>1</v>
      </c>
      <c r="G822" t="n">
        <v/>
      </c>
      <c r="H822" t="inlineStr">
        <is>
          <t>RNU</t>
        </is>
      </c>
      <c r="I822" t="inlineStr">
        <is>
          <t>Renascor Resources Ltd</t>
        </is>
      </c>
      <c r="J822" t="inlineStr">
        <is>
          <t>AUD</t>
        </is>
      </c>
      <c r="K822" s="5" t="inlineStr">
        <is>
          <t>01a152b9-6ee2-7577-bddd-382bc3853fde</t>
        </is>
      </c>
      <c r="M822" t="inlineStr">
        <is>
          <t>UNKNOWN</t>
        </is>
      </c>
      <c r="N822" t="inlineStr">
        <is>
          <t>DEFAULT</t>
        </is>
      </c>
      <c r="Q822" t="n">
        <v>0</v>
      </c>
      <c r="R822" t="inlineStr">
        <is>
          <t>AUD</t>
        </is>
      </c>
      <c r="S822" t="n">
        <v>0</v>
      </c>
      <c r="T822" t="inlineStr">
        <is>
          <t>AUD</t>
        </is>
      </c>
      <c r="U822" t="n">
        <v>0</v>
      </c>
    </row>
    <row r="823">
      <c r="A823" s="5" t="inlineStr">
        <is>
          <t>01a152b9-7d14-72b8-aea0-49f5ef153b31</t>
        </is>
      </c>
      <c r="C823" s="5" t="inlineStr">
        <is>
          <t>01a152b9-6e67-75da-8adb-b03e5d07fd21</t>
        </is>
      </c>
      <c r="D823" s="4" t="n">
        <v>46314.2459528349</v>
      </c>
      <c r="E823" s="4" t="n">
        <v>46314.245952835</v>
      </c>
      <c r="F823" t="b">
        <v>1</v>
      </c>
      <c r="G823" t="n">
        <v/>
      </c>
      <c r="H823" t="inlineStr">
        <is>
          <t>NOL</t>
        </is>
      </c>
      <c r="I823" t="inlineStr">
        <is>
          <t>Nobleoak Life Ltd</t>
        </is>
      </c>
      <c r="J823" t="inlineStr">
        <is>
          <t>AUD</t>
        </is>
      </c>
      <c r="K823" s="5" t="inlineStr">
        <is>
          <t>01a152b9-6ee2-7577-bddd-382bc3853fde</t>
        </is>
      </c>
      <c r="M823" t="inlineStr">
        <is>
          <t>UNKNOWN</t>
        </is>
      </c>
      <c r="N823" t="inlineStr">
        <is>
          <t>DEFAULT</t>
        </is>
      </c>
      <c r="Q823" t="n">
        <v>0</v>
      </c>
      <c r="R823" t="inlineStr">
        <is>
          <t>AUD</t>
        </is>
      </c>
      <c r="S823" t="n">
        <v>0</v>
      </c>
      <c r="T823" t="inlineStr">
        <is>
          <t>AUD</t>
        </is>
      </c>
      <c r="U823" t="n">
        <v>0</v>
      </c>
    </row>
    <row r="824">
      <c r="A824" s="5" t="inlineStr">
        <is>
          <t>01a152b9-7d18-7660-b7f6-d921f58b30f2</t>
        </is>
      </c>
      <c r="C824" s="5" t="inlineStr">
        <is>
          <t>01a152b9-6e67-75da-8adb-b03e5d07fd21</t>
        </is>
      </c>
      <c r="D824" s="4" t="n">
        <v>46314.24595288221</v>
      </c>
      <c r="E824" s="4" t="n">
        <v>46314.24595288232</v>
      </c>
      <c r="F824" t="b">
        <v>1</v>
      </c>
      <c r="G824" t="n">
        <v/>
      </c>
      <c r="H824" t="inlineStr">
        <is>
          <t>VVA</t>
        </is>
      </c>
      <c r="I824" t="inlineStr">
        <is>
          <t>Viva Leisure Ltd</t>
        </is>
      </c>
      <c r="J824" t="inlineStr">
        <is>
          <t>AUD</t>
        </is>
      </c>
      <c r="K824" s="5" t="inlineStr">
        <is>
          <t>01a152b9-6ee2-7577-bddd-382bc3853fde</t>
        </is>
      </c>
      <c r="M824" t="inlineStr">
        <is>
          <t>UNKNOWN</t>
        </is>
      </c>
      <c r="N824" t="inlineStr">
        <is>
          <t>DEFAULT</t>
        </is>
      </c>
      <c r="Q824" t="n">
        <v>0</v>
      </c>
      <c r="R824" t="inlineStr">
        <is>
          <t>AUD</t>
        </is>
      </c>
      <c r="S824" t="n">
        <v>0</v>
      </c>
      <c r="T824" t="inlineStr">
        <is>
          <t>AUD</t>
        </is>
      </c>
      <c r="U824" t="n">
        <v>0</v>
      </c>
    </row>
    <row r="825">
      <c r="A825" s="5" t="inlineStr">
        <is>
          <t>01a152b9-7d1c-7395-8ca4-71670d93ec40</t>
        </is>
      </c>
      <c r="C825" s="5" t="inlineStr">
        <is>
          <t>01a152b9-6e67-75da-8adb-b03e5d07fd21</t>
        </is>
      </c>
      <c r="D825" s="4" t="n">
        <v>46314.24595292064</v>
      </c>
      <c r="E825" s="4" t="n">
        <v>46314.24595292074</v>
      </c>
      <c r="F825" t="b">
        <v>1</v>
      </c>
      <c r="G825" t="n">
        <v/>
      </c>
      <c r="H825" t="inlineStr">
        <is>
          <t>PRG</t>
        </is>
      </c>
      <c r="I825" t="inlineStr">
        <is>
          <t>PRL Global Ltd</t>
        </is>
      </c>
      <c r="J825" t="inlineStr">
        <is>
          <t>AUD</t>
        </is>
      </c>
      <c r="K825" s="5" t="inlineStr">
        <is>
          <t>01a152b9-6ee2-7577-bddd-382bc3853fde</t>
        </is>
      </c>
      <c r="M825" t="inlineStr">
        <is>
          <t>UNKNOWN</t>
        </is>
      </c>
      <c r="N825" t="inlineStr">
        <is>
          <t>DEFAULT</t>
        </is>
      </c>
      <c r="Q825" t="n">
        <v>0</v>
      </c>
      <c r="R825" t="inlineStr">
        <is>
          <t>AUD</t>
        </is>
      </c>
      <c r="S825" t="n">
        <v>0</v>
      </c>
      <c r="T825" t="inlineStr">
        <is>
          <t>AUD</t>
        </is>
      </c>
      <c r="U825" t="n">
        <v>0</v>
      </c>
    </row>
    <row r="826">
      <c r="A826" s="5" t="inlineStr">
        <is>
          <t>01a152b9-7d1f-7647-a2db-a77f5de40a68</t>
        </is>
      </c>
      <c r="C826" s="5" t="inlineStr">
        <is>
          <t>01a152b9-6e67-75da-8adb-b03e5d07fd21</t>
        </is>
      </c>
      <c r="D826" s="4" t="n">
        <v>46314.2459529576</v>
      </c>
      <c r="E826" s="4" t="n">
        <v>46314.24595295771</v>
      </c>
      <c r="F826" t="b">
        <v>1</v>
      </c>
      <c r="G826" t="n">
        <v/>
      </c>
      <c r="H826" t="inlineStr">
        <is>
          <t>TRJ</t>
        </is>
      </c>
      <c r="I826" t="inlineStr">
        <is>
          <t>Trajan Group Holdings Ltd</t>
        </is>
      </c>
      <c r="J826" t="inlineStr">
        <is>
          <t>AUD</t>
        </is>
      </c>
      <c r="K826" s="5" t="inlineStr">
        <is>
          <t>01a152b9-6ee2-7577-bddd-382bc3853fde</t>
        </is>
      </c>
      <c r="M826" t="inlineStr">
        <is>
          <t>UNKNOWN</t>
        </is>
      </c>
      <c r="N826" t="inlineStr">
        <is>
          <t>DEFAULT</t>
        </is>
      </c>
      <c r="Q826" t="n">
        <v>0</v>
      </c>
      <c r="R826" t="inlineStr">
        <is>
          <t>AUD</t>
        </is>
      </c>
      <c r="S826" t="n">
        <v>0</v>
      </c>
      <c r="T826" t="inlineStr">
        <is>
          <t>AUD</t>
        </is>
      </c>
      <c r="U826" t="n">
        <v>0</v>
      </c>
    </row>
    <row r="827">
      <c r="A827" s="5" t="inlineStr">
        <is>
          <t>01a152b9-7d23-7711-a79e-c1d211382bb6</t>
        </is>
      </c>
      <c r="C827" s="5" t="inlineStr">
        <is>
          <t>01a152b9-6e67-75da-8adb-b03e5d07fd21</t>
        </is>
      </c>
      <c r="D827" s="4" t="n">
        <v>46314.24595300094</v>
      </c>
      <c r="E827" s="4" t="n">
        <v>46314.24595300104</v>
      </c>
      <c r="F827" t="b">
        <v>1</v>
      </c>
      <c r="G827" t="n">
        <v/>
      </c>
      <c r="H827" t="inlineStr">
        <is>
          <t>SXL</t>
        </is>
      </c>
      <c r="I827" t="inlineStr">
        <is>
          <t>Southern Cross Media Group Ltd</t>
        </is>
      </c>
      <c r="J827" t="inlineStr">
        <is>
          <t>AUD</t>
        </is>
      </c>
      <c r="K827" s="5" t="inlineStr">
        <is>
          <t>01a152b9-6ee2-7577-bddd-382bc3853fde</t>
        </is>
      </c>
      <c r="M827" t="inlineStr">
        <is>
          <t>UNKNOWN</t>
        </is>
      </c>
      <c r="N827" t="inlineStr">
        <is>
          <t>DEFAULT</t>
        </is>
      </c>
      <c r="Q827" t="n">
        <v>0</v>
      </c>
      <c r="R827" t="inlineStr">
        <is>
          <t>AUD</t>
        </is>
      </c>
      <c r="S827" t="n">
        <v>0</v>
      </c>
      <c r="T827" t="inlineStr">
        <is>
          <t>AUD</t>
        </is>
      </c>
      <c r="U827" t="n">
        <v>0</v>
      </c>
    </row>
    <row r="828">
      <c r="A828" s="5" t="inlineStr">
        <is>
          <t>01a152b9-7d26-7539-bd9b-31b1b5202804</t>
        </is>
      </c>
      <c r="C828" s="5" t="inlineStr">
        <is>
          <t>01a152b9-6e67-75da-8adb-b03e5d07fd21</t>
        </is>
      </c>
      <c r="D828" s="4" t="n">
        <v>46314.24595304137</v>
      </c>
      <c r="E828" s="4" t="n">
        <v>46314.24595304147</v>
      </c>
      <c r="F828" t="b">
        <v>1</v>
      </c>
      <c r="G828" t="n">
        <v/>
      </c>
      <c r="H828" t="inlineStr">
        <is>
          <t>LFSPA</t>
        </is>
      </c>
      <c r="I828" t="inlineStr">
        <is>
          <t>Latitude Group Holdings Ltd</t>
        </is>
      </c>
      <c r="J828" t="inlineStr">
        <is>
          <t>AUD</t>
        </is>
      </c>
      <c r="K828" s="5" t="inlineStr">
        <is>
          <t>01a152b9-6ee2-7577-bddd-382bc3853fde</t>
        </is>
      </c>
      <c r="M828" t="inlineStr">
        <is>
          <t>UNKNOWN</t>
        </is>
      </c>
      <c r="N828" t="inlineStr">
        <is>
          <t>DEFAULT</t>
        </is>
      </c>
      <c r="Q828" t="n">
        <v>0</v>
      </c>
      <c r="R828" t="inlineStr">
        <is>
          <t>AUD</t>
        </is>
      </c>
      <c r="S828" t="n">
        <v>0</v>
      </c>
      <c r="T828" t="inlineStr">
        <is>
          <t>AUD</t>
        </is>
      </c>
      <c r="U828" t="n">
        <v>0</v>
      </c>
    </row>
    <row r="829">
      <c r="A829" s="5" t="inlineStr">
        <is>
          <t>01a152b9-7d2a-737e-916d-4882d4412b4b</t>
        </is>
      </c>
      <c r="C829" s="5" t="inlineStr">
        <is>
          <t>01a152b9-6e67-75da-8adb-b03e5d07fd21</t>
        </is>
      </c>
      <c r="D829" s="4" t="n">
        <v>46314.24595308538</v>
      </c>
      <c r="E829" s="4" t="n">
        <v>46314.24595308548</v>
      </c>
      <c r="F829" t="b">
        <v>1</v>
      </c>
      <c r="G829" t="n">
        <v/>
      </c>
      <c r="H829" t="inlineStr">
        <is>
          <t>SOM</t>
        </is>
      </c>
      <c r="I829" t="inlineStr">
        <is>
          <t>Somnomed Ltd</t>
        </is>
      </c>
      <c r="J829" t="inlineStr">
        <is>
          <t>AUD</t>
        </is>
      </c>
      <c r="K829" s="5" t="inlineStr">
        <is>
          <t>01a152b9-6ee2-7577-bddd-382bc3853fde</t>
        </is>
      </c>
      <c r="M829" t="inlineStr">
        <is>
          <t>UNKNOWN</t>
        </is>
      </c>
      <c r="N829" t="inlineStr">
        <is>
          <t>DEFAULT</t>
        </is>
      </c>
      <c r="Q829" t="n">
        <v>0</v>
      </c>
      <c r="R829" t="inlineStr">
        <is>
          <t>AUD</t>
        </is>
      </c>
      <c r="S829" t="n">
        <v>0</v>
      </c>
      <c r="T829" t="inlineStr">
        <is>
          <t>AUD</t>
        </is>
      </c>
      <c r="U829" t="n">
        <v>0</v>
      </c>
    </row>
    <row r="830">
      <c r="A830" s="5" t="inlineStr">
        <is>
          <t>01a152b9-7d2d-73ca-b6b3-2a902099f05f</t>
        </is>
      </c>
      <c r="C830" s="5" t="inlineStr">
        <is>
          <t>01a152b9-6e67-75da-8adb-b03e5d07fd21</t>
        </is>
      </c>
      <c r="D830" s="4" t="n">
        <v>46314.24595312335</v>
      </c>
      <c r="E830" s="4" t="n">
        <v>46314.24595312346</v>
      </c>
      <c r="F830" t="b">
        <v>1</v>
      </c>
      <c r="G830" t="n">
        <v/>
      </c>
      <c r="H830" t="inlineStr">
        <is>
          <t>OIL</t>
        </is>
      </c>
      <c r="I830" t="inlineStr">
        <is>
          <t>Optiscan Imaging Ltd</t>
        </is>
      </c>
      <c r="J830" t="inlineStr">
        <is>
          <t>AUD</t>
        </is>
      </c>
      <c r="K830" s="5" t="inlineStr">
        <is>
          <t>01a152b9-6ee2-7577-bddd-382bc3853fde</t>
        </is>
      </c>
      <c r="M830" t="inlineStr">
        <is>
          <t>UNKNOWN</t>
        </is>
      </c>
      <c r="N830" t="inlineStr">
        <is>
          <t>DEFAULT</t>
        </is>
      </c>
      <c r="Q830" t="n">
        <v>0</v>
      </c>
      <c r="R830" t="inlineStr">
        <is>
          <t>AUD</t>
        </is>
      </c>
      <c r="S830" t="n">
        <v>0</v>
      </c>
      <c r="T830" t="inlineStr">
        <is>
          <t>AUD</t>
        </is>
      </c>
      <c r="U830" t="n">
        <v>0</v>
      </c>
    </row>
    <row r="831">
      <c r="A831" s="5" t="inlineStr">
        <is>
          <t>01a152b9-7d30-73f2-9bef-9aa4679b0e3f</t>
        </is>
      </c>
      <c r="C831" s="5" t="inlineStr">
        <is>
          <t>01a152b9-6e67-75da-8adb-b03e5d07fd21</t>
        </is>
      </c>
      <c r="D831" s="4" t="n">
        <v>46314.24595315811</v>
      </c>
      <c r="E831" s="4" t="n">
        <v>46314.24595315822</v>
      </c>
      <c r="F831" t="b">
        <v>1</v>
      </c>
      <c r="G831" t="n">
        <v/>
      </c>
      <c r="H831" t="inlineStr">
        <is>
          <t>CXL</t>
        </is>
      </c>
      <c r="I831" t="inlineStr">
        <is>
          <t>CALIX Ltd</t>
        </is>
      </c>
      <c r="J831" t="inlineStr">
        <is>
          <t>AUD</t>
        </is>
      </c>
      <c r="K831" s="5" t="inlineStr">
        <is>
          <t>01a152b9-6ee2-7577-bddd-382bc3853fde</t>
        </is>
      </c>
      <c r="M831" t="inlineStr">
        <is>
          <t>UNKNOWN</t>
        </is>
      </c>
      <c r="N831" t="inlineStr">
        <is>
          <t>DEFAULT</t>
        </is>
      </c>
      <c r="Q831" t="n">
        <v>0</v>
      </c>
      <c r="R831" t="inlineStr">
        <is>
          <t>AUD</t>
        </is>
      </c>
      <c r="S831" t="n">
        <v>0</v>
      </c>
      <c r="T831" t="inlineStr">
        <is>
          <t>AUD</t>
        </is>
      </c>
      <c r="U831" t="n">
        <v>0</v>
      </c>
    </row>
    <row r="832">
      <c r="A832" s="5" t="inlineStr">
        <is>
          <t>01a152b9-7d34-71c7-b18b-f489a9366ebe</t>
        </is>
      </c>
      <c r="C832" s="5" t="inlineStr">
        <is>
          <t>01a152b9-6e67-75da-8adb-b03e5d07fd21</t>
        </is>
      </c>
      <c r="D832" s="4" t="n">
        <v>46314.24595319889</v>
      </c>
      <c r="E832" s="4" t="n">
        <v>46314.245953199</v>
      </c>
      <c r="F832" t="b">
        <v>1</v>
      </c>
      <c r="G832" t="n">
        <v/>
      </c>
      <c r="H832" t="inlineStr">
        <is>
          <t>SEC</t>
        </is>
      </c>
      <c r="I832" t="inlineStr">
        <is>
          <t>Spheria Emerging Companies Ltd</t>
        </is>
      </c>
      <c r="J832" t="inlineStr">
        <is>
          <t>AUD</t>
        </is>
      </c>
      <c r="K832" s="5" t="inlineStr">
        <is>
          <t>01a152b9-6ee2-7577-bddd-382bc3853fde</t>
        </is>
      </c>
      <c r="M832" t="inlineStr">
        <is>
          <t>UNKNOWN</t>
        </is>
      </c>
      <c r="N832" t="inlineStr">
        <is>
          <t>DEFAULT</t>
        </is>
      </c>
      <c r="Q832" t="n">
        <v>0</v>
      </c>
      <c r="R832" t="inlineStr">
        <is>
          <t>AUD</t>
        </is>
      </c>
      <c r="S832" t="n">
        <v>0</v>
      </c>
      <c r="T832" t="inlineStr">
        <is>
          <t>AUD</t>
        </is>
      </c>
      <c r="U832" t="n">
        <v>0</v>
      </c>
    </row>
    <row r="833">
      <c r="A833" s="5" t="inlineStr">
        <is>
          <t>01a152b9-7d37-77a4-bc16-775b0105122e</t>
        </is>
      </c>
      <c r="C833" s="5" t="inlineStr">
        <is>
          <t>01a152b9-6e67-75da-8adb-b03e5d07fd21</t>
        </is>
      </c>
      <c r="D833" s="4" t="n">
        <v>46314.24595323705</v>
      </c>
      <c r="E833" s="4" t="n">
        <v>46314.24595323716</v>
      </c>
      <c r="F833" t="b">
        <v>1</v>
      </c>
      <c r="G833" t="n">
        <v/>
      </c>
      <c r="H833" t="inlineStr">
        <is>
          <t>IXI</t>
        </is>
      </c>
      <c r="I833" t="inlineStr">
        <is>
          <t>Ishares Global Consumer Staples ETF</t>
        </is>
      </c>
      <c r="J833" t="inlineStr">
        <is>
          <t>AUD</t>
        </is>
      </c>
      <c r="K833" s="5" t="inlineStr">
        <is>
          <t>01a152b9-6ee2-7577-bddd-382bc3853fde</t>
        </is>
      </c>
      <c r="M833" t="inlineStr">
        <is>
          <t>UNKNOWN</t>
        </is>
      </c>
      <c r="N833" t="inlineStr">
        <is>
          <t>DEFAULT</t>
        </is>
      </c>
      <c r="Q833" t="n">
        <v>0</v>
      </c>
      <c r="R833" t="inlineStr">
        <is>
          <t>AUD</t>
        </is>
      </c>
      <c r="S833" t="n">
        <v>0</v>
      </c>
      <c r="T833" t="inlineStr">
        <is>
          <t>AUD</t>
        </is>
      </c>
      <c r="U833" t="n">
        <v>0</v>
      </c>
    </row>
    <row r="834">
      <c r="A834" s="5" t="inlineStr">
        <is>
          <t>01a152b9-7d3b-75db-9678-c3ed9dd052e0</t>
        </is>
      </c>
      <c r="C834" s="5" t="inlineStr">
        <is>
          <t>01a152b9-6e67-75da-8adb-b03e5d07fd21</t>
        </is>
      </c>
      <c r="D834" s="4" t="n">
        <v>46314.24595327852</v>
      </c>
      <c r="E834" s="4" t="n">
        <v>46314.24595327862</v>
      </c>
      <c r="F834" t="b">
        <v>1</v>
      </c>
      <c r="G834" t="n">
        <v/>
      </c>
      <c r="H834" t="inlineStr">
        <is>
          <t>GSS</t>
        </is>
      </c>
      <c r="I834" t="inlineStr">
        <is>
          <t>Genetic Signatures Ltd</t>
        </is>
      </c>
      <c r="J834" t="inlineStr">
        <is>
          <t>AUD</t>
        </is>
      </c>
      <c r="K834" s="5" t="inlineStr">
        <is>
          <t>01a152b9-6ee2-7577-bddd-382bc3853fde</t>
        </is>
      </c>
      <c r="M834" t="inlineStr">
        <is>
          <t>UNKNOWN</t>
        </is>
      </c>
      <c r="N834" t="inlineStr">
        <is>
          <t>DEFAULT</t>
        </is>
      </c>
      <c r="Q834" t="n">
        <v>0</v>
      </c>
      <c r="R834" t="inlineStr">
        <is>
          <t>AUD</t>
        </is>
      </c>
      <c r="S834" t="n">
        <v>0</v>
      </c>
      <c r="T834" t="inlineStr">
        <is>
          <t>AUD</t>
        </is>
      </c>
      <c r="U834" t="n">
        <v>0</v>
      </c>
    </row>
    <row r="835">
      <c r="A835" s="5" t="inlineStr">
        <is>
          <t>01a152b9-7d3e-713c-824e-4abef66395d6</t>
        </is>
      </c>
      <c r="C835" s="5" t="inlineStr">
        <is>
          <t>01a152b9-6e67-75da-8adb-b03e5d07fd21</t>
        </is>
      </c>
      <c r="D835" s="4" t="n">
        <v>46314.24595331654</v>
      </c>
      <c r="E835" s="4" t="n">
        <v>46314.24595331663</v>
      </c>
      <c r="F835" t="b">
        <v>1</v>
      </c>
      <c r="G835" t="n">
        <v/>
      </c>
      <c r="H835" t="inlineStr">
        <is>
          <t>EVO</t>
        </is>
      </c>
      <c r="I835" t="inlineStr">
        <is>
          <t>Embark Early Education Ltd</t>
        </is>
      </c>
      <c r="J835" t="inlineStr">
        <is>
          <t>AUD</t>
        </is>
      </c>
      <c r="K835" s="5" t="inlineStr">
        <is>
          <t>01a152b9-6ee2-7577-bddd-382bc3853fde</t>
        </is>
      </c>
      <c r="M835" t="inlineStr">
        <is>
          <t>UNKNOWN</t>
        </is>
      </c>
      <c r="N835" t="inlineStr">
        <is>
          <t>DEFAULT</t>
        </is>
      </c>
      <c r="Q835" t="n">
        <v>0</v>
      </c>
      <c r="R835" t="inlineStr">
        <is>
          <t>AUD</t>
        </is>
      </c>
      <c r="S835" t="n">
        <v>0</v>
      </c>
      <c r="T835" t="inlineStr">
        <is>
          <t>AUD</t>
        </is>
      </c>
      <c r="U835" t="n">
        <v>0</v>
      </c>
    </row>
    <row r="836">
      <c r="A836" s="5" t="inlineStr">
        <is>
          <t>01a152b9-7d41-77f7-9e76-2eac60c86e49</t>
        </is>
      </c>
      <c r="C836" s="5" t="inlineStr">
        <is>
          <t>01a152b9-6e67-75da-8adb-b03e5d07fd21</t>
        </is>
      </c>
      <c r="D836" s="4" t="n">
        <v>46314.24595335149</v>
      </c>
      <c r="E836" s="4" t="n">
        <v>46314.24595335159</v>
      </c>
      <c r="F836" t="b">
        <v>1</v>
      </c>
      <c r="G836" t="n">
        <v/>
      </c>
      <c r="H836" t="inlineStr">
        <is>
          <t>ARR</t>
        </is>
      </c>
      <c r="I836" t="inlineStr">
        <is>
          <t>American Rare EARTHS Ltd</t>
        </is>
      </c>
      <c r="J836" t="inlineStr">
        <is>
          <t>AUD</t>
        </is>
      </c>
      <c r="K836" s="5" t="inlineStr">
        <is>
          <t>01a152b9-6ee2-7577-bddd-382bc3853fde</t>
        </is>
      </c>
      <c r="M836" t="inlineStr">
        <is>
          <t>UNKNOWN</t>
        </is>
      </c>
      <c r="N836" t="inlineStr">
        <is>
          <t>DEFAULT</t>
        </is>
      </c>
      <c r="Q836" t="n">
        <v>0</v>
      </c>
      <c r="R836" t="inlineStr">
        <is>
          <t>AUD</t>
        </is>
      </c>
      <c r="S836" t="n">
        <v>0</v>
      </c>
      <c r="T836" t="inlineStr">
        <is>
          <t>AUD</t>
        </is>
      </c>
      <c r="U836" t="n">
        <v>0</v>
      </c>
    </row>
    <row r="837">
      <c r="A837" s="5" t="inlineStr">
        <is>
          <t>01a152b9-7d44-72c5-9d68-279c3de583da</t>
        </is>
      </c>
      <c r="C837" s="5" t="inlineStr">
        <is>
          <t>01a152b9-6e67-75da-8adb-b03e5d07fd21</t>
        </is>
      </c>
      <c r="D837" s="4" t="n">
        <v>46314.24595338818</v>
      </c>
      <c r="E837" s="4" t="n">
        <v>46314.24595338829</v>
      </c>
      <c r="F837" t="b">
        <v>1</v>
      </c>
      <c r="G837" t="n">
        <v/>
      </c>
      <c r="H837" t="inlineStr">
        <is>
          <t>STA</t>
        </is>
      </c>
      <c r="I837" t="inlineStr">
        <is>
          <t>Strandline Resources Ltd</t>
        </is>
      </c>
      <c r="J837" t="inlineStr">
        <is>
          <t>AUD</t>
        </is>
      </c>
      <c r="K837" s="5" t="inlineStr">
        <is>
          <t>01a152b9-6ee2-7577-bddd-382bc3853fde</t>
        </is>
      </c>
      <c r="M837" t="inlineStr">
        <is>
          <t>UNKNOWN</t>
        </is>
      </c>
      <c r="N837" t="inlineStr">
        <is>
          <t>DEFAULT</t>
        </is>
      </c>
      <c r="Q837" t="n">
        <v>0</v>
      </c>
      <c r="R837" t="inlineStr">
        <is>
          <t>AUD</t>
        </is>
      </c>
      <c r="S837" t="n">
        <v>0</v>
      </c>
      <c r="T837" t="inlineStr">
        <is>
          <t>AUD</t>
        </is>
      </c>
      <c r="U837" t="n">
        <v>0</v>
      </c>
    </row>
    <row r="838">
      <c r="A838" s="5" t="inlineStr">
        <is>
          <t>01a152b9-7d48-75a0-bed0-dcf3bb5330a6</t>
        </is>
      </c>
      <c r="C838" s="5" t="inlineStr">
        <is>
          <t>01a152b9-6e67-75da-8adb-b03e5d07fd21</t>
        </is>
      </c>
      <c r="D838" s="4" t="n">
        <v>46314.24595343076</v>
      </c>
      <c r="E838" s="4" t="n">
        <v>46314.24595343092</v>
      </c>
      <c r="F838" t="b">
        <v>1</v>
      </c>
      <c r="G838" t="n">
        <v/>
      </c>
      <c r="H838" t="inlineStr">
        <is>
          <t>MCA</t>
        </is>
      </c>
      <c r="I838" t="inlineStr">
        <is>
          <t>Murray Cod Australia Ltd</t>
        </is>
      </c>
      <c r="J838" t="inlineStr">
        <is>
          <t>AUD</t>
        </is>
      </c>
      <c r="K838" s="5" t="inlineStr">
        <is>
          <t>01a152b9-6ee2-7577-bddd-382bc3853fde</t>
        </is>
      </c>
      <c r="M838" t="inlineStr">
        <is>
          <t>UNKNOWN</t>
        </is>
      </c>
      <c r="N838" t="inlineStr">
        <is>
          <t>DEFAULT</t>
        </is>
      </c>
      <c r="Q838" t="n">
        <v>0</v>
      </c>
      <c r="R838" t="inlineStr">
        <is>
          <t>AUD</t>
        </is>
      </c>
      <c r="S838" t="n">
        <v>0</v>
      </c>
      <c r="T838" t="inlineStr">
        <is>
          <t>AUD</t>
        </is>
      </c>
      <c r="U838" t="n">
        <v>0</v>
      </c>
    </row>
    <row r="839">
      <c r="A839" s="5" t="inlineStr">
        <is>
          <t>01a152b9-7d4c-7287-9f8d-07b8fedd7eab</t>
        </is>
      </c>
      <c r="C839" s="5" t="inlineStr">
        <is>
          <t>01a152b9-6e67-75da-8adb-b03e5d07fd21</t>
        </is>
      </c>
      <c r="D839" s="4" t="n">
        <v>46314.2459534752</v>
      </c>
      <c r="E839" s="4" t="n">
        <v>46314.24595347529</v>
      </c>
      <c r="F839" t="b">
        <v>1</v>
      </c>
      <c r="G839" t="n">
        <v/>
      </c>
      <c r="H839" t="inlineStr">
        <is>
          <t>LNYN</t>
        </is>
      </c>
      <c r="I839" t="inlineStr">
        <is>
          <t>Lanyon Investment Fund Active ETF</t>
        </is>
      </c>
      <c r="J839" t="inlineStr">
        <is>
          <t>AUD</t>
        </is>
      </c>
      <c r="K839" s="5" t="inlineStr">
        <is>
          <t>01a152b9-6ee2-7577-bddd-382bc3853fde</t>
        </is>
      </c>
      <c r="M839" t="inlineStr">
        <is>
          <t>UNKNOWN</t>
        </is>
      </c>
      <c r="N839" t="inlineStr">
        <is>
          <t>DEFAULT</t>
        </is>
      </c>
      <c r="Q839" t="n">
        <v>0</v>
      </c>
      <c r="R839" t="inlineStr">
        <is>
          <t>AUD</t>
        </is>
      </c>
      <c r="S839" t="n">
        <v>0</v>
      </c>
      <c r="T839" t="inlineStr">
        <is>
          <t>AUD</t>
        </is>
      </c>
      <c r="U839" t="n">
        <v>0</v>
      </c>
    </row>
    <row r="840">
      <c r="A840" s="5" t="inlineStr">
        <is>
          <t>01a152b9-7d4f-71bd-aa73-995071909a86</t>
        </is>
      </c>
      <c r="C840" s="5" t="inlineStr">
        <is>
          <t>01a152b9-6e67-75da-8adb-b03e5d07fd21</t>
        </is>
      </c>
      <c r="D840" s="4" t="n">
        <v>46314.24595351282</v>
      </c>
      <c r="E840" s="4" t="n">
        <v>46314.24595351293</v>
      </c>
      <c r="F840" t="b">
        <v>1</v>
      </c>
      <c r="G840" t="n">
        <v/>
      </c>
      <c r="H840" t="inlineStr">
        <is>
          <t>GLB</t>
        </is>
      </c>
      <c r="I840" t="inlineStr">
        <is>
          <t>Globe International Ltd</t>
        </is>
      </c>
      <c r="J840" t="inlineStr">
        <is>
          <t>AUD</t>
        </is>
      </c>
      <c r="K840" s="5" t="inlineStr">
        <is>
          <t>01a152b9-6ee2-7577-bddd-382bc3853fde</t>
        </is>
      </c>
      <c r="M840" t="inlineStr">
        <is>
          <t>UNKNOWN</t>
        </is>
      </c>
      <c r="N840" t="inlineStr">
        <is>
          <t>DEFAULT</t>
        </is>
      </c>
      <c r="Q840" t="n">
        <v>0</v>
      </c>
      <c r="R840" t="inlineStr">
        <is>
          <t>AUD</t>
        </is>
      </c>
      <c r="S840" t="n">
        <v>0</v>
      </c>
      <c r="T840" t="inlineStr">
        <is>
          <t>AUD</t>
        </is>
      </c>
      <c r="U840" t="n">
        <v>0</v>
      </c>
    </row>
    <row r="841">
      <c r="A841" s="5" t="inlineStr">
        <is>
          <t>01a152b9-7d53-7023-9c8f-15631951e415</t>
        </is>
      </c>
      <c r="C841" s="5" t="inlineStr">
        <is>
          <t>01a152b9-6e67-75da-8adb-b03e5d07fd21</t>
        </is>
      </c>
      <c r="D841" s="4" t="n">
        <v>46314.24595355892</v>
      </c>
      <c r="E841" s="4" t="n">
        <v>46314.24595355902</v>
      </c>
      <c r="F841" t="b">
        <v>1</v>
      </c>
      <c r="G841" t="n">
        <v/>
      </c>
      <c r="H841" t="inlineStr">
        <is>
          <t>CYG</t>
        </is>
      </c>
      <c r="I841" t="inlineStr">
        <is>
          <t>Coventry Group Ltd</t>
        </is>
      </c>
      <c r="J841" t="inlineStr">
        <is>
          <t>AUD</t>
        </is>
      </c>
      <c r="K841" s="5" t="inlineStr">
        <is>
          <t>01a152b9-6ee2-7577-bddd-382bc3853fde</t>
        </is>
      </c>
      <c r="M841" t="inlineStr">
        <is>
          <t>UNKNOWN</t>
        </is>
      </c>
      <c r="N841" t="inlineStr">
        <is>
          <t>DEFAULT</t>
        </is>
      </c>
      <c r="Q841" t="n">
        <v>0</v>
      </c>
      <c r="R841" t="inlineStr">
        <is>
          <t>AUD</t>
        </is>
      </c>
      <c r="S841" t="n">
        <v>0</v>
      </c>
      <c r="T841" t="inlineStr">
        <is>
          <t>AUD</t>
        </is>
      </c>
      <c r="U841" t="n">
        <v>0</v>
      </c>
    </row>
    <row r="842">
      <c r="A842" s="5" t="inlineStr">
        <is>
          <t>01a152b9-7d56-70e2-8e26-bc98a5cfcfb1</t>
        </is>
      </c>
      <c r="C842" s="5" t="inlineStr">
        <is>
          <t>01a152b9-6e67-75da-8adb-b03e5d07fd21</t>
        </is>
      </c>
      <c r="D842" s="4" t="n">
        <v>46314.24595359574</v>
      </c>
      <c r="E842" s="4" t="n">
        <v>46314.24595359583</v>
      </c>
      <c r="F842" t="b">
        <v>1</v>
      </c>
      <c r="G842" t="n">
        <v/>
      </c>
      <c r="H842" t="inlineStr">
        <is>
          <t>HNG</t>
        </is>
      </c>
      <c r="I842" t="inlineStr">
        <is>
          <t>Hancock &amp; Gore Ltd</t>
        </is>
      </c>
      <c r="J842" t="inlineStr">
        <is>
          <t>AUD</t>
        </is>
      </c>
      <c r="K842" s="5" t="inlineStr">
        <is>
          <t>01a152b9-6ee2-7577-bddd-382bc3853fde</t>
        </is>
      </c>
      <c r="M842" t="inlineStr">
        <is>
          <t>UNKNOWN</t>
        </is>
      </c>
      <c r="N842" t="inlineStr">
        <is>
          <t>DEFAULT</t>
        </is>
      </c>
      <c r="Q842" t="n">
        <v>0</v>
      </c>
      <c r="R842" t="inlineStr">
        <is>
          <t>AUD</t>
        </is>
      </c>
      <c r="S842" t="n">
        <v>0</v>
      </c>
      <c r="T842" t="inlineStr">
        <is>
          <t>AUD</t>
        </is>
      </c>
      <c r="U842" t="n">
        <v>0</v>
      </c>
    </row>
    <row r="843">
      <c r="A843" s="5" t="inlineStr">
        <is>
          <t>01a152b9-7d59-773e-a258-8bbd505e2f05</t>
        </is>
      </c>
      <c r="C843" s="5" t="inlineStr">
        <is>
          <t>01a152b9-6e67-75da-8adb-b03e5d07fd21</t>
        </is>
      </c>
      <c r="D843" s="4" t="n">
        <v>46314.24595363445</v>
      </c>
      <c r="E843" s="4" t="n">
        <v>46314.24595363456</v>
      </c>
      <c r="F843" t="b">
        <v>1</v>
      </c>
      <c r="G843" t="n">
        <v/>
      </c>
      <c r="H843" t="inlineStr">
        <is>
          <t>TGM</t>
        </is>
      </c>
      <c r="I843" t="inlineStr">
        <is>
          <t>Theta Gold Mines Ltd</t>
        </is>
      </c>
      <c r="J843" t="inlineStr">
        <is>
          <t>AUD</t>
        </is>
      </c>
      <c r="K843" s="5" t="inlineStr">
        <is>
          <t>01a152b9-6ee2-7577-bddd-382bc3853fde</t>
        </is>
      </c>
      <c r="M843" t="inlineStr">
        <is>
          <t>UNKNOWN</t>
        </is>
      </c>
      <c r="N843" t="inlineStr">
        <is>
          <t>DEFAULT</t>
        </is>
      </c>
      <c r="Q843" t="n">
        <v>0</v>
      </c>
      <c r="R843" t="inlineStr">
        <is>
          <t>AUD</t>
        </is>
      </c>
      <c r="S843" t="n">
        <v>0</v>
      </c>
      <c r="T843" t="inlineStr">
        <is>
          <t>AUD</t>
        </is>
      </c>
      <c r="U843" t="n">
        <v>0</v>
      </c>
    </row>
    <row r="844">
      <c r="A844" s="5" t="inlineStr">
        <is>
          <t>01a152b9-7d5d-732f-89cf-aa22e207fcae</t>
        </is>
      </c>
      <c r="C844" s="5" t="inlineStr">
        <is>
          <t>01a152b9-6e67-75da-8adb-b03e5d07fd21</t>
        </is>
      </c>
      <c r="D844" s="4" t="n">
        <v>46314.24595367273</v>
      </c>
      <c r="E844" s="4" t="n">
        <v>46314.24595367286</v>
      </c>
      <c r="F844" t="b">
        <v>1</v>
      </c>
      <c r="G844" t="n">
        <v/>
      </c>
      <c r="H844" t="inlineStr">
        <is>
          <t>CCR</t>
        </is>
      </c>
      <c r="I844" t="inlineStr">
        <is>
          <t>Credit Clear Ltd</t>
        </is>
      </c>
      <c r="J844" t="inlineStr">
        <is>
          <t>AUD</t>
        </is>
      </c>
      <c r="K844" s="5" t="inlineStr">
        <is>
          <t>01a152b9-6ee2-7577-bddd-382bc3853fde</t>
        </is>
      </c>
      <c r="M844" t="inlineStr">
        <is>
          <t>UNKNOWN</t>
        </is>
      </c>
      <c r="N844" t="inlineStr">
        <is>
          <t>DEFAULT</t>
        </is>
      </c>
      <c r="Q844" t="n">
        <v>0</v>
      </c>
      <c r="R844" t="inlineStr">
        <is>
          <t>AUD</t>
        </is>
      </c>
      <c r="S844" t="n">
        <v>0</v>
      </c>
      <c r="T844" t="inlineStr">
        <is>
          <t>AUD</t>
        </is>
      </c>
      <c r="U844" t="n">
        <v>0</v>
      </c>
    </row>
    <row r="845">
      <c r="A845" s="5" t="inlineStr">
        <is>
          <t>01a152b9-7d60-77fd-be2a-eff573d5894f</t>
        </is>
      </c>
      <c r="C845" s="5" t="inlineStr">
        <is>
          <t>01a152b9-6e67-75da-8adb-b03e5d07fd21</t>
        </is>
      </c>
      <c r="D845" s="4" t="n">
        <v>46314.24595370831</v>
      </c>
      <c r="E845" s="4" t="n">
        <v>46314.2459537084</v>
      </c>
      <c r="F845" t="b">
        <v>1</v>
      </c>
      <c r="G845" t="n">
        <v/>
      </c>
      <c r="H845" t="inlineStr">
        <is>
          <t>RFG</t>
        </is>
      </c>
      <c r="I845" t="inlineStr">
        <is>
          <t>Retail Food Group Ltd</t>
        </is>
      </c>
      <c r="J845" t="inlineStr">
        <is>
          <t>AUD</t>
        </is>
      </c>
      <c r="K845" s="5" t="inlineStr">
        <is>
          <t>01a152b9-6ee2-7577-bddd-382bc3853fde</t>
        </is>
      </c>
      <c r="M845" t="inlineStr">
        <is>
          <t>UNKNOWN</t>
        </is>
      </c>
      <c r="N845" t="inlineStr">
        <is>
          <t>DEFAULT</t>
        </is>
      </c>
      <c r="Q845" t="n">
        <v>0</v>
      </c>
      <c r="R845" t="inlineStr">
        <is>
          <t>AUD</t>
        </is>
      </c>
      <c r="S845" t="n">
        <v>0</v>
      </c>
      <c r="T845" t="inlineStr">
        <is>
          <t>AUD</t>
        </is>
      </c>
      <c r="U845" t="n">
        <v>0</v>
      </c>
    </row>
    <row r="846">
      <c r="A846" s="5" t="inlineStr">
        <is>
          <t>01a152b9-7d63-7065-9400-878a75ece369</t>
        </is>
      </c>
      <c r="C846" s="5" t="inlineStr">
        <is>
          <t>01a152b9-6e67-75da-8adb-b03e5d07fd21</t>
        </is>
      </c>
      <c r="D846" s="4" t="n">
        <v>46314.2459537426</v>
      </c>
      <c r="E846" s="4" t="n">
        <v>46314.24595374271</v>
      </c>
      <c r="F846" t="b">
        <v>1</v>
      </c>
      <c r="G846" t="n">
        <v/>
      </c>
      <c r="H846" t="inlineStr">
        <is>
          <t>SHJ</t>
        </is>
      </c>
      <c r="I846" t="inlineStr">
        <is>
          <t>Shine Justice Ltd</t>
        </is>
      </c>
      <c r="J846" t="inlineStr">
        <is>
          <t>AUD</t>
        </is>
      </c>
      <c r="K846" s="5" t="inlineStr">
        <is>
          <t>01a152b9-6ee2-7577-bddd-382bc3853fde</t>
        </is>
      </c>
      <c r="M846" t="inlineStr">
        <is>
          <t>UNKNOWN</t>
        </is>
      </c>
      <c r="N846" t="inlineStr">
        <is>
          <t>DEFAULT</t>
        </is>
      </c>
      <c r="Q846" t="n">
        <v>0</v>
      </c>
      <c r="R846" t="inlineStr">
        <is>
          <t>AUD</t>
        </is>
      </c>
      <c r="S846" t="n">
        <v>0</v>
      </c>
      <c r="T846" t="inlineStr">
        <is>
          <t>AUD</t>
        </is>
      </c>
      <c r="U846" t="n">
        <v>0</v>
      </c>
    </row>
    <row r="847">
      <c r="A847" s="5" t="inlineStr">
        <is>
          <t>01a152b9-7d66-71b3-b483-6c24850047eb</t>
        </is>
      </c>
      <c r="C847" s="5" t="inlineStr">
        <is>
          <t>01a152b9-6e67-75da-8adb-b03e5d07fd21</t>
        </is>
      </c>
      <c r="D847" s="4" t="n">
        <v>46314.24595378218</v>
      </c>
      <c r="E847" s="4" t="n">
        <v>46314.24595378227</v>
      </c>
      <c r="F847" t="b">
        <v>1</v>
      </c>
      <c r="G847" t="n">
        <v/>
      </c>
      <c r="H847" t="inlineStr">
        <is>
          <t>ENR</t>
        </is>
      </c>
      <c r="I847" t="inlineStr">
        <is>
          <t>Encounter Resources Ltd</t>
        </is>
      </c>
      <c r="J847" t="inlineStr">
        <is>
          <t>AUD</t>
        </is>
      </c>
      <c r="K847" s="5" t="inlineStr">
        <is>
          <t>01a152b9-6ee2-7577-bddd-382bc3853fde</t>
        </is>
      </c>
      <c r="M847" t="inlineStr">
        <is>
          <t>UNKNOWN</t>
        </is>
      </c>
      <c r="N847" t="inlineStr">
        <is>
          <t>DEFAULT</t>
        </is>
      </c>
      <c r="Q847" t="n">
        <v>0</v>
      </c>
      <c r="R847" t="inlineStr">
        <is>
          <t>AUD</t>
        </is>
      </c>
      <c r="S847" t="n">
        <v>0</v>
      </c>
      <c r="T847" t="inlineStr">
        <is>
          <t>AUD</t>
        </is>
      </c>
      <c r="U847" t="n">
        <v>0</v>
      </c>
    </row>
    <row r="848">
      <c r="A848" s="5" t="inlineStr">
        <is>
          <t>01a152b9-7d69-704f-b9eb-54353db71f9e</t>
        </is>
      </c>
      <c r="C848" s="5" t="inlineStr">
        <is>
          <t>01a152b9-6e67-75da-8adb-b03e5d07fd21</t>
        </is>
      </c>
      <c r="D848" s="4" t="n">
        <v>46314.24595381516</v>
      </c>
      <c r="E848" s="4" t="n">
        <v>46314.24595381525</v>
      </c>
      <c r="F848" t="b">
        <v>1</v>
      </c>
      <c r="G848" t="n">
        <v/>
      </c>
      <c r="H848" t="inlineStr">
        <is>
          <t>MAP</t>
        </is>
      </c>
      <c r="I848" t="inlineStr">
        <is>
          <t>Microba Life Sciences Ltd</t>
        </is>
      </c>
      <c r="J848" t="inlineStr">
        <is>
          <t>AUD</t>
        </is>
      </c>
      <c r="K848" s="5" t="inlineStr">
        <is>
          <t>01a152b9-6ee2-7577-bddd-382bc3853fde</t>
        </is>
      </c>
      <c r="M848" t="inlineStr">
        <is>
          <t>UNKNOWN</t>
        </is>
      </c>
      <c r="N848" t="inlineStr">
        <is>
          <t>DEFAULT</t>
        </is>
      </c>
      <c r="Q848" t="n">
        <v>0</v>
      </c>
      <c r="R848" t="inlineStr">
        <is>
          <t>AUD</t>
        </is>
      </c>
      <c r="S848" t="n">
        <v>0</v>
      </c>
      <c r="T848" t="inlineStr">
        <is>
          <t>AUD</t>
        </is>
      </c>
      <c r="U848" t="n">
        <v>0</v>
      </c>
    </row>
    <row r="849">
      <c r="A849" s="5" t="inlineStr">
        <is>
          <t>01a152b9-7d6c-736a-ace0-a5f4d7b329b4</t>
        </is>
      </c>
      <c r="C849" s="5" t="inlineStr">
        <is>
          <t>01a152b9-6e67-75da-8adb-b03e5d07fd21</t>
        </is>
      </c>
      <c r="D849" s="4" t="n">
        <v>46314.24595385112</v>
      </c>
      <c r="E849" s="4" t="n">
        <v>46314.24595385125</v>
      </c>
      <c r="F849" t="b">
        <v>1</v>
      </c>
      <c r="G849" t="n">
        <v/>
      </c>
      <c r="H849" t="inlineStr">
        <is>
          <t>BIO</t>
        </is>
      </c>
      <c r="I849" t="inlineStr">
        <is>
          <t>Biome Australia Ltd</t>
        </is>
      </c>
      <c r="J849" t="inlineStr">
        <is>
          <t>AUD</t>
        </is>
      </c>
      <c r="K849" s="5" t="inlineStr">
        <is>
          <t>01a152b9-6ee2-7577-bddd-382bc3853fde</t>
        </is>
      </c>
      <c r="M849" t="inlineStr">
        <is>
          <t>UNKNOWN</t>
        </is>
      </c>
      <c r="N849" t="inlineStr">
        <is>
          <t>DEFAULT</t>
        </is>
      </c>
      <c r="Q849" t="n">
        <v>0</v>
      </c>
      <c r="R849" t="inlineStr">
        <is>
          <t>AUD</t>
        </is>
      </c>
      <c r="S849" t="n">
        <v>0</v>
      </c>
      <c r="T849" t="inlineStr">
        <is>
          <t>AUD</t>
        </is>
      </c>
      <c r="U849" t="n">
        <v>0</v>
      </c>
    </row>
    <row r="850">
      <c r="A850" s="5" t="inlineStr">
        <is>
          <t>01a152b9-7d70-7170-be36-a9800f8f67c9</t>
        </is>
      </c>
      <c r="C850" s="5" t="inlineStr">
        <is>
          <t>01a152b9-6e67-75da-8adb-b03e5d07fd21</t>
        </is>
      </c>
      <c r="D850" s="4" t="n">
        <v>46314.24595389271</v>
      </c>
      <c r="E850" s="4" t="n">
        <v>46314.2459538928</v>
      </c>
      <c r="F850" t="b">
        <v>1</v>
      </c>
      <c r="G850" t="n">
        <v/>
      </c>
      <c r="H850" t="inlineStr">
        <is>
          <t>PLT</t>
        </is>
      </c>
      <c r="I850" t="inlineStr">
        <is>
          <t>Plenti Group Ltd</t>
        </is>
      </c>
      <c r="J850" t="inlineStr">
        <is>
          <t>AUD</t>
        </is>
      </c>
      <c r="K850" s="5" t="inlineStr">
        <is>
          <t>01a152b9-6ee2-7577-bddd-382bc3853fde</t>
        </is>
      </c>
      <c r="M850" t="inlineStr">
        <is>
          <t>UNKNOWN</t>
        </is>
      </c>
      <c r="N850" t="inlineStr">
        <is>
          <t>DEFAULT</t>
        </is>
      </c>
      <c r="Q850" t="n">
        <v>0</v>
      </c>
      <c r="R850" t="inlineStr">
        <is>
          <t>AUD</t>
        </is>
      </c>
      <c r="S850" t="n">
        <v>0</v>
      </c>
      <c r="T850" t="inlineStr">
        <is>
          <t>AUD</t>
        </is>
      </c>
      <c r="U850" t="n">
        <v>0</v>
      </c>
    </row>
    <row r="851">
      <c r="A851" s="5" t="inlineStr">
        <is>
          <t>01a152b9-7d73-73cb-8a0a-15a329a6b016</t>
        </is>
      </c>
      <c r="C851" s="5" t="inlineStr">
        <is>
          <t>01a152b9-6e67-75da-8adb-b03e5d07fd21</t>
        </is>
      </c>
      <c r="D851" s="4" t="n">
        <v>46314.24595392679</v>
      </c>
      <c r="E851" s="4" t="n">
        <v>46314.24595392687</v>
      </c>
      <c r="F851" t="b">
        <v>1</v>
      </c>
      <c r="G851" t="n">
        <v/>
      </c>
      <c r="H851" t="inlineStr">
        <is>
          <t>RCT</t>
        </is>
      </c>
      <c r="I851" t="inlineStr">
        <is>
          <t>Reef Casino Trust</t>
        </is>
      </c>
      <c r="J851" t="inlineStr">
        <is>
          <t>AUD</t>
        </is>
      </c>
      <c r="K851" s="5" t="inlineStr">
        <is>
          <t>01a152b9-6ee2-7577-bddd-382bc3853fde</t>
        </is>
      </c>
      <c r="M851" t="inlineStr">
        <is>
          <t>UNKNOWN</t>
        </is>
      </c>
      <c r="N851" t="inlineStr">
        <is>
          <t>DEFAULT</t>
        </is>
      </c>
      <c r="Q851" t="n">
        <v>0</v>
      </c>
      <c r="R851" t="inlineStr">
        <is>
          <t>AUD</t>
        </is>
      </c>
      <c r="S851" t="n">
        <v>0</v>
      </c>
      <c r="T851" t="inlineStr">
        <is>
          <t>AUD</t>
        </is>
      </c>
      <c r="U851" t="n">
        <v>0</v>
      </c>
    </row>
    <row r="852">
      <c r="A852" s="5" t="inlineStr">
        <is>
          <t>01a152b9-7d76-730b-a89e-ab57af7acb9e</t>
        </is>
      </c>
      <c r="C852" s="5" t="inlineStr">
        <is>
          <t>01a152b9-6e67-75da-8adb-b03e5d07fd21</t>
        </is>
      </c>
      <c r="D852" s="4" t="n">
        <v>46314.24595397121</v>
      </c>
      <c r="E852" s="4" t="n">
        <v>46314.24595397131</v>
      </c>
      <c r="F852" t="b">
        <v>1</v>
      </c>
      <c r="G852" t="n">
        <v/>
      </c>
      <c r="H852" t="inlineStr">
        <is>
          <t>JYC</t>
        </is>
      </c>
      <c r="I852" t="inlineStr">
        <is>
          <t>Joyce Corporation Ltd</t>
        </is>
      </c>
      <c r="J852" t="inlineStr">
        <is>
          <t>AUD</t>
        </is>
      </c>
      <c r="K852" s="5" t="inlineStr">
        <is>
          <t>01a152b9-6ee2-7577-bddd-382bc3853fde</t>
        </is>
      </c>
      <c r="M852" t="inlineStr">
        <is>
          <t>UNKNOWN</t>
        </is>
      </c>
      <c r="N852" t="inlineStr">
        <is>
          <t>DEFAULT</t>
        </is>
      </c>
      <c r="Q852" t="n">
        <v>0</v>
      </c>
      <c r="R852" t="inlineStr">
        <is>
          <t>AUD</t>
        </is>
      </c>
      <c r="S852" t="n">
        <v>0</v>
      </c>
      <c r="T852" t="inlineStr">
        <is>
          <t>AUD</t>
        </is>
      </c>
      <c r="U852" t="n">
        <v>0</v>
      </c>
    </row>
    <row r="853">
      <c r="A853" s="5" t="inlineStr">
        <is>
          <t>01a152b9-7d7a-7655-8c92-e0ff9aa5d102</t>
        </is>
      </c>
      <c r="C853" s="5" t="inlineStr">
        <is>
          <t>01a152b9-6e67-75da-8adb-b03e5d07fd21</t>
        </is>
      </c>
      <c r="D853" s="4" t="n">
        <v>46314.24595401032</v>
      </c>
      <c r="E853" s="4" t="n">
        <v>46314.24595401044</v>
      </c>
      <c r="F853" t="b">
        <v>1</v>
      </c>
      <c r="G853" t="n">
        <v/>
      </c>
      <c r="H853" t="inlineStr">
        <is>
          <t>CUP</t>
        </is>
      </c>
      <c r="I853" t="inlineStr">
        <is>
          <t>Count Ltd</t>
        </is>
      </c>
      <c r="J853" t="inlineStr">
        <is>
          <t>AUD</t>
        </is>
      </c>
      <c r="K853" s="5" t="inlineStr">
        <is>
          <t>01a152b9-6ee2-7577-bddd-382bc3853fde</t>
        </is>
      </c>
      <c r="M853" t="inlineStr">
        <is>
          <t>UNKNOWN</t>
        </is>
      </c>
      <c r="N853" t="inlineStr">
        <is>
          <t>DEFAULT</t>
        </is>
      </c>
      <c r="Q853" t="n">
        <v>0</v>
      </c>
      <c r="R853" t="inlineStr">
        <is>
          <t>AUD</t>
        </is>
      </c>
      <c r="S853" t="n">
        <v>0</v>
      </c>
      <c r="T853" t="inlineStr">
        <is>
          <t>AUD</t>
        </is>
      </c>
      <c r="U853" t="n">
        <v>0</v>
      </c>
    </row>
    <row r="854">
      <c r="A854" s="5" t="inlineStr">
        <is>
          <t>01a152b9-7d7d-7117-bca3-08ac40612ce0</t>
        </is>
      </c>
      <c r="C854" s="5" t="inlineStr">
        <is>
          <t>01a152b9-6e67-75da-8adb-b03e5d07fd21</t>
        </is>
      </c>
      <c r="D854" s="4" t="n">
        <v>46314.24595405121</v>
      </c>
      <c r="E854" s="4" t="n">
        <v>46314.24595405131</v>
      </c>
      <c r="F854" t="b">
        <v>1</v>
      </c>
      <c r="G854" t="n">
        <v/>
      </c>
      <c r="H854" t="inlineStr">
        <is>
          <t>BBUS</t>
        </is>
      </c>
      <c r="I854" t="inlineStr">
        <is>
          <t>Betashares US EQY Strong Bear - CH (Hedge Fund)</t>
        </is>
      </c>
      <c r="J854" t="inlineStr">
        <is>
          <t>AUD</t>
        </is>
      </c>
      <c r="K854" s="5" t="inlineStr">
        <is>
          <t>01a152b9-6ee2-7577-bddd-382bc3853fde</t>
        </is>
      </c>
      <c r="M854" t="inlineStr">
        <is>
          <t>UNKNOWN</t>
        </is>
      </c>
      <c r="N854" t="inlineStr">
        <is>
          <t>DEFAULT</t>
        </is>
      </c>
      <c r="Q854" t="n">
        <v>0</v>
      </c>
      <c r="R854" t="inlineStr">
        <is>
          <t>AUD</t>
        </is>
      </c>
      <c r="S854" t="n">
        <v>0</v>
      </c>
      <c r="T854" t="inlineStr">
        <is>
          <t>AUD</t>
        </is>
      </c>
      <c r="U854" t="n">
        <v>0</v>
      </c>
    </row>
    <row r="855">
      <c r="A855" s="5" t="inlineStr">
        <is>
          <t>01a152b9-7d81-70f3-8f79-df896ee125ce</t>
        </is>
      </c>
      <c r="C855" s="5" t="inlineStr">
        <is>
          <t>01a152b9-6e67-75da-8adb-b03e5d07fd21</t>
        </is>
      </c>
      <c r="D855" s="4" t="n">
        <v>46314.24595408736</v>
      </c>
      <c r="E855" s="4" t="n">
        <v>46314.24595408746</v>
      </c>
      <c r="F855" t="b">
        <v>1</v>
      </c>
      <c r="G855" t="n">
        <v/>
      </c>
      <c r="H855" t="inlineStr">
        <is>
          <t>MOGL</t>
        </is>
      </c>
      <c r="I855" t="inlineStr">
        <is>
          <t>Montaka GBL Long Only Equities Fund (Managed Fund)</t>
        </is>
      </c>
      <c r="J855" t="inlineStr">
        <is>
          <t>AUD</t>
        </is>
      </c>
      <c r="K855" s="5" t="inlineStr">
        <is>
          <t>01a152b9-6ee2-7577-bddd-382bc3853fde</t>
        </is>
      </c>
      <c r="M855" t="inlineStr">
        <is>
          <t>UNKNOWN</t>
        </is>
      </c>
      <c r="N855" t="inlineStr">
        <is>
          <t>DEFAULT</t>
        </is>
      </c>
      <c r="Q855" t="n">
        <v>0</v>
      </c>
      <c r="R855" t="inlineStr">
        <is>
          <t>AUD</t>
        </is>
      </c>
      <c r="S855" t="n">
        <v>0</v>
      </c>
      <c r="T855" t="inlineStr">
        <is>
          <t>AUD</t>
        </is>
      </c>
      <c r="U855" t="n">
        <v>0</v>
      </c>
    </row>
    <row r="856">
      <c r="A856" s="5" t="inlineStr">
        <is>
          <t>01a152b9-7d84-7131-a4a8-a0aa5549577d</t>
        </is>
      </c>
      <c r="C856" s="5" t="inlineStr">
        <is>
          <t>01a152b9-6e67-75da-8adb-b03e5d07fd21</t>
        </is>
      </c>
      <c r="D856" s="4" t="n">
        <v>46314.2459541281</v>
      </c>
      <c r="E856" s="4" t="n">
        <v>46314.24595412819</v>
      </c>
      <c r="F856" t="b">
        <v>1</v>
      </c>
      <c r="G856" t="n">
        <v/>
      </c>
      <c r="H856" t="inlineStr">
        <is>
          <t>PCL</t>
        </is>
      </c>
      <c r="I856" t="inlineStr">
        <is>
          <t>Pancontinental Energy NL</t>
        </is>
      </c>
      <c r="J856" t="inlineStr">
        <is>
          <t>AUD</t>
        </is>
      </c>
      <c r="K856" s="5" t="inlineStr">
        <is>
          <t>01a152b9-6ee2-7577-bddd-382bc3853fde</t>
        </is>
      </c>
      <c r="M856" t="inlineStr">
        <is>
          <t>UNKNOWN</t>
        </is>
      </c>
      <c r="N856" t="inlineStr">
        <is>
          <t>DEFAULT</t>
        </is>
      </c>
      <c r="Q856" t="n">
        <v>0</v>
      </c>
      <c r="R856" t="inlineStr">
        <is>
          <t>AUD</t>
        </is>
      </c>
      <c r="S856" t="n">
        <v>0</v>
      </c>
      <c r="T856" t="inlineStr">
        <is>
          <t>AUD</t>
        </is>
      </c>
      <c r="U856" t="n">
        <v>0</v>
      </c>
    </row>
    <row r="857">
      <c r="A857" s="5" t="inlineStr">
        <is>
          <t>01a152b9-7d87-73c8-9068-2f9a947bd095</t>
        </is>
      </c>
      <c r="C857" s="5" t="inlineStr">
        <is>
          <t>01a152b9-6e67-75da-8adb-b03e5d07fd21</t>
        </is>
      </c>
      <c r="D857" s="4" t="n">
        <v>46314.24595416696</v>
      </c>
      <c r="E857" s="4" t="n">
        <v>46314.24595416705</v>
      </c>
      <c r="F857" t="b">
        <v>1</v>
      </c>
      <c r="G857" t="n">
        <v/>
      </c>
      <c r="H857" t="inlineStr">
        <is>
          <t>SVL</t>
        </is>
      </c>
      <c r="I857" t="inlineStr">
        <is>
          <t>Silver Mines Ltd</t>
        </is>
      </c>
      <c r="J857" t="inlineStr">
        <is>
          <t>AUD</t>
        </is>
      </c>
      <c r="K857" s="5" t="inlineStr">
        <is>
          <t>01a152b9-6ee2-7577-bddd-382bc3853fde</t>
        </is>
      </c>
      <c r="M857" t="inlineStr">
        <is>
          <t>UNKNOWN</t>
        </is>
      </c>
      <c r="N857" t="inlineStr">
        <is>
          <t>DEFAULT</t>
        </is>
      </c>
      <c r="Q857" t="n">
        <v>0</v>
      </c>
      <c r="R857" t="inlineStr">
        <is>
          <t>AUD</t>
        </is>
      </c>
      <c r="S857" t="n">
        <v>0</v>
      </c>
      <c r="T857" t="inlineStr">
        <is>
          <t>AUD</t>
        </is>
      </c>
      <c r="U857" t="n">
        <v>0</v>
      </c>
    </row>
    <row r="858">
      <c r="A858" s="5" t="inlineStr">
        <is>
          <t>01a152b9-7d8b-7373-b5ae-d4464a47be0f</t>
        </is>
      </c>
      <c r="C858" s="5" t="inlineStr">
        <is>
          <t>01a152b9-6e67-75da-8adb-b03e5d07fd21</t>
        </is>
      </c>
      <c r="D858" s="4" t="n">
        <v>46314.24595420754</v>
      </c>
      <c r="E858" s="4" t="n">
        <v>46314.24595420762</v>
      </c>
      <c r="F858" t="b">
        <v>1</v>
      </c>
      <c r="G858" t="n">
        <v/>
      </c>
      <c r="H858" t="inlineStr">
        <is>
          <t>X64</t>
        </is>
      </c>
      <c r="I858" t="inlineStr">
        <is>
          <t>Ten Sixty Four Ltd</t>
        </is>
      </c>
      <c r="J858" t="inlineStr">
        <is>
          <t>AUD</t>
        </is>
      </c>
      <c r="K858" s="5" t="inlineStr">
        <is>
          <t>01a152b9-6ee2-7577-bddd-382bc3853fde</t>
        </is>
      </c>
      <c r="M858" t="inlineStr">
        <is>
          <t>UNKNOWN</t>
        </is>
      </c>
      <c r="N858" t="inlineStr">
        <is>
          <t>DEFAULT</t>
        </is>
      </c>
      <c r="Q858" t="n">
        <v>0</v>
      </c>
      <c r="R858" t="inlineStr">
        <is>
          <t>AUD</t>
        </is>
      </c>
      <c r="S858" t="n">
        <v>0</v>
      </c>
      <c r="T858" t="inlineStr">
        <is>
          <t>AUD</t>
        </is>
      </c>
      <c r="U858" t="n">
        <v>0</v>
      </c>
    </row>
    <row r="859">
      <c r="A859" s="5" t="inlineStr">
        <is>
          <t>01a152b9-7d8e-77f8-a45e-686da6a8ecc8</t>
        </is>
      </c>
      <c r="C859" s="5" t="inlineStr">
        <is>
          <t>01a152b9-6e67-75da-8adb-b03e5d07fd21</t>
        </is>
      </c>
      <c r="D859" s="4" t="n">
        <v>46314.24595424371</v>
      </c>
      <c r="E859" s="4" t="n">
        <v>46314.24595424379</v>
      </c>
      <c r="F859" t="b">
        <v>1</v>
      </c>
      <c r="G859" t="n">
        <v/>
      </c>
      <c r="H859" t="inlineStr">
        <is>
          <t>AEE</t>
        </is>
      </c>
      <c r="I859" t="inlineStr">
        <is>
          <t>Aura Energy Ltd</t>
        </is>
      </c>
      <c r="J859" t="inlineStr">
        <is>
          <t>AUD</t>
        </is>
      </c>
      <c r="K859" s="5" t="inlineStr">
        <is>
          <t>01a152b9-6ee2-7577-bddd-382bc3853fde</t>
        </is>
      </c>
      <c r="M859" t="inlineStr">
        <is>
          <t>UNKNOWN</t>
        </is>
      </c>
      <c r="N859" t="inlineStr">
        <is>
          <t>DEFAULT</t>
        </is>
      </c>
      <c r="Q859" t="n">
        <v>0</v>
      </c>
      <c r="R859" t="inlineStr">
        <is>
          <t>AUD</t>
        </is>
      </c>
      <c r="S859" t="n">
        <v>0</v>
      </c>
      <c r="T859" t="inlineStr">
        <is>
          <t>AUD</t>
        </is>
      </c>
      <c r="U859" t="n">
        <v>0</v>
      </c>
    </row>
    <row r="860">
      <c r="A860" s="5" t="inlineStr">
        <is>
          <t>01a152b9-7d91-701d-9466-2555f743c832</t>
        </is>
      </c>
      <c r="C860" s="5" t="inlineStr">
        <is>
          <t>01a152b9-6e67-75da-8adb-b03e5d07fd21</t>
        </is>
      </c>
      <c r="D860" s="4" t="n">
        <v>46314.24595428078</v>
      </c>
      <c r="E860" s="4" t="n">
        <v>46314.24595428086</v>
      </c>
      <c r="F860" t="b">
        <v>1</v>
      </c>
      <c r="G860" t="n">
        <v/>
      </c>
      <c r="H860" t="inlineStr">
        <is>
          <t>LRL</t>
        </is>
      </c>
      <c r="I860" t="inlineStr">
        <is>
          <t>Labyrinth Resources Ltd</t>
        </is>
      </c>
      <c r="J860" t="inlineStr">
        <is>
          <t>AUD</t>
        </is>
      </c>
      <c r="K860" s="5" t="inlineStr">
        <is>
          <t>01a152b9-6ee2-7577-bddd-382bc3853fde</t>
        </is>
      </c>
      <c r="M860" t="inlineStr">
        <is>
          <t>UNKNOWN</t>
        </is>
      </c>
      <c r="N860" t="inlineStr">
        <is>
          <t>DEFAULT</t>
        </is>
      </c>
      <c r="Q860" t="n">
        <v>0</v>
      </c>
      <c r="R860" t="inlineStr">
        <is>
          <t>AUD</t>
        </is>
      </c>
      <c r="S860" t="n">
        <v>0</v>
      </c>
      <c r="T860" t="inlineStr">
        <is>
          <t>AUD</t>
        </is>
      </c>
      <c r="U860" t="n">
        <v>0</v>
      </c>
    </row>
    <row r="861">
      <c r="A861" s="5" t="inlineStr">
        <is>
          <t>01a152b9-7d94-7757-9ba8-1d646745fbc9</t>
        </is>
      </c>
      <c r="C861" s="5" t="inlineStr">
        <is>
          <t>01a152b9-6e67-75da-8adb-b03e5d07fd21</t>
        </is>
      </c>
      <c r="D861" s="4" t="n">
        <v>46314.24595431834</v>
      </c>
      <c r="E861" s="4" t="n">
        <v>46314.24595431844</v>
      </c>
      <c r="F861" t="b">
        <v>1</v>
      </c>
      <c r="G861" t="n">
        <v/>
      </c>
      <c r="H861" t="inlineStr">
        <is>
          <t>PTR</t>
        </is>
      </c>
      <c r="I861" t="inlineStr">
        <is>
          <t>Petratherm Ltd</t>
        </is>
      </c>
      <c r="J861" t="inlineStr">
        <is>
          <t>AUD</t>
        </is>
      </c>
      <c r="K861" s="5" t="inlineStr">
        <is>
          <t>01a152b9-6ee2-7577-bddd-382bc3853fde</t>
        </is>
      </c>
      <c r="M861" t="inlineStr">
        <is>
          <t>UNKNOWN</t>
        </is>
      </c>
      <c r="N861" t="inlineStr">
        <is>
          <t>DEFAULT</t>
        </is>
      </c>
      <c r="Q861" t="n">
        <v>0</v>
      </c>
      <c r="R861" t="inlineStr">
        <is>
          <t>AUD</t>
        </is>
      </c>
      <c r="S861" t="n">
        <v>0</v>
      </c>
      <c r="T861" t="inlineStr">
        <is>
          <t>AUD</t>
        </is>
      </c>
      <c r="U861" t="n">
        <v>0</v>
      </c>
    </row>
    <row r="862">
      <c r="A862" s="5" t="inlineStr">
        <is>
          <t>01a152b9-7d97-727c-8b4e-bb74d890a623</t>
        </is>
      </c>
      <c r="C862" s="5" t="inlineStr">
        <is>
          <t>01a152b9-6e67-75da-8adb-b03e5d07fd21</t>
        </is>
      </c>
      <c r="D862" s="4" t="n">
        <v>46314.24595435298</v>
      </c>
      <c r="E862" s="4" t="n">
        <v>46314.2459543531</v>
      </c>
      <c r="F862" t="b">
        <v>1</v>
      </c>
      <c r="G862" t="n">
        <v/>
      </c>
      <c r="H862" t="inlineStr">
        <is>
          <t>IVZ</t>
        </is>
      </c>
      <c r="I862" t="inlineStr">
        <is>
          <t>Invictus Energy Ltd</t>
        </is>
      </c>
      <c r="J862" t="inlineStr">
        <is>
          <t>AUD</t>
        </is>
      </c>
      <c r="K862" s="5" t="inlineStr">
        <is>
          <t>01a152b9-6ee2-7577-bddd-382bc3853fde</t>
        </is>
      </c>
      <c r="M862" t="inlineStr">
        <is>
          <t>UNKNOWN</t>
        </is>
      </c>
      <c r="N862" t="inlineStr">
        <is>
          <t>DEFAULT</t>
        </is>
      </c>
      <c r="Q862" t="n">
        <v>0</v>
      </c>
      <c r="R862" t="inlineStr">
        <is>
          <t>AUD</t>
        </is>
      </c>
      <c r="S862" t="n">
        <v>0</v>
      </c>
      <c r="T862" t="inlineStr">
        <is>
          <t>AUD</t>
        </is>
      </c>
      <c r="U862" t="n">
        <v>0</v>
      </c>
    </row>
    <row r="863">
      <c r="A863" s="5" t="inlineStr">
        <is>
          <t>01a152b9-7d9b-77ef-b59d-162f938db2c5</t>
        </is>
      </c>
      <c r="C863" s="5" t="inlineStr">
        <is>
          <t>01a152b9-6e67-75da-8adb-b03e5d07fd21</t>
        </is>
      </c>
      <c r="D863" s="4" t="n">
        <v>46314.24595439281</v>
      </c>
      <c r="E863" s="4" t="n">
        <v>46314.24595439291</v>
      </c>
      <c r="F863" t="b">
        <v>1</v>
      </c>
      <c r="G863" t="n">
        <v/>
      </c>
      <c r="H863" t="inlineStr">
        <is>
          <t>VEE</t>
        </is>
      </c>
      <c r="I863" t="inlineStr">
        <is>
          <t>Veem Ltd</t>
        </is>
      </c>
      <c r="J863" t="inlineStr">
        <is>
          <t>AUD</t>
        </is>
      </c>
      <c r="K863" s="5" t="inlineStr">
        <is>
          <t>01a152b9-6ee2-7577-bddd-382bc3853fde</t>
        </is>
      </c>
      <c r="M863" t="inlineStr">
        <is>
          <t>UNKNOWN</t>
        </is>
      </c>
      <c r="N863" t="inlineStr">
        <is>
          <t>DEFAULT</t>
        </is>
      </c>
      <c r="Q863" t="n">
        <v>0</v>
      </c>
      <c r="R863" t="inlineStr">
        <is>
          <t>AUD</t>
        </is>
      </c>
      <c r="S863" t="n">
        <v>0</v>
      </c>
      <c r="T863" t="inlineStr">
        <is>
          <t>AUD</t>
        </is>
      </c>
      <c r="U863" t="n">
        <v>0</v>
      </c>
    </row>
    <row r="864">
      <c r="A864" s="5" t="inlineStr">
        <is>
          <t>01a152b9-7d9e-73bb-8005-e06c1ae91c89</t>
        </is>
      </c>
      <c r="C864" s="5" t="inlineStr">
        <is>
          <t>01a152b9-6e67-75da-8adb-b03e5d07fd21</t>
        </is>
      </c>
      <c r="D864" s="4" t="n">
        <v>46314.245954432</v>
      </c>
      <c r="E864" s="4" t="n">
        <v>46314.24595443213</v>
      </c>
      <c r="F864" t="b">
        <v>1</v>
      </c>
      <c r="G864" t="n">
        <v/>
      </c>
      <c r="H864" t="inlineStr">
        <is>
          <t>TGP</t>
        </is>
      </c>
      <c r="I864" t="inlineStr">
        <is>
          <t>360 Capital Group</t>
        </is>
      </c>
      <c r="J864" t="inlineStr">
        <is>
          <t>AUD</t>
        </is>
      </c>
      <c r="K864" s="5" t="inlineStr">
        <is>
          <t>01a152b9-6ee2-7577-bddd-382bc3853fde</t>
        </is>
      </c>
      <c r="M864" t="inlineStr">
        <is>
          <t>UNKNOWN</t>
        </is>
      </c>
      <c r="N864" t="inlineStr">
        <is>
          <t>DEFAULT</t>
        </is>
      </c>
      <c r="Q864" t="n">
        <v>0</v>
      </c>
      <c r="R864" t="inlineStr">
        <is>
          <t>AUD</t>
        </is>
      </c>
      <c r="S864" t="n">
        <v>0</v>
      </c>
      <c r="T864" t="inlineStr">
        <is>
          <t>AUD</t>
        </is>
      </c>
      <c r="U864" t="n">
        <v>0</v>
      </c>
    </row>
    <row r="865">
      <c r="A865" s="5" t="inlineStr">
        <is>
          <t>01a152b9-7da2-757f-81fc-1e2090203cc0</t>
        </is>
      </c>
      <c r="C865" s="5" t="inlineStr">
        <is>
          <t>01a152b9-6e67-75da-8adb-b03e5d07fd21</t>
        </is>
      </c>
      <c r="D865" s="4" t="n">
        <v>46314.24595447808</v>
      </c>
      <c r="E865" s="4" t="n">
        <v>46314.24595447823</v>
      </c>
      <c r="F865" t="b">
        <v>1</v>
      </c>
      <c r="G865" t="n">
        <v/>
      </c>
      <c r="H865" t="inlineStr">
        <is>
          <t>ATR</t>
        </is>
      </c>
      <c r="I865" t="inlineStr">
        <is>
          <t>Astron Corporation Ltd</t>
        </is>
      </c>
      <c r="J865" t="inlineStr">
        <is>
          <t>AUD</t>
        </is>
      </c>
      <c r="K865" s="5" t="inlineStr">
        <is>
          <t>01a152b9-6ee2-7577-bddd-382bc3853fde</t>
        </is>
      </c>
      <c r="M865" t="inlineStr">
        <is>
          <t>UNKNOWN</t>
        </is>
      </c>
      <c r="N865" t="inlineStr">
        <is>
          <t>DEFAULT</t>
        </is>
      </c>
      <c r="Q865" t="n">
        <v>0</v>
      </c>
      <c r="R865" t="inlineStr">
        <is>
          <t>AUD</t>
        </is>
      </c>
      <c r="S865" t="n">
        <v>0</v>
      </c>
      <c r="T865" t="inlineStr">
        <is>
          <t>AUD</t>
        </is>
      </c>
      <c r="U865" t="n">
        <v>0</v>
      </c>
    </row>
    <row r="866">
      <c r="A866" s="5" t="inlineStr">
        <is>
          <t>01a152b9-7da7-736c-b16d-cf360a7cd231</t>
        </is>
      </c>
      <c r="C866" s="5" t="inlineStr">
        <is>
          <t>01a152b9-6e67-75da-8adb-b03e5d07fd21</t>
        </is>
      </c>
      <c r="D866" s="4" t="n">
        <v>46314.24595452897</v>
      </c>
      <c r="E866" s="4" t="n">
        <v>46314.24595452912</v>
      </c>
      <c r="F866" t="b">
        <v>1</v>
      </c>
      <c r="G866" t="n">
        <v/>
      </c>
      <c r="H866" t="inlineStr">
        <is>
          <t>AVL</t>
        </is>
      </c>
      <c r="I866" t="inlineStr">
        <is>
          <t>Australian Vanadium Ltd</t>
        </is>
      </c>
      <c r="J866" t="inlineStr">
        <is>
          <t>AUD</t>
        </is>
      </c>
      <c r="K866" s="5" t="inlineStr">
        <is>
          <t>01a152b9-6ee2-7577-bddd-382bc3853fde</t>
        </is>
      </c>
      <c r="M866" t="inlineStr">
        <is>
          <t>UNKNOWN</t>
        </is>
      </c>
      <c r="N866" t="inlineStr">
        <is>
          <t>DEFAULT</t>
        </is>
      </c>
      <c r="Q866" t="n">
        <v>0</v>
      </c>
      <c r="R866" t="inlineStr">
        <is>
          <t>AUD</t>
        </is>
      </c>
      <c r="S866" t="n">
        <v>0</v>
      </c>
      <c r="T866" t="inlineStr">
        <is>
          <t>AUD</t>
        </is>
      </c>
      <c r="U866" t="n">
        <v>0</v>
      </c>
    </row>
    <row r="867">
      <c r="A867" s="5" t="inlineStr">
        <is>
          <t>01a152b9-7daa-717b-beb5-486488cef623</t>
        </is>
      </c>
      <c r="C867" s="5" t="inlineStr">
        <is>
          <t>01a152b9-6e67-75da-8adb-b03e5d07fd21</t>
        </is>
      </c>
      <c r="D867" s="4" t="n">
        <v>46314.24595457066</v>
      </c>
      <c r="E867" s="4" t="n">
        <v>46314.2459545708</v>
      </c>
      <c r="F867" t="b">
        <v>1</v>
      </c>
      <c r="G867" t="n">
        <v/>
      </c>
      <c r="H867" t="inlineStr">
        <is>
          <t>ENN</t>
        </is>
      </c>
      <c r="I867" t="inlineStr">
        <is>
          <t>Elanor Investors Group</t>
        </is>
      </c>
      <c r="J867" t="inlineStr">
        <is>
          <t>AUD</t>
        </is>
      </c>
      <c r="K867" s="5" t="inlineStr">
        <is>
          <t>01a152b9-6ee2-7577-bddd-382bc3853fde</t>
        </is>
      </c>
      <c r="M867" t="inlineStr">
        <is>
          <t>UNKNOWN</t>
        </is>
      </c>
      <c r="N867" t="inlineStr">
        <is>
          <t>DEFAULT</t>
        </is>
      </c>
      <c r="Q867" t="n">
        <v>0</v>
      </c>
      <c r="R867" t="inlineStr">
        <is>
          <t>AUD</t>
        </is>
      </c>
      <c r="S867" t="n">
        <v>0</v>
      </c>
      <c r="T867" t="inlineStr">
        <is>
          <t>AUD</t>
        </is>
      </c>
      <c r="U867" t="n">
        <v>0</v>
      </c>
    </row>
    <row r="868">
      <c r="A868" s="5" t="inlineStr">
        <is>
          <t>01a152b9-7dae-7480-9618-e66cefb958fd</t>
        </is>
      </c>
      <c r="C868" s="5" t="inlineStr">
        <is>
          <t>01a152b9-6e67-75da-8adb-b03e5d07fd21</t>
        </is>
      </c>
      <c r="D868" s="4" t="n">
        <v>46314.2459546153</v>
      </c>
      <c r="E868" s="4" t="n">
        <v>46314.24595461541</v>
      </c>
      <c r="F868" t="b">
        <v>1</v>
      </c>
      <c r="G868" t="n">
        <v/>
      </c>
      <c r="H868" t="inlineStr">
        <is>
          <t>MTO</t>
        </is>
      </c>
      <c r="I868" t="inlineStr">
        <is>
          <t>Motorcycle Holdings Ltd</t>
        </is>
      </c>
      <c r="J868" t="inlineStr">
        <is>
          <t>AUD</t>
        </is>
      </c>
      <c r="K868" s="5" t="inlineStr">
        <is>
          <t>01a152b9-6ee2-7577-bddd-382bc3853fde</t>
        </is>
      </c>
      <c r="M868" t="inlineStr">
        <is>
          <t>UNKNOWN</t>
        </is>
      </c>
      <c r="N868" t="inlineStr">
        <is>
          <t>DEFAULT</t>
        </is>
      </c>
      <c r="Q868" t="n">
        <v>0</v>
      </c>
      <c r="R868" t="inlineStr">
        <is>
          <t>AUD</t>
        </is>
      </c>
      <c r="S868" t="n">
        <v>0</v>
      </c>
      <c r="T868" t="inlineStr">
        <is>
          <t>AUD</t>
        </is>
      </c>
      <c r="U868" t="n">
        <v>0</v>
      </c>
    </row>
    <row r="869">
      <c r="A869" s="5" t="inlineStr">
        <is>
          <t>01a152b9-7db2-7596-b0c2-2fb44c2c5b4a</t>
        </is>
      </c>
      <c r="C869" s="5" t="inlineStr">
        <is>
          <t>01a152b9-6e67-75da-8adb-b03e5d07fd21</t>
        </is>
      </c>
      <c r="D869" s="4" t="n">
        <v>46314.24595466321</v>
      </c>
      <c r="E869" s="4" t="n">
        <v>46314.24595466335</v>
      </c>
      <c r="F869" t="b">
        <v>1</v>
      </c>
      <c r="G869" t="n">
        <v/>
      </c>
      <c r="H869" t="inlineStr">
        <is>
          <t>NVA</t>
        </is>
      </c>
      <c r="I869" t="inlineStr">
        <is>
          <t>Nova Minerals Ltd</t>
        </is>
      </c>
      <c r="J869" t="inlineStr">
        <is>
          <t>AUD</t>
        </is>
      </c>
      <c r="K869" s="5" t="inlineStr">
        <is>
          <t>01a152b9-6ee2-7577-bddd-382bc3853fde</t>
        </is>
      </c>
      <c r="M869" t="inlineStr">
        <is>
          <t>UNKNOWN</t>
        </is>
      </c>
      <c r="N869" t="inlineStr">
        <is>
          <t>DEFAULT</t>
        </is>
      </c>
      <c r="Q869" t="n">
        <v>0</v>
      </c>
      <c r="R869" t="inlineStr">
        <is>
          <t>AUD</t>
        </is>
      </c>
      <c r="S869" t="n">
        <v>0</v>
      </c>
      <c r="T869" t="inlineStr">
        <is>
          <t>AUD</t>
        </is>
      </c>
      <c r="U869" t="n">
        <v>0</v>
      </c>
    </row>
    <row r="870">
      <c r="A870" s="5" t="inlineStr">
        <is>
          <t>01a152b9-7db7-71db-995e-1232c62853fa</t>
        </is>
      </c>
      <c r="C870" s="5" t="inlineStr">
        <is>
          <t>01a152b9-6e67-75da-8adb-b03e5d07fd21</t>
        </is>
      </c>
      <c r="D870" s="4" t="n">
        <v>46314.24595471429</v>
      </c>
      <c r="E870" s="4" t="n">
        <v>46314.24595471442</v>
      </c>
      <c r="F870" t="b">
        <v>1</v>
      </c>
      <c r="G870" t="n">
        <v/>
      </c>
      <c r="H870" t="inlineStr">
        <is>
          <t>NWSLV</t>
        </is>
      </c>
      <c r="I870" t="inlineStr">
        <is>
          <t>News Corporation</t>
        </is>
      </c>
      <c r="J870" t="inlineStr">
        <is>
          <t>AUD</t>
        </is>
      </c>
      <c r="K870" s="5" t="inlineStr">
        <is>
          <t>01a152b9-6ee2-7577-bddd-382bc3853fde</t>
        </is>
      </c>
      <c r="M870" t="inlineStr">
        <is>
          <t>UNKNOWN</t>
        </is>
      </c>
      <c r="N870" t="inlineStr">
        <is>
          <t>DEFAULT</t>
        </is>
      </c>
      <c r="Q870" t="n">
        <v>0</v>
      </c>
      <c r="R870" t="inlineStr">
        <is>
          <t>AUD</t>
        </is>
      </c>
      <c r="S870" t="n">
        <v>0</v>
      </c>
      <c r="T870" t="inlineStr">
        <is>
          <t>AUD</t>
        </is>
      </c>
      <c r="U870" t="n">
        <v>0</v>
      </c>
    </row>
    <row r="871">
      <c r="A871" s="5" t="inlineStr">
        <is>
          <t>01a152b9-7dba-77e1-b4e5-4f1b239d765c</t>
        </is>
      </c>
      <c r="C871" s="5" t="inlineStr">
        <is>
          <t>01a152b9-6e67-75da-8adb-b03e5d07fd21</t>
        </is>
      </c>
      <c r="D871" s="4" t="n">
        <v>46314.24595475844</v>
      </c>
      <c r="E871" s="4" t="n">
        <v>46314.24595475855</v>
      </c>
      <c r="F871" t="b">
        <v>1</v>
      </c>
      <c r="G871" t="n">
        <v/>
      </c>
      <c r="H871" t="inlineStr">
        <is>
          <t>WOT</t>
        </is>
      </c>
      <c r="I871" t="inlineStr">
        <is>
          <t>Wotso Property</t>
        </is>
      </c>
      <c r="J871" t="inlineStr">
        <is>
          <t>AUD</t>
        </is>
      </c>
      <c r="K871" s="5" t="inlineStr">
        <is>
          <t>01a152b9-6ee2-7577-bddd-382bc3853fde</t>
        </is>
      </c>
      <c r="M871" t="inlineStr">
        <is>
          <t>UNKNOWN</t>
        </is>
      </c>
      <c r="N871" t="inlineStr">
        <is>
          <t>DEFAULT</t>
        </is>
      </c>
      <c r="Q871" t="n">
        <v>0</v>
      </c>
      <c r="R871" t="inlineStr">
        <is>
          <t>AUD</t>
        </is>
      </c>
      <c r="S871" t="n">
        <v>0</v>
      </c>
      <c r="T871" t="inlineStr">
        <is>
          <t>AUD</t>
        </is>
      </c>
      <c r="U871" t="n">
        <v>0</v>
      </c>
    </row>
    <row r="872">
      <c r="A872" s="5" t="inlineStr">
        <is>
          <t>01a152b9-7dbe-779a-939f-25924cc9f14f</t>
        </is>
      </c>
      <c r="C872" s="5" t="inlineStr">
        <is>
          <t>01a152b9-6e67-75da-8adb-b03e5d07fd21</t>
        </is>
      </c>
      <c r="D872" s="4" t="n">
        <v>46314.24595479838</v>
      </c>
      <c r="E872" s="4" t="n">
        <v>46314.2459547985</v>
      </c>
      <c r="F872" t="b">
        <v>1</v>
      </c>
      <c r="G872" t="n">
        <v/>
      </c>
      <c r="H872" t="inlineStr">
        <is>
          <t>SND</t>
        </is>
      </c>
      <c r="I872" t="inlineStr">
        <is>
          <t>Saunders International Ltd</t>
        </is>
      </c>
      <c r="J872" t="inlineStr">
        <is>
          <t>AUD</t>
        </is>
      </c>
      <c r="K872" s="5" t="inlineStr">
        <is>
          <t>01a152b9-6ee2-7577-bddd-382bc3853fde</t>
        </is>
      </c>
      <c r="M872" t="inlineStr">
        <is>
          <t>UNKNOWN</t>
        </is>
      </c>
      <c r="N872" t="inlineStr">
        <is>
          <t>DEFAULT</t>
        </is>
      </c>
      <c r="Q872" t="n">
        <v>0</v>
      </c>
      <c r="R872" t="inlineStr">
        <is>
          <t>AUD</t>
        </is>
      </c>
      <c r="S872" t="n">
        <v>0</v>
      </c>
      <c r="T872" t="inlineStr">
        <is>
          <t>AUD</t>
        </is>
      </c>
      <c r="U872" t="n">
        <v>0</v>
      </c>
    </row>
    <row r="873">
      <c r="A873" s="5" t="inlineStr">
        <is>
          <t>01a152b9-7dc2-759d-96a7-5bb648dd5e03</t>
        </is>
      </c>
      <c r="C873" s="5" t="inlineStr">
        <is>
          <t>01a152b9-6e67-75da-8adb-b03e5d07fd21</t>
        </is>
      </c>
      <c r="D873" s="4" t="n">
        <v>46314.24595484196</v>
      </c>
      <c r="E873" s="4" t="n">
        <v>46314.24595484207</v>
      </c>
      <c r="F873" t="b">
        <v>1</v>
      </c>
      <c r="G873" t="n">
        <v/>
      </c>
      <c r="H873" t="inlineStr">
        <is>
          <t>GOW</t>
        </is>
      </c>
      <c r="I873" t="inlineStr">
        <is>
          <t>Gowing Bros Ltd</t>
        </is>
      </c>
      <c r="J873" t="inlineStr">
        <is>
          <t>AUD</t>
        </is>
      </c>
      <c r="K873" s="5" t="inlineStr">
        <is>
          <t>01a152b9-6ee2-7577-bddd-382bc3853fde</t>
        </is>
      </c>
      <c r="M873" t="inlineStr">
        <is>
          <t>UNKNOWN</t>
        </is>
      </c>
      <c r="N873" t="inlineStr">
        <is>
          <t>DEFAULT</t>
        </is>
      </c>
      <c r="Q873" t="n">
        <v>0</v>
      </c>
      <c r="R873" t="inlineStr">
        <is>
          <t>AUD</t>
        </is>
      </c>
      <c r="S873" t="n">
        <v>0</v>
      </c>
      <c r="T873" t="inlineStr">
        <is>
          <t>AUD</t>
        </is>
      </c>
      <c r="U873" t="n">
        <v>0</v>
      </c>
    </row>
    <row r="874">
      <c r="A874" s="5" t="inlineStr">
        <is>
          <t>01a152b9-7dc6-77fc-b039-febc29c71f45</t>
        </is>
      </c>
      <c r="C874" s="5" t="inlineStr">
        <is>
          <t>01a152b9-6e67-75da-8adb-b03e5d07fd21</t>
        </is>
      </c>
      <c r="D874" s="4" t="n">
        <v>46314.24595488816</v>
      </c>
      <c r="E874" s="4" t="n">
        <v>46314.24595488828</v>
      </c>
      <c r="F874" t="b">
        <v>1</v>
      </c>
      <c r="G874" t="n">
        <v/>
      </c>
      <c r="H874" t="inlineStr">
        <is>
          <t>JEPI</t>
        </is>
      </c>
      <c r="I874" t="inlineStr">
        <is>
          <t>Jpmorgan EQ Prem Income Active ETF (Managed Fund)</t>
        </is>
      </c>
      <c r="J874" t="inlineStr">
        <is>
          <t>AUD</t>
        </is>
      </c>
      <c r="K874" s="5" t="inlineStr">
        <is>
          <t>01a152b9-6ee2-7577-bddd-382bc3853fde</t>
        </is>
      </c>
      <c r="M874" t="inlineStr">
        <is>
          <t>UNKNOWN</t>
        </is>
      </c>
      <c r="N874" t="inlineStr">
        <is>
          <t>DEFAULT</t>
        </is>
      </c>
      <c r="Q874" t="n">
        <v>0</v>
      </c>
      <c r="R874" t="inlineStr">
        <is>
          <t>AUD</t>
        </is>
      </c>
      <c r="S874" t="n">
        <v>0</v>
      </c>
      <c r="T874" t="inlineStr">
        <is>
          <t>AUD</t>
        </is>
      </c>
      <c r="U874" t="n">
        <v>0</v>
      </c>
    </row>
    <row r="875">
      <c r="A875" s="5" t="inlineStr">
        <is>
          <t>01a152b9-7dca-760f-9de5-00dd8ce77b6b</t>
        </is>
      </c>
      <c r="C875" s="5" t="inlineStr">
        <is>
          <t>01a152b9-6e67-75da-8adb-b03e5d07fd21</t>
        </is>
      </c>
      <c r="D875" s="4" t="n">
        <v>46314.24595493509</v>
      </c>
      <c r="E875" s="4" t="n">
        <v>46314.24595493522</v>
      </c>
      <c r="F875" t="b">
        <v>1</v>
      </c>
      <c r="G875" t="n">
        <v/>
      </c>
      <c r="H875" t="inlineStr">
        <is>
          <t>KOV</t>
        </is>
      </c>
      <c r="I875" t="inlineStr">
        <is>
          <t>Korvest Ltd</t>
        </is>
      </c>
      <c r="J875" t="inlineStr">
        <is>
          <t>AUD</t>
        </is>
      </c>
      <c r="K875" s="5" t="inlineStr">
        <is>
          <t>01a152b9-6ee2-7577-bddd-382bc3853fde</t>
        </is>
      </c>
      <c r="M875" t="inlineStr">
        <is>
          <t>UNKNOWN</t>
        </is>
      </c>
      <c r="N875" t="inlineStr">
        <is>
          <t>DEFAULT</t>
        </is>
      </c>
      <c r="Q875" t="n">
        <v>0</v>
      </c>
      <c r="R875" t="inlineStr">
        <is>
          <t>AUD</t>
        </is>
      </c>
      <c r="S875" t="n">
        <v>0</v>
      </c>
      <c r="T875" t="inlineStr">
        <is>
          <t>AUD</t>
        </is>
      </c>
      <c r="U875" t="n">
        <v>0</v>
      </c>
    </row>
    <row r="876">
      <c r="A876" s="5" t="inlineStr">
        <is>
          <t>01a152b9-7dcd-7113-be3a-9a69721c44cc</t>
        </is>
      </c>
      <c r="C876" s="5" t="inlineStr">
        <is>
          <t>01a152b9-6e67-75da-8adb-b03e5d07fd21</t>
        </is>
      </c>
      <c r="D876" s="4" t="n">
        <v>46314.24595497496</v>
      </c>
      <c r="E876" s="4" t="n">
        <v>46314.24595497508</v>
      </c>
      <c r="F876" t="b">
        <v>1</v>
      </c>
      <c r="G876" t="n">
        <v/>
      </c>
      <c r="H876" t="inlineStr">
        <is>
          <t>DUB</t>
        </is>
      </c>
      <c r="I876" t="inlineStr">
        <is>
          <t>Dubber Corporation Ltd</t>
        </is>
      </c>
      <c r="J876" t="inlineStr">
        <is>
          <t>AUD</t>
        </is>
      </c>
      <c r="K876" s="5" t="inlineStr">
        <is>
          <t>01a152b9-6ee2-7577-bddd-382bc3853fde</t>
        </is>
      </c>
      <c r="M876" t="inlineStr">
        <is>
          <t>UNKNOWN</t>
        </is>
      </c>
      <c r="N876" t="inlineStr">
        <is>
          <t>DEFAULT</t>
        </is>
      </c>
      <c r="Q876" t="n">
        <v>0</v>
      </c>
      <c r="R876" t="inlineStr">
        <is>
          <t>AUD</t>
        </is>
      </c>
      <c r="S876" t="n">
        <v>0</v>
      </c>
      <c r="T876" t="inlineStr">
        <is>
          <t>AUD</t>
        </is>
      </c>
      <c r="U876" t="n">
        <v>0</v>
      </c>
    </row>
    <row r="877">
      <c r="A877" s="5" t="inlineStr">
        <is>
          <t>01a152b9-7dd1-73cf-9a17-e94ecc956df2</t>
        </is>
      </c>
      <c r="C877" s="5" t="inlineStr">
        <is>
          <t>01a152b9-6e67-75da-8adb-b03e5d07fd21</t>
        </is>
      </c>
      <c r="D877" s="4" t="n">
        <v>46314.24595501461</v>
      </c>
      <c r="E877" s="4" t="n">
        <v>46314.24595501471</v>
      </c>
      <c r="F877" t="b">
        <v>1</v>
      </c>
      <c r="G877" t="n">
        <v/>
      </c>
      <c r="H877" t="inlineStr">
        <is>
          <t>AKM</t>
        </is>
      </c>
      <c r="I877" t="inlineStr">
        <is>
          <t>Aspire Mining Ltd</t>
        </is>
      </c>
      <c r="J877" t="inlineStr">
        <is>
          <t>AUD</t>
        </is>
      </c>
      <c r="K877" s="5" t="inlineStr">
        <is>
          <t>01a152b9-6ee2-7577-bddd-382bc3853fde</t>
        </is>
      </c>
      <c r="M877" t="inlineStr">
        <is>
          <t>UNKNOWN</t>
        </is>
      </c>
      <c r="N877" t="inlineStr">
        <is>
          <t>DEFAULT</t>
        </is>
      </c>
      <c r="Q877" t="n">
        <v>0</v>
      </c>
      <c r="R877" t="inlineStr">
        <is>
          <t>AUD</t>
        </is>
      </c>
      <c r="S877" t="n">
        <v>0</v>
      </c>
      <c r="T877" t="inlineStr">
        <is>
          <t>AUD</t>
        </is>
      </c>
      <c r="U877" t="n">
        <v>0</v>
      </c>
    </row>
    <row r="878">
      <c r="A878" s="5" t="inlineStr">
        <is>
          <t>01a152b9-7dd4-74cf-bcba-e47e4a3d9070</t>
        </is>
      </c>
      <c r="C878" s="5" t="inlineStr">
        <is>
          <t>01a152b9-6e67-75da-8adb-b03e5d07fd21</t>
        </is>
      </c>
      <c r="D878" s="4" t="n">
        <v>46314.24595505172</v>
      </c>
      <c r="E878" s="4" t="n">
        <v>46314.24595505183</v>
      </c>
      <c r="F878" t="b">
        <v>1</v>
      </c>
      <c r="G878" t="n">
        <v/>
      </c>
      <c r="H878" t="inlineStr">
        <is>
          <t>MQAE</t>
        </is>
      </c>
      <c r="I878" t="inlineStr">
        <is>
          <t>Macquarie Core Australian Equity Active ETF</t>
        </is>
      </c>
      <c r="J878" t="inlineStr">
        <is>
          <t>AUD</t>
        </is>
      </c>
      <c r="K878" s="5" t="inlineStr">
        <is>
          <t>01a152b9-6ee2-7577-bddd-382bc3853fde</t>
        </is>
      </c>
      <c r="M878" t="inlineStr">
        <is>
          <t>UNKNOWN</t>
        </is>
      </c>
      <c r="N878" t="inlineStr">
        <is>
          <t>DEFAULT</t>
        </is>
      </c>
      <c r="Q878" t="n">
        <v>0</v>
      </c>
      <c r="R878" t="inlineStr">
        <is>
          <t>AUD</t>
        </is>
      </c>
      <c r="S878" t="n">
        <v>0</v>
      </c>
      <c r="T878" t="inlineStr">
        <is>
          <t>AUD</t>
        </is>
      </c>
      <c r="U878" t="n">
        <v>0</v>
      </c>
    </row>
    <row r="879">
      <c r="A879" s="5" t="inlineStr">
        <is>
          <t>01a152b9-7dd7-70e1-92db-209e545d725f</t>
        </is>
      </c>
      <c r="C879" s="5" t="inlineStr">
        <is>
          <t>01a152b9-6e67-75da-8adb-b03e5d07fd21</t>
        </is>
      </c>
      <c r="D879" s="4" t="n">
        <v>46314.245955093</v>
      </c>
      <c r="E879" s="4" t="n">
        <v>46314.2459550931</v>
      </c>
      <c r="F879" t="b">
        <v>1</v>
      </c>
      <c r="G879" t="n">
        <v/>
      </c>
      <c r="H879" t="inlineStr">
        <is>
          <t>DLI</t>
        </is>
      </c>
      <c r="I879" t="inlineStr">
        <is>
          <t>Delta Lithium Ltd</t>
        </is>
      </c>
      <c r="J879" t="inlineStr">
        <is>
          <t>AUD</t>
        </is>
      </c>
      <c r="K879" s="5" t="inlineStr">
        <is>
          <t>01a152b9-6ee2-7577-bddd-382bc3853fde</t>
        </is>
      </c>
      <c r="M879" t="inlineStr">
        <is>
          <t>UNKNOWN</t>
        </is>
      </c>
      <c r="N879" t="inlineStr">
        <is>
          <t>DEFAULT</t>
        </is>
      </c>
      <c r="Q879" t="n">
        <v>0</v>
      </c>
      <c r="R879" t="inlineStr">
        <is>
          <t>AUD</t>
        </is>
      </c>
      <c r="S879" t="n">
        <v>0</v>
      </c>
      <c r="T879" t="inlineStr">
        <is>
          <t>AUD</t>
        </is>
      </c>
      <c r="U879" t="n">
        <v>0</v>
      </c>
    </row>
    <row r="880">
      <c r="A880" s="5" t="inlineStr">
        <is>
          <t>01a152b9-7ddb-74a4-b951-11484e010174</t>
        </is>
      </c>
      <c r="C880" s="5" t="inlineStr">
        <is>
          <t>01a152b9-6e67-75da-8adb-b03e5d07fd21</t>
        </is>
      </c>
      <c r="D880" s="4" t="n">
        <v>46314.24595513201</v>
      </c>
      <c r="E880" s="4" t="n">
        <v>46314.24595513212</v>
      </c>
      <c r="F880" t="b">
        <v>1</v>
      </c>
      <c r="G880" t="n">
        <v/>
      </c>
      <c r="H880" t="inlineStr">
        <is>
          <t>BET</t>
        </is>
      </c>
      <c r="I880" t="inlineStr">
        <is>
          <t>Betmakers Technology Group Ltd</t>
        </is>
      </c>
      <c r="J880" t="inlineStr">
        <is>
          <t>AUD</t>
        </is>
      </c>
      <c r="K880" s="5" t="inlineStr">
        <is>
          <t>01a152b9-6ee2-7577-bddd-382bc3853fde</t>
        </is>
      </c>
      <c r="M880" t="inlineStr">
        <is>
          <t>UNKNOWN</t>
        </is>
      </c>
      <c r="N880" t="inlineStr">
        <is>
          <t>DEFAULT</t>
        </is>
      </c>
      <c r="Q880" t="n">
        <v>0</v>
      </c>
      <c r="R880" t="inlineStr">
        <is>
          <t>AUD</t>
        </is>
      </c>
      <c r="S880" t="n">
        <v>0</v>
      </c>
      <c r="T880" t="inlineStr">
        <is>
          <t>AUD</t>
        </is>
      </c>
      <c r="U880" t="n">
        <v>0</v>
      </c>
    </row>
    <row r="881">
      <c r="A881" s="5" t="inlineStr">
        <is>
          <t>01a152b9-7dde-7281-a07a-65c8f5229f5f</t>
        </is>
      </c>
      <c r="C881" s="5" t="inlineStr">
        <is>
          <t>01a152b9-6e67-75da-8adb-b03e5d07fd21</t>
        </is>
      </c>
      <c r="D881" s="4" t="n">
        <v>46314.24595517198</v>
      </c>
      <c r="E881" s="4" t="n">
        <v>46314.2459551721</v>
      </c>
      <c r="F881" t="b">
        <v>1</v>
      </c>
      <c r="G881" t="n">
        <v/>
      </c>
      <c r="H881" t="inlineStr">
        <is>
          <t>HFR</t>
        </is>
      </c>
      <c r="I881" t="inlineStr">
        <is>
          <t>Highfield Resources Ltd</t>
        </is>
      </c>
      <c r="J881" t="inlineStr">
        <is>
          <t>AUD</t>
        </is>
      </c>
      <c r="K881" s="5" t="inlineStr">
        <is>
          <t>01a152b9-6ee2-7577-bddd-382bc3853fde</t>
        </is>
      </c>
      <c r="M881" t="inlineStr">
        <is>
          <t>UNKNOWN</t>
        </is>
      </c>
      <c r="N881" t="inlineStr">
        <is>
          <t>DEFAULT</t>
        </is>
      </c>
      <c r="Q881" t="n">
        <v>0</v>
      </c>
      <c r="R881" t="inlineStr">
        <is>
          <t>AUD</t>
        </is>
      </c>
      <c r="S881" t="n">
        <v>0</v>
      </c>
      <c r="T881" t="inlineStr">
        <is>
          <t>AUD</t>
        </is>
      </c>
      <c r="U881" t="n">
        <v>0</v>
      </c>
    </row>
    <row r="882">
      <c r="A882" s="5" t="inlineStr">
        <is>
          <t>01a152b9-7de2-74de-943d-ce99f898037d</t>
        </is>
      </c>
      <c r="C882" s="5" t="inlineStr">
        <is>
          <t>01a152b9-6e67-75da-8adb-b03e5d07fd21</t>
        </is>
      </c>
      <c r="D882" s="4" t="n">
        <v>46314.24595521367</v>
      </c>
      <c r="E882" s="4" t="n">
        <v>46314.24595521377</v>
      </c>
      <c r="F882" t="b">
        <v>1</v>
      </c>
      <c r="G882" t="n">
        <v/>
      </c>
      <c r="H882" t="inlineStr">
        <is>
          <t>TBIL</t>
        </is>
      </c>
      <c r="I882" t="inlineStr">
        <is>
          <t>Vaneck 1-3 Month US Treasury Bond ETF</t>
        </is>
      </c>
      <c r="J882" t="inlineStr">
        <is>
          <t>AUD</t>
        </is>
      </c>
      <c r="K882" s="5" t="inlineStr">
        <is>
          <t>01a152b9-6ee2-7577-bddd-382bc3853fde</t>
        </is>
      </c>
      <c r="M882" t="inlineStr">
        <is>
          <t>UNKNOWN</t>
        </is>
      </c>
      <c r="N882" t="inlineStr">
        <is>
          <t>DEFAULT</t>
        </is>
      </c>
      <c r="Q882" t="n">
        <v>0</v>
      </c>
      <c r="R882" t="inlineStr">
        <is>
          <t>AUD</t>
        </is>
      </c>
      <c r="S882" t="n">
        <v>0</v>
      </c>
      <c r="T882" t="inlineStr">
        <is>
          <t>AUD</t>
        </is>
      </c>
      <c r="U882" t="n">
        <v>0</v>
      </c>
    </row>
    <row r="883">
      <c r="A883" s="5" t="inlineStr">
        <is>
          <t>01a152b9-7de6-7206-aad3-f1274919d914</t>
        </is>
      </c>
      <c r="C883" s="5" t="inlineStr">
        <is>
          <t>01a152b9-6e67-75da-8adb-b03e5d07fd21</t>
        </is>
      </c>
      <c r="D883" s="4" t="n">
        <v>46314.24595526448</v>
      </c>
      <c r="E883" s="4" t="n">
        <v>46314.24595526462</v>
      </c>
      <c r="F883" t="b">
        <v>1</v>
      </c>
      <c r="G883" t="n">
        <v/>
      </c>
      <c r="H883" t="inlineStr">
        <is>
          <t>IKO</t>
        </is>
      </c>
      <c r="I883" t="inlineStr">
        <is>
          <t>Ishares MSCI South Korea ETF</t>
        </is>
      </c>
      <c r="J883" t="inlineStr">
        <is>
          <t>AUD</t>
        </is>
      </c>
      <c r="K883" s="5" t="inlineStr">
        <is>
          <t>01a152b9-6ee2-7577-bddd-382bc3853fde</t>
        </is>
      </c>
      <c r="M883" t="inlineStr">
        <is>
          <t>UNKNOWN</t>
        </is>
      </c>
      <c r="N883" t="inlineStr">
        <is>
          <t>DEFAULT</t>
        </is>
      </c>
      <c r="Q883" t="n">
        <v>0</v>
      </c>
      <c r="R883" t="inlineStr">
        <is>
          <t>AUD</t>
        </is>
      </c>
      <c r="S883" t="n">
        <v>0</v>
      </c>
      <c r="T883" t="inlineStr">
        <is>
          <t>AUD</t>
        </is>
      </c>
      <c r="U883" t="n">
        <v>0</v>
      </c>
    </row>
    <row r="884">
      <c r="A884" s="5" t="inlineStr">
        <is>
          <t>01a152b9-7dea-70c3-ba63-a897184fef11</t>
        </is>
      </c>
      <c r="C884" s="5" t="inlineStr">
        <is>
          <t>01a152b9-6e67-75da-8adb-b03e5d07fd21</t>
        </is>
      </c>
      <c r="D884" s="4" t="n">
        <v>46314.24595531321</v>
      </c>
      <c r="E884" s="4" t="n">
        <v>46314.24595531334</v>
      </c>
      <c r="F884" t="b">
        <v>1</v>
      </c>
      <c r="G884" t="n">
        <v/>
      </c>
      <c r="H884" t="inlineStr">
        <is>
          <t>MRL</t>
        </is>
      </c>
      <c r="I884" t="inlineStr">
        <is>
          <t>Mayur Resources Ltd</t>
        </is>
      </c>
      <c r="J884" t="inlineStr">
        <is>
          <t>AUD</t>
        </is>
      </c>
      <c r="K884" s="5" t="inlineStr">
        <is>
          <t>01a152b9-6ee2-7577-bddd-382bc3853fde</t>
        </is>
      </c>
      <c r="M884" t="inlineStr">
        <is>
          <t>UNKNOWN</t>
        </is>
      </c>
      <c r="N884" t="inlineStr">
        <is>
          <t>DEFAULT</t>
        </is>
      </c>
      <c r="Q884" t="n">
        <v>0</v>
      </c>
      <c r="R884" t="inlineStr">
        <is>
          <t>AUD</t>
        </is>
      </c>
      <c r="S884" t="n">
        <v>0</v>
      </c>
      <c r="T884" t="inlineStr">
        <is>
          <t>AUD</t>
        </is>
      </c>
      <c r="U884" t="n">
        <v>0</v>
      </c>
    </row>
    <row r="885">
      <c r="A885" s="5" t="inlineStr">
        <is>
          <t>01a152b9-7dee-75f6-9808-d0d00e7634bd</t>
        </is>
      </c>
      <c r="C885" s="5" t="inlineStr">
        <is>
          <t>01a152b9-6e67-75da-8adb-b03e5d07fd21</t>
        </is>
      </c>
      <c r="D885" s="4" t="n">
        <v>46314.24595536011</v>
      </c>
      <c r="E885" s="4" t="n">
        <v>46314.24595536022</v>
      </c>
      <c r="F885" t="b">
        <v>1</v>
      </c>
      <c r="G885" t="n">
        <v/>
      </c>
      <c r="H885" t="inlineStr">
        <is>
          <t>MTM</t>
        </is>
      </c>
      <c r="I885" t="inlineStr">
        <is>
          <t>MTM Critical Metals Ltd</t>
        </is>
      </c>
      <c r="J885" t="inlineStr">
        <is>
          <t>AUD</t>
        </is>
      </c>
      <c r="K885" s="5" t="inlineStr">
        <is>
          <t>01a152b9-6ee2-7577-bddd-382bc3853fde</t>
        </is>
      </c>
      <c r="M885" t="inlineStr">
        <is>
          <t>UNKNOWN</t>
        </is>
      </c>
      <c r="N885" t="inlineStr">
        <is>
          <t>DEFAULT</t>
        </is>
      </c>
      <c r="Q885" t="n">
        <v>0</v>
      </c>
      <c r="R885" t="inlineStr">
        <is>
          <t>AUD</t>
        </is>
      </c>
      <c r="S885" t="n">
        <v>0</v>
      </c>
      <c r="T885" t="inlineStr">
        <is>
          <t>AUD</t>
        </is>
      </c>
      <c r="U885" t="n">
        <v>0</v>
      </c>
    </row>
    <row r="886">
      <c r="A886" s="5" t="inlineStr">
        <is>
          <t>01a152b9-7df2-7409-9b86-6baf1bbf5b10</t>
        </is>
      </c>
      <c r="C886" s="5" t="inlineStr">
        <is>
          <t>01a152b9-6e67-75da-8adb-b03e5d07fd21</t>
        </is>
      </c>
      <c r="D886" s="4" t="n">
        <v>46314.24595540187</v>
      </c>
      <c r="E886" s="4" t="n">
        <v>46314.24595540198</v>
      </c>
      <c r="F886" t="b">
        <v>1</v>
      </c>
      <c r="G886" t="n">
        <v/>
      </c>
      <c r="H886" t="inlineStr">
        <is>
          <t>CY5</t>
        </is>
      </c>
      <c r="I886" t="inlineStr">
        <is>
          <t>CYGNUS Metals Ltd</t>
        </is>
      </c>
      <c r="J886" t="inlineStr">
        <is>
          <t>AUD</t>
        </is>
      </c>
      <c r="K886" s="5" t="inlineStr">
        <is>
          <t>01a152b9-6ee2-7577-bddd-382bc3853fde</t>
        </is>
      </c>
      <c r="M886" t="inlineStr">
        <is>
          <t>UNKNOWN</t>
        </is>
      </c>
      <c r="N886" t="inlineStr">
        <is>
          <t>DEFAULT</t>
        </is>
      </c>
      <c r="Q886" t="n">
        <v>0</v>
      </c>
      <c r="R886" t="inlineStr">
        <is>
          <t>AUD</t>
        </is>
      </c>
      <c r="S886" t="n">
        <v>0</v>
      </c>
      <c r="T886" t="inlineStr">
        <is>
          <t>AUD</t>
        </is>
      </c>
      <c r="U886" t="n">
        <v>0</v>
      </c>
    </row>
    <row r="887">
      <c r="A887" s="5" t="inlineStr">
        <is>
          <t>01a152b9-7df6-7417-ae31-38c8c63f6dd5</t>
        </is>
      </c>
      <c r="C887" s="5" t="inlineStr">
        <is>
          <t>01a152b9-6e67-75da-8adb-b03e5d07fd21</t>
        </is>
      </c>
      <c r="D887" s="4" t="n">
        <v>46314.24595544284</v>
      </c>
      <c r="E887" s="4" t="n">
        <v>46314.24595544294</v>
      </c>
      <c r="F887" t="b">
        <v>1</v>
      </c>
      <c r="G887" t="n">
        <v/>
      </c>
      <c r="H887" t="inlineStr">
        <is>
          <t>RXL</t>
        </is>
      </c>
      <c r="I887" t="inlineStr">
        <is>
          <t>ROX Resources Ltd</t>
        </is>
      </c>
      <c r="J887" t="inlineStr">
        <is>
          <t>AUD</t>
        </is>
      </c>
      <c r="K887" s="5" t="inlineStr">
        <is>
          <t>01a152b9-6ee2-7577-bddd-382bc3853fde</t>
        </is>
      </c>
      <c r="M887" t="inlineStr">
        <is>
          <t>UNKNOWN</t>
        </is>
      </c>
      <c r="N887" t="inlineStr">
        <is>
          <t>DEFAULT</t>
        </is>
      </c>
      <c r="Q887" t="n">
        <v>0</v>
      </c>
      <c r="R887" t="inlineStr">
        <is>
          <t>AUD</t>
        </is>
      </c>
      <c r="S887" t="n">
        <v>0</v>
      </c>
      <c r="T887" t="inlineStr">
        <is>
          <t>AUD</t>
        </is>
      </c>
      <c r="U887" t="n">
        <v>0</v>
      </c>
    </row>
    <row r="888">
      <c r="A888" s="5" t="inlineStr">
        <is>
          <t>01a152b9-7df9-7402-b7c0-ef88f2bc6a95</t>
        </is>
      </c>
      <c r="C888" s="5" t="inlineStr">
        <is>
          <t>01a152b9-6e67-75da-8adb-b03e5d07fd21</t>
        </is>
      </c>
      <c r="D888" s="4" t="n">
        <v>46314.24595547847</v>
      </c>
      <c r="E888" s="4" t="n">
        <v>46314.24595547857</v>
      </c>
      <c r="F888" t="b">
        <v>1</v>
      </c>
      <c r="G888" t="n">
        <v/>
      </c>
      <c r="H888" t="inlineStr">
        <is>
          <t>CAM</t>
        </is>
      </c>
      <c r="I888" t="inlineStr">
        <is>
          <t>Clime Capital Ltd</t>
        </is>
      </c>
      <c r="J888" t="inlineStr">
        <is>
          <t>AUD</t>
        </is>
      </c>
      <c r="K888" s="5" t="inlineStr">
        <is>
          <t>01a152b9-6ee2-7577-bddd-382bc3853fde</t>
        </is>
      </c>
      <c r="M888" t="inlineStr">
        <is>
          <t>UNKNOWN</t>
        </is>
      </c>
      <c r="N888" t="inlineStr">
        <is>
          <t>DEFAULT</t>
        </is>
      </c>
      <c r="Q888" t="n">
        <v>0</v>
      </c>
      <c r="R888" t="inlineStr">
        <is>
          <t>AUD</t>
        </is>
      </c>
      <c r="S888" t="n">
        <v>0</v>
      </c>
      <c r="T888" t="inlineStr">
        <is>
          <t>AUD</t>
        </is>
      </c>
      <c r="U888" t="n">
        <v>0</v>
      </c>
    </row>
    <row r="889">
      <c r="A889" s="5" t="inlineStr">
        <is>
          <t>01a152b9-7dfc-76de-b0cb-56e103e4a4f5</t>
        </is>
      </c>
      <c r="C889" s="5" t="inlineStr">
        <is>
          <t>01a152b9-6e67-75da-8adb-b03e5d07fd21</t>
        </is>
      </c>
      <c r="D889" s="4" t="n">
        <v>46314.24595551925</v>
      </c>
      <c r="E889" s="4" t="n">
        <v>46314.24595551938</v>
      </c>
      <c r="F889" t="b">
        <v>1</v>
      </c>
      <c r="G889" t="n">
        <v/>
      </c>
      <c r="H889" t="inlineStr">
        <is>
          <t>CGUN</t>
        </is>
      </c>
      <c r="I889" t="inlineStr">
        <is>
          <t>Claremont Global Fund (Managed Fund)</t>
        </is>
      </c>
      <c r="J889" t="inlineStr">
        <is>
          <t>AUD</t>
        </is>
      </c>
      <c r="K889" s="5" t="inlineStr">
        <is>
          <t>01a152b9-6ee2-7577-bddd-382bc3853fde</t>
        </is>
      </c>
      <c r="M889" t="inlineStr">
        <is>
          <t>UNKNOWN</t>
        </is>
      </c>
      <c r="N889" t="inlineStr">
        <is>
          <t>DEFAULT</t>
        </is>
      </c>
      <c r="Q889" t="n">
        <v>0</v>
      </c>
      <c r="R889" t="inlineStr">
        <is>
          <t>AUD</t>
        </is>
      </c>
      <c r="S889" t="n">
        <v>0</v>
      </c>
      <c r="T889" t="inlineStr">
        <is>
          <t>AUD</t>
        </is>
      </c>
      <c r="U889" t="n">
        <v>0</v>
      </c>
    </row>
    <row r="890">
      <c r="A890" s="5" t="inlineStr">
        <is>
          <t>01a152b9-7e00-711a-8821-f8496cd9696f</t>
        </is>
      </c>
      <c r="C890" s="5" t="inlineStr">
        <is>
          <t>01a152b9-6e67-75da-8adb-b03e5d07fd21</t>
        </is>
      </c>
      <c r="D890" s="4" t="n">
        <v>46314.24595556036</v>
      </c>
      <c r="E890" s="4" t="n">
        <v>46314.24595556047</v>
      </c>
      <c r="F890" t="b">
        <v>1</v>
      </c>
      <c r="G890" t="n">
        <v/>
      </c>
      <c r="H890" t="inlineStr">
        <is>
          <t>OOO</t>
        </is>
      </c>
      <c r="I890" t="inlineStr">
        <is>
          <t>Betashares Crude Oil INDEX Currncy HDG Complex ETF</t>
        </is>
      </c>
      <c r="J890" t="inlineStr">
        <is>
          <t>AUD</t>
        </is>
      </c>
      <c r="K890" s="5" t="inlineStr">
        <is>
          <t>01a152b9-6ee2-7577-bddd-382bc3853fde</t>
        </is>
      </c>
      <c r="M890" t="inlineStr">
        <is>
          <t>UNKNOWN</t>
        </is>
      </c>
      <c r="N890" t="inlineStr">
        <is>
          <t>DEFAULT</t>
        </is>
      </c>
      <c r="Q890" t="n">
        <v>0</v>
      </c>
      <c r="R890" t="inlineStr">
        <is>
          <t>AUD</t>
        </is>
      </c>
      <c r="S890" t="n">
        <v>0</v>
      </c>
      <c r="T890" t="inlineStr">
        <is>
          <t>AUD</t>
        </is>
      </c>
      <c r="U890" t="n">
        <v>0</v>
      </c>
    </row>
    <row r="891">
      <c r="A891" s="5" t="inlineStr">
        <is>
          <t>01a152b9-7e03-769f-b7f8-a3f4cdd25c1c</t>
        </is>
      </c>
      <c r="C891" s="5" t="inlineStr">
        <is>
          <t>01a152b9-6e67-75da-8adb-b03e5d07fd21</t>
        </is>
      </c>
      <c r="D891" s="4" t="n">
        <v>46314.24595559737</v>
      </c>
      <c r="E891" s="4" t="n">
        <v>46314.24595559748</v>
      </c>
      <c r="F891" t="b">
        <v>1</v>
      </c>
      <c r="G891" t="n">
        <v/>
      </c>
      <c r="H891" t="inlineStr">
        <is>
          <t>SDI</t>
        </is>
      </c>
      <c r="I891" t="inlineStr">
        <is>
          <t>SDI Ltd</t>
        </is>
      </c>
      <c r="J891" t="inlineStr">
        <is>
          <t>AUD</t>
        </is>
      </c>
      <c r="K891" s="5" t="inlineStr">
        <is>
          <t>01a152b9-6ee2-7577-bddd-382bc3853fde</t>
        </is>
      </c>
      <c r="M891" t="inlineStr">
        <is>
          <t>UNKNOWN</t>
        </is>
      </c>
      <c r="N891" t="inlineStr">
        <is>
          <t>DEFAULT</t>
        </is>
      </c>
      <c r="Q891" t="n">
        <v>0</v>
      </c>
      <c r="R891" t="inlineStr">
        <is>
          <t>AUD</t>
        </is>
      </c>
      <c r="S891" t="n">
        <v>0</v>
      </c>
      <c r="T891" t="inlineStr">
        <is>
          <t>AUD</t>
        </is>
      </c>
      <c r="U891" t="n">
        <v>0</v>
      </c>
    </row>
    <row r="892">
      <c r="A892" s="5" t="inlineStr">
        <is>
          <t>01a152b9-7e06-71c7-859a-9e532f9f29b8</t>
        </is>
      </c>
      <c r="C892" s="5" t="inlineStr">
        <is>
          <t>01a152b9-6e67-75da-8adb-b03e5d07fd21</t>
        </is>
      </c>
      <c r="D892" s="4" t="n">
        <v>46314.24595563329</v>
      </c>
      <c r="E892" s="4" t="n">
        <v>46314.24595563338</v>
      </c>
      <c r="F892" t="b">
        <v>1</v>
      </c>
      <c r="G892" t="n">
        <v/>
      </c>
      <c r="H892" t="inlineStr">
        <is>
          <t>CVV</t>
        </is>
      </c>
      <c r="I892" t="inlineStr">
        <is>
          <t>Caravel Minerals Ltd</t>
        </is>
      </c>
      <c r="J892" t="inlineStr">
        <is>
          <t>AUD</t>
        </is>
      </c>
      <c r="K892" s="5" t="inlineStr">
        <is>
          <t>01a152b9-6ee2-7577-bddd-382bc3853fde</t>
        </is>
      </c>
      <c r="M892" t="inlineStr">
        <is>
          <t>UNKNOWN</t>
        </is>
      </c>
      <c r="N892" t="inlineStr">
        <is>
          <t>DEFAULT</t>
        </is>
      </c>
      <c r="Q892" t="n">
        <v>0</v>
      </c>
      <c r="R892" t="inlineStr">
        <is>
          <t>AUD</t>
        </is>
      </c>
      <c r="S892" t="n">
        <v>0</v>
      </c>
      <c r="T892" t="inlineStr">
        <is>
          <t>AUD</t>
        </is>
      </c>
      <c r="U892" t="n">
        <v>0</v>
      </c>
    </row>
    <row r="893">
      <c r="A893" s="5" t="inlineStr">
        <is>
          <t>01a152b9-7e0a-7606-8e53-67ec6fd2b58b</t>
        </is>
      </c>
      <c r="C893" s="5" t="inlineStr">
        <is>
          <t>01a152b9-6e67-75da-8adb-b03e5d07fd21</t>
        </is>
      </c>
      <c r="D893" s="4" t="n">
        <v>46314.24595567492</v>
      </c>
      <c r="E893" s="4" t="n">
        <v>46314.24595567501</v>
      </c>
      <c r="F893" t="b">
        <v>1</v>
      </c>
      <c r="G893" t="n">
        <v/>
      </c>
      <c r="H893" t="inlineStr">
        <is>
          <t>SNC</t>
        </is>
      </c>
      <c r="I893" t="inlineStr">
        <is>
          <t>Sandon Capital Investments Ltd</t>
        </is>
      </c>
      <c r="J893" t="inlineStr">
        <is>
          <t>AUD</t>
        </is>
      </c>
      <c r="K893" s="5" t="inlineStr">
        <is>
          <t>01a152b9-6ee2-7577-bddd-382bc3853fde</t>
        </is>
      </c>
      <c r="M893" t="inlineStr">
        <is>
          <t>UNKNOWN</t>
        </is>
      </c>
      <c r="N893" t="inlineStr">
        <is>
          <t>DEFAULT</t>
        </is>
      </c>
      <c r="Q893" t="n">
        <v>0</v>
      </c>
      <c r="R893" t="inlineStr">
        <is>
          <t>AUD</t>
        </is>
      </c>
      <c r="S893" t="n">
        <v>0</v>
      </c>
      <c r="T893" t="inlineStr">
        <is>
          <t>AUD</t>
        </is>
      </c>
      <c r="U893" t="n">
        <v>0</v>
      </c>
    </row>
    <row r="894">
      <c r="A894" s="5" t="inlineStr">
        <is>
          <t>01a152b9-7e0d-77e1-b83e-b120779bd227</t>
        </is>
      </c>
      <c r="C894" s="5" t="inlineStr">
        <is>
          <t>01a152b9-6e67-75da-8adb-b03e5d07fd21</t>
        </is>
      </c>
      <c r="D894" s="4" t="n">
        <v>46314.24595571831</v>
      </c>
      <c r="E894" s="4" t="n">
        <v>46314.24595571845</v>
      </c>
      <c r="F894" t="b">
        <v>1</v>
      </c>
      <c r="G894" t="n">
        <v/>
      </c>
      <c r="H894" t="inlineStr">
        <is>
          <t>AHC</t>
        </is>
      </c>
      <c r="I894" t="inlineStr">
        <is>
          <t>Austco Healthcare Ltd</t>
        </is>
      </c>
      <c r="J894" t="inlineStr">
        <is>
          <t>AUD</t>
        </is>
      </c>
      <c r="K894" s="5" t="inlineStr">
        <is>
          <t>01a152b9-6ee2-7577-bddd-382bc3853fde</t>
        </is>
      </c>
      <c r="M894" t="inlineStr">
        <is>
          <t>UNKNOWN</t>
        </is>
      </c>
      <c r="N894" t="inlineStr">
        <is>
          <t>DEFAULT</t>
        </is>
      </c>
      <c r="Q894" t="n">
        <v>0</v>
      </c>
      <c r="R894" t="inlineStr">
        <is>
          <t>AUD</t>
        </is>
      </c>
      <c r="S894" t="n">
        <v>0</v>
      </c>
      <c r="T894" t="inlineStr">
        <is>
          <t>AUD</t>
        </is>
      </c>
      <c r="U894" t="n">
        <v>0</v>
      </c>
    </row>
    <row r="895">
      <c r="A895" s="5" t="inlineStr">
        <is>
          <t>01a152b9-7e11-72b6-a5fd-7aee17c82416</t>
        </is>
      </c>
      <c r="C895" s="5" t="inlineStr">
        <is>
          <t>01a152b9-6e67-75da-8adb-b03e5d07fd21</t>
        </is>
      </c>
      <c r="D895" s="4" t="n">
        <v>46314.24595576457</v>
      </c>
      <c r="E895" s="4" t="n">
        <v>46314.24595576467</v>
      </c>
      <c r="F895" t="b">
        <v>1</v>
      </c>
      <c r="G895" t="n">
        <v/>
      </c>
      <c r="H895" t="inlineStr">
        <is>
          <t>EL8</t>
        </is>
      </c>
      <c r="I895" t="inlineStr">
        <is>
          <t>Elevate Uranium Ltd</t>
        </is>
      </c>
      <c r="J895" t="inlineStr">
        <is>
          <t>AUD</t>
        </is>
      </c>
      <c r="K895" s="5" t="inlineStr">
        <is>
          <t>01a152b9-6ee2-7577-bddd-382bc3853fde</t>
        </is>
      </c>
      <c r="M895" t="inlineStr">
        <is>
          <t>UNKNOWN</t>
        </is>
      </c>
      <c r="N895" t="inlineStr">
        <is>
          <t>DEFAULT</t>
        </is>
      </c>
      <c r="Q895" t="n">
        <v>0</v>
      </c>
      <c r="R895" t="inlineStr">
        <is>
          <t>AUD</t>
        </is>
      </c>
      <c r="S895" t="n">
        <v>0</v>
      </c>
      <c r="T895" t="inlineStr">
        <is>
          <t>AUD</t>
        </is>
      </c>
      <c r="U895" t="n">
        <v>0</v>
      </c>
    </row>
    <row r="896">
      <c r="A896" s="5" t="inlineStr">
        <is>
          <t>01a152b9-7e15-714e-99cf-30fc2b602e8d</t>
        </is>
      </c>
      <c r="C896" s="5" t="inlineStr">
        <is>
          <t>01a152b9-6e67-75da-8adb-b03e5d07fd21</t>
        </is>
      </c>
      <c r="D896" s="4" t="n">
        <v>46314.24595580773</v>
      </c>
      <c r="E896" s="4" t="n">
        <v>46314.24595580783</v>
      </c>
      <c r="F896" t="b">
        <v>1</v>
      </c>
      <c r="G896" t="n">
        <v/>
      </c>
      <c r="H896" t="inlineStr">
        <is>
          <t>VNL</t>
        </is>
      </c>
      <c r="I896" t="inlineStr">
        <is>
          <t>Vinyl Group Ltd</t>
        </is>
      </c>
      <c r="J896" t="inlineStr">
        <is>
          <t>AUD</t>
        </is>
      </c>
      <c r="K896" s="5" t="inlineStr">
        <is>
          <t>01a152b9-6ee2-7577-bddd-382bc3853fde</t>
        </is>
      </c>
      <c r="M896" t="inlineStr">
        <is>
          <t>UNKNOWN</t>
        </is>
      </c>
      <c r="N896" t="inlineStr">
        <is>
          <t>DEFAULT</t>
        </is>
      </c>
      <c r="Q896" t="n">
        <v>0</v>
      </c>
      <c r="R896" t="inlineStr">
        <is>
          <t>AUD</t>
        </is>
      </c>
      <c r="S896" t="n">
        <v>0</v>
      </c>
      <c r="T896" t="inlineStr">
        <is>
          <t>AUD</t>
        </is>
      </c>
      <c r="U896" t="n">
        <v>0</v>
      </c>
    </row>
    <row r="897">
      <c r="A897" s="5" t="inlineStr">
        <is>
          <t>01a152b9-7e19-7354-9346-76d4793602a8</t>
        </is>
      </c>
      <c r="C897" s="5" t="inlineStr">
        <is>
          <t>01a152b9-6e67-75da-8adb-b03e5d07fd21</t>
        </is>
      </c>
      <c r="D897" s="4" t="n">
        <v>46314.24595584799</v>
      </c>
      <c r="E897" s="4" t="n">
        <v>46314.24595584808</v>
      </c>
      <c r="F897" t="b">
        <v>1</v>
      </c>
      <c r="G897" t="n">
        <v/>
      </c>
      <c r="H897" t="inlineStr">
        <is>
          <t>LIN</t>
        </is>
      </c>
      <c r="I897" t="inlineStr">
        <is>
          <t>Lindian Resources Ltd</t>
        </is>
      </c>
      <c r="J897" t="inlineStr">
        <is>
          <t>AUD</t>
        </is>
      </c>
      <c r="K897" s="5" t="inlineStr">
        <is>
          <t>01a152b9-6ee2-7577-bddd-382bc3853fde</t>
        </is>
      </c>
      <c r="M897" t="inlineStr">
        <is>
          <t>UNKNOWN</t>
        </is>
      </c>
      <c r="N897" t="inlineStr">
        <is>
          <t>DEFAULT</t>
        </is>
      </c>
      <c r="Q897" t="n">
        <v>0</v>
      </c>
      <c r="R897" t="inlineStr">
        <is>
          <t>AUD</t>
        </is>
      </c>
      <c r="S897" t="n">
        <v>0</v>
      </c>
      <c r="T897" t="inlineStr">
        <is>
          <t>AUD</t>
        </is>
      </c>
      <c r="U897" t="n">
        <v>0</v>
      </c>
    </row>
    <row r="898">
      <c r="A898" s="5" t="inlineStr">
        <is>
          <t>01a152b9-7e1c-7308-881e-e1fbeb28d4a5</t>
        </is>
      </c>
      <c r="C898" s="5" t="inlineStr">
        <is>
          <t>01a152b9-6e67-75da-8adb-b03e5d07fd21</t>
        </is>
      </c>
      <c r="D898" s="4" t="n">
        <v>46314.2459558897</v>
      </c>
      <c r="E898" s="4" t="n">
        <v>46314.2459558898</v>
      </c>
      <c r="F898" t="b">
        <v>1</v>
      </c>
      <c r="G898" t="n">
        <v/>
      </c>
      <c r="H898" t="inlineStr">
        <is>
          <t>TOP</t>
        </is>
      </c>
      <c r="I898" t="inlineStr">
        <is>
          <t>Thorney Opportunities Ltd</t>
        </is>
      </c>
      <c r="J898" t="inlineStr">
        <is>
          <t>AUD</t>
        </is>
      </c>
      <c r="K898" s="5" t="inlineStr">
        <is>
          <t>01a152b9-6ee2-7577-bddd-382bc3853fde</t>
        </is>
      </c>
      <c r="M898" t="inlineStr">
        <is>
          <t>UNKNOWN</t>
        </is>
      </c>
      <c r="N898" t="inlineStr">
        <is>
          <t>DEFAULT</t>
        </is>
      </c>
      <c r="Q898" t="n">
        <v>0</v>
      </c>
      <c r="R898" t="inlineStr">
        <is>
          <t>AUD</t>
        </is>
      </c>
      <c r="S898" t="n">
        <v>0</v>
      </c>
      <c r="T898" t="inlineStr">
        <is>
          <t>AUD</t>
        </is>
      </c>
      <c r="U898" t="n">
        <v>0</v>
      </c>
    </row>
    <row r="899">
      <c r="A899" s="5" t="inlineStr">
        <is>
          <t>01a152b9-7e1f-7636-8246-ebf46964dce6</t>
        </is>
      </c>
      <c r="C899" s="5" t="inlineStr">
        <is>
          <t>01a152b9-6e67-75da-8adb-b03e5d07fd21</t>
        </is>
      </c>
      <c r="D899" s="4" t="n">
        <v>46314.2459559272</v>
      </c>
      <c r="E899" s="4" t="n">
        <v>46314.2459559273</v>
      </c>
      <c r="F899" t="b">
        <v>1</v>
      </c>
      <c r="G899" t="n">
        <v/>
      </c>
      <c r="H899" t="inlineStr">
        <is>
          <t>FDV</t>
        </is>
      </c>
      <c r="I899" t="inlineStr">
        <is>
          <t>Frontier Digital Ventures Ltd</t>
        </is>
      </c>
      <c r="J899" t="inlineStr">
        <is>
          <t>AUD</t>
        </is>
      </c>
      <c r="K899" s="5" t="inlineStr">
        <is>
          <t>01a152b9-6ee2-7577-bddd-382bc3853fde</t>
        </is>
      </c>
      <c r="M899" t="inlineStr">
        <is>
          <t>UNKNOWN</t>
        </is>
      </c>
      <c r="N899" t="inlineStr">
        <is>
          <t>DEFAULT</t>
        </is>
      </c>
      <c r="Q899" t="n">
        <v>0</v>
      </c>
      <c r="R899" t="inlineStr">
        <is>
          <t>AUD</t>
        </is>
      </c>
      <c r="S899" t="n">
        <v>0</v>
      </c>
      <c r="T899" t="inlineStr">
        <is>
          <t>AUD</t>
        </is>
      </c>
      <c r="U899" t="n">
        <v>0</v>
      </c>
    </row>
    <row r="900">
      <c r="A900" s="5" t="inlineStr">
        <is>
          <t>01a152b9-7e23-72c6-be60-f0fbbc8283aa</t>
        </is>
      </c>
      <c r="C900" s="5" t="inlineStr">
        <is>
          <t>01a152b9-6e67-75da-8adb-b03e5d07fd21</t>
        </is>
      </c>
      <c r="D900" s="4" t="n">
        <v>46314.24595596816</v>
      </c>
      <c r="E900" s="4" t="n">
        <v>46314.24595596825</v>
      </c>
      <c r="F900" t="b">
        <v>1</v>
      </c>
      <c r="G900" t="n">
        <v/>
      </c>
      <c r="H900" t="inlineStr">
        <is>
          <t>CNEW</t>
        </is>
      </c>
      <c r="I900" t="inlineStr">
        <is>
          <t>Vaneck China New Economy ETF</t>
        </is>
      </c>
      <c r="J900" t="inlineStr">
        <is>
          <t>AUD</t>
        </is>
      </c>
      <c r="K900" s="5" t="inlineStr">
        <is>
          <t>01a152b9-6ee2-7577-bddd-382bc3853fde</t>
        </is>
      </c>
      <c r="M900" t="inlineStr">
        <is>
          <t>UNKNOWN</t>
        </is>
      </c>
      <c r="N900" t="inlineStr">
        <is>
          <t>DEFAULT</t>
        </is>
      </c>
      <c r="Q900" t="n">
        <v>0</v>
      </c>
      <c r="R900" t="inlineStr">
        <is>
          <t>AUD</t>
        </is>
      </c>
      <c r="S900" t="n">
        <v>0</v>
      </c>
      <c r="T900" t="inlineStr">
        <is>
          <t>AUD</t>
        </is>
      </c>
      <c r="U900" t="n">
        <v>0</v>
      </c>
    </row>
    <row r="901">
      <c r="A901" s="5" t="inlineStr">
        <is>
          <t>01a152b9-7e26-7688-9e43-77fe11298848</t>
        </is>
      </c>
      <c r="C901" s="5" t="inlineStr">
        <is>
          <t>01a152b9-6e67-75da-8adb-b03e5d07fd21</t>
        </is>
      </c>
      <c r="D901" s="4" t="n">
        <v>46314.24595600593</v>
      </c>
      <c r="E901" s="4" t="n">
        <v>46314.24595600602</v>
      </c>
      <c r="F901" t="b">
        <v>1</v>
      </c>
      <c r="G901" t="n">
        <v/>
      </c>
      <c r="H901" t="inlineStr">
        <is>
          <t>TGF</t>
        </is>
      </c>
      <c r="I901" t="inlineStr">
        <is>
          <t>Tribeca Global Natural Resources Ltd</t>
        </is>
      </c>
      <c r="J901" t="inlineStr">
        <is>
          <t>AUD</t>
        </is>
      </c>
      <c r="K901" s="5" t="inlineStr">
        <is>
          <t>01a152b9-6ee2-7577-bddd-382bc3853fde</t>
        </is>
      </c>
      <c r="M901" t="inlineStr">
        <is>
          <t>UNKNOWN</t>
        </is>
      </c>
      <c r="N901" t="inlineStr">
        <is>
          <t>DEFAULT</t>
        </is>
      </c>
      <c r="Q901" t="n">
        <v>0</v>
      </c>
      <c r="R901" t="inlineStr">
        <is>
          <t>AUD</t>
        </is>
      </c>
      <c r="S901" t="n">
        <v>0</v>
      </c>
      <c r="T901" t="inlineStr">
        <is>
          <t>AUD</t>
        </is>
      </c>
      <c r="U901" t="n">
        <v>0</v>
      </c>
    </row>
    <row r="902">
      <c r="A902" s="5" t="inlineStr">
        <is>
          <t>01a152b9-7e2a-76b4-a425-3ed838736802</t>
        </is>
      </c>
      <c r="C902" s="5" t="inlineStr">
        <is>
          <t>01a152b9-6e67-75da-8adb-b03e5d07fd21</t>
        </is>
      </c>
      <c r="D902" s="4" t="n">
        <v>46314.24595604559</v>
      </c>
      <c r="E902" s="4" t="n">
        <v>46314.24595604568</v>
      </c>
      <c r="F902" t="b">
        <v>1</v>
      </c>
      <c r="G902" t="n">
        <v/>
      </c>
      <c r="H902" t="inlineStr">
        <is>
          <t>SMP</t>
        </is>
      </c>
      <c r="I902" t="inlineStr">
        <is>
          <t>Smartpay Holdings Ltd</t>
        </is>
      </c>
      <c r="J902" t="inlineStr">
        <is>
          <t>AUD</t>
        </is>
      </c>
      <c r="K902" s="5" t="inlineStr">
        <is>
          <t>01a152b9-6ee2-7577-bddd-382bc3853fde</t>
        </is>
      </c>
      <c r="M902" t="inlineStr">
        <is>
          <t>UNKNOWN</t>
        </is>
      </c>
      <c r="N902" t="inlineStr">
        <is>
          <t>DEFAULT</t>
        </is>
      </c>
      <c r="Q902" t="n">
        <v>0</v>
      </c>
      <c r="R902" t="inlineStr">
        <is>
          <t>AUD</t>
        </is>
      </c>
      <c r="S902" t="n">
        <v>0</v>
      </c>
      <c r="T902" t="inlineStr">
        <is>
          <t>AUD</t>
        </is>
      </c>
      <c r="U902" t="n">
        <v>0</v>
      </c>
    </row>
    <row r="903">
      <c r="A903" s="5" t="inlineStr">
        <is>
          <t>01a152b9-7e2d-74f5-817c-77fe9477b3ec</t>
        </is>
      </c>
      <c r="C903" s="5" t="inlineStr">
        <is>
          <t>01a152b9-6e67-75da-8adb-b03e5d07fd21</t>
        </is>
      </c>
      <c r="D903" s="4" t="n">
        <v>46314.24595608105</v>
      </c>
      <c r="E903" s="4" t="n">
        <v>46314.24595608115</v>
      </c>
      <c r="F903" t="b">
        <v>1</v>
      </c>
      <c r="G903" t="n">
        <v/>
      </c>
      <c r="H903" t="inlineStr">
        <is>
          <t>NZK</t>
        </is>
      </c>
      <c r="I903" t="inlineStr">
        <is>
          <t>New Zealand King Salmon Investments Ltd</t>
        </is>
      </c>
      <c r="J903" t="inlineStr">
        <is>
          <t>AUD</t>
        </is>
      </c>
      <c r="K903" s="5" t="inlineStr">
        <is>
          <t>01a152b9-6ee2-7577-bddd-382bc3853fde</t>
        </is>
      </c>
      <c r="M903" t="inlineStr">
        <is>
          <t>UNKNOWN</t>
        </is>
      </c>
      <c r="N903" t="inlineStr">
        <is>
          <t>DEFAULT</t>
        </is>
      </c>
      <c r="Q903" t="n">
        <v>0</v>
      </c>
      <c r="R903" t="inlineStr">
        <is>
          <t>AUD</t>
        </is>
      </c>
      <c r="S903" t="n">
        <v>0</v>
      </c>
      <c r="T903" t="inlineStr">
        <is>
          <t>AUD</t>
        </is>
      </c>
      <c r="U903" t="n">
        <v>0</v>
      </c>
    </row>
    <row r="904">
      <c r="A904" s="5" t="inlineStr">
        <is>
          <t>01a152b9-7e30-764b-8641-7225c6bf6fe5</t>
        </is>
      </c>
      <c r="C904" s="5" t="inlineStr">
        <is>
          <t>01a152b9-6e67-75da-8adb-b03e5d07fd21</t>
        </is>
      </c>
      <c r="D904" s="4" t="n">
        <v>46314.24595611788</v>
      </c>
      <c r="E904" s="4" t="n">
        <v>46314.245956118</v>
      </c>
      <c r="F904" t="b">
        <v>1</v>
      </c>
      <c r="G904" t="n">
        <v/>
      </c>
      <c r="H904" t="inlineStr">
        <is>
          <t>LRK</t>
        </is>
      </c>
      <c r="I904" t="inlineStr">
        <is>
          <t>Lark Distilling Co. Ltd</t>
        </is>
      </c>
      <c r="J904" t="inlineStr">
        <is>
          <t>AUD</t>
        </is>
      </c>
      <c r="K904" s="5" t="inlineStr">
        <is>
          <t>01a152b9-6ee2-7577-bddd-382bc3853fde</t>
        </is>
      </c>
      <c r="M904" t="inlineStr">
        <is>
          <t>UNKNOWN</t>
        </is>
      </c>
      <c r="N904" t="inlineStr">
        <is>
          <t>DEFAULT</t>
        </is>
      </c>
      <c r="Q904" t="n">
        <v>0</v>
      </c>
      <c r="R904" t="inlineStr">
        <is>
          <t>AUD</t>
        </is>
      </c>
      <c r="S904" t="n">
        <v>0</v>
      </c>
      <c r="T904" t="inlineStr">
        <is>
          <t>AUD</t>
        </is>
      </c>
      <c r="U904" t="n">
        <v>0</v>
      </c>
    </row>
    <row r="905">
      <c r="A905" s="5" t="inlineStr">
        <is>
          <t>01a152b9-7e33-7106-9ed4-cd4d85efed5c</t>
        </is>
      </c>
      <c r="C905" s="5" t="inlineStr">
        <is>
          <t>01a152b9-6e67-75da-8adb-b03e5d07fd21</t>
        </is>
      </c>
      <c r="D905" s="4" t="n">
        <v>46314.24595615321</v>
      </c>
      <c r="E905" s="4" t="n">
        <v>46314.24595615329</v>
      </c>
      <c r="F905" t="b">
        <v>1</v>
      </c>
      <c r="G905" t="n">
        <v/>
      </c>
      <c r="H905" t="inlineStr">
        <is>
          <t>SNT</t>
        </is>
      </c>
      <c r="I905" t="inlineStr">
        <is>
          <t>Syntara Ltd</t>
        </is>
      </c>
      <c r="J905" t="inlineStr">
        <is>
          <t>AUD</t>
        </is>
      </c>
      <c r="K905" s="5" t="inlineStr">
        <is>
          <t>01a152b9-6ee2-7577-bddd-382bc3853fde</t>
        </is>
      </c>
      <c r="M905" t="inlineStr">
        <is>
          <t>UNKNOWN</t>
        </is>
      </c>
      <c r="N905" t="inlineStr">
        <is>
          <t>DEFAULT</t>
        </is>
      </c>
      <c r="Q905" t="n">
        <v>0</v>
      </c>
      <c r="R905" t="inlineStr">
        <is>
          <t>AUD</t>
        </is>
      </c>
      <c r="S905" t="n">
        <v>0</v>
      </c>
      <c r="T905" t="inlineStr">
        <is>
          <t>AUD</t>
        </is>
      </c>
      <c r="U905" t="n">
        <v>0</v>
      </c>
    </row>
    <row r="906">
      <c r="A906" s="5" t="inlineStr">
        <is>
          <t>01a152b9-7e36-7012-918d-43125377b35a</t>
        </is>
      </c>
      <c r="C906" s="5" t="inlineStr">
        <is>
          <t>01a152b9-6e67-75da-8adb-b03e5d07fd21</t>
        </is>
      </c>
      <c r="D906" s="4" t="n">
        <v>46314.24595619189</v>
      </c>
      <c r="E906" s="4" t="n">
        <v>46314.24595619198</v>
      </c>
      <c r="F906" t="b">
        <v>1</v>
      </c>
      <c r="G906" t="n">
        <v/>
      </c>
      <c r="H906" t="inlineStr">
        <is>
          <t>BUB</t>
        </is>
      </c>
      <c r="I906" t="inlineStr">
        <is>
          <t>Bubs Australia Ltd</t>
        </is>
      </c>
      <c r="J906" t="inlineStr">
        <is>
          <t>AUD</t>
        </is>
      </c>
      <c r="K906" s="5" t="inlineStr">
        <is>
          <t>01a152b9-6ee2-7577-bddd-382bc3853fde</t>
        </is>
      </c>
      <c r="M906" t="inlineStr">
        <is>
          <t>UNKNOWN</t>
        </is>
      </c>
      <c r="N906" t="inlineStr">
        <is>
          <t>DEFAULT</t>
        </is>
      </c>
      <c r="Q906" t="n">
        <v>0</v>
      </c>
      <c r="R906" t="inlineStr">
        <is>
          <t>AUD</t>
        </is>
      </c>
      <c r="S906" t="n">
        <v>0</v>
      </c>
      <c r="T906" t="inlineStr">
        <is>
          <t>AUD</t>
        </is>
      </c>
      <c r="U906" t="n">
        <v>0</v>
      </c>
    </row>
    <row r="907">
      <c r="A907" s="5" t="inlineStr">
        <is>
          <t>01a152b9-7e3a-70f7-a0f0-370fde14f0ed</t>
        </is>
      </c>
      <c r="C907" s="5" t="inlineStr">
        <is>
          <t>01a152b9-6e67-75da-8adb-b03e5d07fd21</t>
        </is>
      </c>
      <c r="D907" s="4" t="n">
        <v>46314.24595622979</v>
      </c>
      <c r="E907" s="4" t="n">
        <v>46314.24595622988</v>
      </c>
      <c r="F907" t="b">
        <v>1</v>
      </c>
      <c r="G907" t="n">
        <v/>
      </c>
      <c r="H907" t="inlineStr">
        <is>
          <t>IPD</t>
        </is>
      </c>
      <c r="I907" t="inlineStr">
        <is>
          <t>Impedimed Ltd</t>
        </is>
      </c>
      <c r="J907" t="inlineStr">
        <is>
          <t>AUD</t>
        </is>
      </c>
      <c r="K907" s="5" t="inlineStr">
        <is>
          <t>01a152b9-6ee2-7577-bddd-382bc3853fde</t>
        </is>
      </c>
      <c r="M907" t="inlineStr">
        <is>
          <t>UNKNOWN</t>
        </is>
      </c>
      <c r="N907" t="inlineStr">
        <is>
          <t>DEFAULT</t>
        </is>
      </c>
      <c r="Q907" t="n">
        <v>0</v>
      </c>
      <c r="R907" t="inlineStr">
        <is>
          <t>AUD</t>
        </is>
      </c>
      <c r="S907" t="n">
        <v>0</v>
      </c>
      <c r="T907" t="inlineStr">
        <is>
          <t>AUD</t>
        </is>
      </c>
      <c r="U907" t="n">
        <v>0</v>
      </c>
    </row>
    <row r="908">
      <c r="A908" s="5" t="inlineStr">
        <is>
          <t>01a152b9-7e3d-7081-b298-949cbbc9b68f</t>
        </is>
      </c>
      <c r="C908" s="5" t="inlineStr">
        <is>
          <t>01a152b9-6e67-75da-8adb-b03e5d07fd21</t>
        </is>
      </c>
      <c r="D908" s="4" t="n">
        <v>46314.24595626375</v>
      </c>
      <c r="E908" s="4" t="n">
        <v>46314.24595626384</v>
      </c>
      <c r="F908" t="b">
        <v>1</v>
      </c>
      <c r="G908" t="n">
        <v/>
      </c>
      <c r="H908" t="inlineStr">
        <is>
          <t>RSH</t>
        </is>
      </c>
      <c r="I908" t="inlineStr">
        <is>
          <t>Respiri Ltd</t>
        </is>
      </c>
      <c r="J908" t="inlineStr">
        <is>
          <t>AUD</t>
        </is>
      </c>
      <c r="K908" s="5" t="inlineStr">
        <is>
          <t>01a152b9-6ee2-7577-bddd-382bc3853fde</t>
        </is>
      </c>
      <c r="M908" t="inlineStr">
        <is>
          <t>UNKNOWN</t>
        </is>
      </c>
      <c r="N908" t="inlineStr">
        <is>
          <t>DEFAULT</t>
        </is>
      </c>
      <c r="Q908" t="n">
        <v>0</v>
      </c>
      <c r="R908" t="inlineStr">
        <is>
          <t>AUD</t>
        </is>
      </c>
      <c r="S908" t="n">
        <v>0</v>
      </c>
      <c r="T908" t="inlineStr">
        <is>
          <t>AUD</t>
        </is>
      </c>
      <c r="U908" t="n">
        <v>0</v>
      </c>
    </row>
    <row r="909">
      <c r="A909" s="5" t="inlineStr">
        <is>
          <t>01a152b9-7e40-7536-862e-3f90bec9ab09</t>
        </is>
      </c>
      <c r="C909" s="5" t="inlineStr">
        <is>
          <t>01a152b9-6e67-75da-8adb-b03e5d07fd21</t>
        </is>
      </c>
      <c r="D909" s="4" t="n">
        <v>46314.24595630368</v>
      </c>
      <c r="E909" s="4" t="n">
        <v>46314.24595630377</v>
      </c>
      <c r="F909" t="b">
        <v>1</v>
      </c>
      <c r="G909" t="n">
        <v/>
      </c>
      <c r="H909" t="inlineStr">
        <is>
          <t>MHG</t>
        </is>
      </c>
      <c r="I909" t="inlineStr">
        <is>
          <t>Magellan Global EQ Fund (Currencyhdg) - Active ETF</t>
        </is>
      </c>
      <c r="J909" t="inlineStr">
        <is>
          <t>AUD</t>
        </is>
      </c>
      <c r="K909" s="5" t="inlineStr">
        <is>
          <t>01a152b9-6ee2-7577-bddd-382bc3853fde</t>
        </is>
      </c>
      <c r="M909" t="inlineStr">
        <is>
          <t>UNKNOWN</t>
        </is>
      </c>
      <c r="N909" t="inlineStr">
        <is>
          <t>DEFAULT</t>
        </is>
      </c>
      <c r="Q909" t="n">
        <v>0</v>
      </c>
      <c r="R909" t="inlineStr">
        <is>
          <t>AUD</t>
        </is>
      </c>
      <c r="S909" t="n">
        <v>0</v>
      </c>
      <c r="T909" t="inlineStr">
        <is>
          <t>AUD</t>
        </is>
      </c>
      <c r="U909" t="n">
        <v>0</v>
      </c>
    </row>
    <row r="910">
      <c r="A910" s="5" t="inlineStr">
        <is>
          <t>01a152b9-7e43-775e-bcdb-4a9a5b44c883</t>
        </is>
      </c>
      <c r="C910" s="5" t="inlineStr">
        <is>
          <t>01a152b9-6e67-75da-8adb-b03e5d07fd21</t>
        </is>
      </c>
      <c r="D910" s="4" t="n">
        <v>46314.24595634037</v>
      </c>
      <c r="E910" s="4" t="n">
        <v>46314.24595634046</v>
      </c>
      <c r="F910" t="b">
        <v>1</v>
      </c>
      <c r="G910" t="n">
        <v/>
      </c>
      <c r="H910" t="inlineStr">
        <is>
          <t>VLS</t>
        </is>
      </c>
      <c r="I910" t="inlineStr">
        <is>
          <t>Vita Life Sciences Ltd</t>
        </is>
      </c>
      <c r="J910" t="inlineStr">
        <is>
          <t>AUD</t>
        </is>
      </c>
      <c r="K910" s="5" t="inlineStr">
        <is>
          <t>01a152b9-6ee2-7577-bddd-382bc3853fde</t>
        </is>
      </c>
      <c r="M910" t="inlineStr">
        <is>
          <t>UNKNOWN</t>
        </is>
      </c>
      <c r="N910" t="inlineStr">
        <is>
          <t>DEFAULT</t>
        </is>
      </c>
      <c r="Q910" t="n">
        <v>0</v>
      </c>
      <c r="R910" t="inlineStr">
        <is>
          <t>AUD</t>
        </is>
      </c>
      <c r="S910" t="n">
        <v>0</v>
      </c>
      <c r="T910" t="inlineStr">
        <is>
          <t>AUD</t>
        </is>
      </c>
      <c r="U910" t="n">
        <v>0</v>
      </c>
    </row>
    <row r="911">
      <c r="A911" s="5" t="inlineStr">
        <is>
          <t>01a152b9-7e46-75c4-90c0-a880c77c17db</t>
        </is>
      </c>
      <c r="C911" s="5" t="inlineStr">
        <is>
          <t>01a152b9-6e67-75da-8adb-b03e5d07fd21</t>
        </is>
      </c>
      <c r="D911" s="4" t="n">
        <v>46314.2459563747</v>
      </c>
      <c r="E911" s="4" t="n">
        <v>46314.24595637479</v>
      </c>
      <c r="F911" t="b">
        <v>1</v>
      </c>
      <c r="G911" t="n">
        <v/>
      </c>
      <c r="H911" t="inlineStr">
        <is>
          <t>MDR</t>
        </is>
      </c>
      <c r="I911" t="inlineStr">
        <is>
          <t>Medadvisor Ltd</t>
        </is>
      </c>
      <c r="J911" t="inlineStr">
        <is>
          <t>AUD</t>
        </is>
      </c>
      <c r="K911" s="5" t="inlineStr">
        <is>
          <t>01a152b9-6ee2-7577-bddd-382bc3853fde</t>
        </is>
      </c>
      <c r="M911" t="inlineStr">
        <is>
          <t>UNKNOWN</t>
        </is>
      </c>
      <c r="N911" t="inlineStr">
        <is>
          <t>DEFAULT</t>
        </is>
      </c>
      <c r="Q911" t="n">
        <v>0</v>
      </c>
      <c r="R911" t="inlineStr">
        <is>
          <t>AUD</t>
        </is>
      </c>
      <c r="S911" t="n">
        <v>0</v>
      </c>
      <c r="T911" t="inlineStr">
        <is>
          <t>AUD</t>
        </is>
      </c>
      <c r="U911" t="n">
        <v>0</v>
      </c>
    </row>
    <row r="912">
      <c r="A912" s="5" t="inlineStr">
        <is>
          <t>01a152b9-7e49-7135-a3ae-ce044ee5270a</t>
        </is>
      </c>
      <c r="C912" s="5" t="inlineStr">
        <is>
          <t>01a152b9-6e67-75da-8adb-b03e5d07fd21</t>
        </is>
      </c>
      <c r="D912" s="4" t="n">
        <v>46314.24595641198</v>
      </c>
      <c r="E912" s="4" t="n">
        <v>46314.24595641207</v>
      </c>
      <c r="F912" t="b">
        <v>1</v>
      </c>
      <c r="G912" t="n">
        <v/>
      </c>
      <c r="H912" t="inlineStr">
        <is>
          <t>GDC</t>
        </is>
      </c>
      <c r="I912" t="inlineStr">
        <is>
          <t>Global Data Centre Group</t>
        </is>
      </c>
      <c r="J912" t="inlineStr">
        <is>
          <t>AUD</t>
        </is>
      </c>
      <c r="K912" s="5" t="inlineStr">
        <is>
          <t>01a152b9-6ee2-7577-bddd-382bc3853fde</t>
        </is>
      </c>
      <c r="M912" t="inlineStr">
        <is>
          <t>UNKNOWN</t>
        </is>
      </c>
      <c r="N912" t="inlineStr">
        <is>
          <t>DEFAULT</t>
        </is>
      </c>
      <c r="Q912" t="n">
        <v>0</v>
      </c>
      <c r="R912" t="inlineStr">
        <is>
          <t>AUD</t>
        </is>
      </c>
      <c r="S912" t="n">
        <v>0</v>
      </c>
      <c r="T912" t="inlineStr">
        <is>
          <t>AUD</t>
        </is>
      </c>
      <c r="U912" t="n">
        <v>0</v>
      </c>
    </row>
    <row r="913">
      <c r="A913" s="5" t="inlineStr">
        <is>
          <t>01a152b9-7e4d-7695-b145-07c2a0ac61f7</t>
        </is>
      </c>
      <c r="C913" s="5" t="inlineStr">
        <is>
          <t>01a152b9-6e67-75da-8adb-b03e5d07fd21</t>
        </is>
      </c>
      <c r="D913" s="4" t="n">
        <v>46314.24595644836</v>
      </c>
      <c r="E913" s="4" t="n">
        <v>46314.24595644845</v>
      </c>
      <c r="F913" t="b">
        <v>1</v>
      </c>
      <c r="G913" t="n">
        <v/>
      </c>
      <c r="H913" t="inlineStr">
        <is>
          <t>BCN</t>
        </is>
      </c>
      <c r="I913" t="inlineStr">
        <is>
          <t>Beacon Minerals Ltd</t>
        </is>
      </c>
      <c r="J913" t="inlineStr">
        <is>
          <t>AUD</t>
        </is>
      </c>
      <c r="K913" s="5" t="inlineStr">
        <is>
          <t>01a152b9-6ee2-7577-bddd-382bc3853fde</t>
        </is>
      </c>
      <c r="M913" t="inlineStr">
        <is>
          <t>UNKNOWN</t>
        </is>
      </c>
      <c r="N913" t="inlineStr">
        <is>
          <t>DEFAULT</t>
        </is>
      </c>
      <c r="Q913" t="n">
        <v>0</v>
      </c>
      <c r="R913" t="inlineStr">
        <is>
          <t>AUD</t>
        </is>
      </c>
      <c r="S913" t="n">
        <v>0</v>
      </c>
      <c r="T913" t="inlineStr">
        <is>
          <t>AUD</t>
        </is>
      </c>
      <c r="U913" t="n">
        <v>0</v>
      </c>
    </row>
    <row r="914">
      <c r="A914" s="5" t="inlineStr">
        <is>
          <t>01a152b9-7e50-7328-a6ae-69b78eea971d</t>
        </is>
      </c>
      <c r="C914" s="5" t="inlineStr">
        <is>
          <t>01a152b9-6e67-75da-8adb-b03e5d07fd21</t>
        </is>
      </c>
      <c r="D914" s="4" t="n">
        <v>46314.24595648389</v>
      </c>
      <c r="E914" s="4" t="n">
        <v>46314.24595648398</v>
      </c>
      <c r="F914" t="b">
        <v>1</v>
      </c>
      <c r="G914" t="n">
        <v/>
      </c>
      <c r="H914" t="inlineStr">
        <is>
          <t>AXE</t>
        </is>
      </c>
      <c r="I914" t="inlineStr">
        <is>
          <t>Archer Materials Ltd</t>
        </is>
      </c>
      <c r="J914" t="inlineStr">
        <is>
          <t>AUD</t>
        </is>
      </c>
      <c r="K914" s="5" t="inlineStr">
        <is>
          <t>01a152b9-6ee2-7577-bddd-382bc3853fde</t>
        </is>
      </c>
      <c r="M914" t="inlineStr">
        <is>
          <t>UNKNOWN</t>
        </is>
      </c>
      <c r="N914" t="inlineStr">
        <is>
          <t>DEFAULT</t>
        </is>
      </c>
      <c r="Q914" t="n">
        <v>0</v>
      </c>
      <c r="R914" t="inlineStr">
        <is>
          <t>AUD</t>
        </is>
      </c>
      <c r="S914" t="n">
        <v>0</v>
      </c>
      <c r="T914" t="inlineStr">
        <is>
          <t>AUD</t>
        </is>
      </c>
      <c r="U914" t="n">
        <v>0</v>
      </c>
    </row>
    <row r="915">
      <c r="A915" s="5" t="inlineStr">
        <is>
          <t>01a152b9-7e53-713a-bcc3-86195f7f6ad1</t>
        </is>
      </c>
      <c r="C915" s="5" t="inlineStr">
        <is>
          <t>01a152b9-6e67-75da-8adb-b03e5d07fd21</t>
        </is>
      </c>
      <c r="D915" s="4" t="n">
        <v>46314.24595652205</v>
      </c>
      <c r="E915" s="4" t="n">
        <v>46314.24595652215</v>
      </c>
      <c r="F915" t="b">
        <v>1</v>
      </c>
      <c r="G915" t="n">
        <v/>
      </c>
      <c r="H915" t="inlineStr">
        <is>
          <t>BRI</t>
        </is>
      </c>
      <c r="I915" t="inlineStr">
        <is>
          <t>Big River Industries Ltd</t>
        </is>
      </c>
      <c r="J915" t="inlineStr">
        <is>
          <t>AUD</t>
        </is>
      </c>
      <c r="K915" s="5" t="inlineStr">
        <is>
          <t>01a152b9-6ee2-7577-bddd-382bc3853fde</t>
        </is>
      </c>
      <c r="M915" t="inlineStr">
        <is>
          <t>UNKNOWN</t>
        </is>
      </c>
      <c r="N915" t="inlineStr">
        <is>
          <t>DEFAULT</t>
        </is>
      </c>
      <c r="Q915" t="n">
        <v>0</v>
      </c>
      <c r="R915" t="inlineStr">
        <is>
          <t>AUD</t>
        </is>
      </c>
      <c r="S915" t="n">
        <v>0</v>
      </c>
      <c r="T915" t="inlineStr">
        <is>
          <t>AUD</t>
        </is>
      </c>
      <c r="U915" t="n">
        <v>0</v>
      </c>
    </row>
    <row r="916">
      <c r="A916" s="5" t="inlineStr">
        <is>
          <t>01a152b9-7e56-74b3-b148-ca19c6e60836</t>
        </is>
      </c>
      <c r="C916" s="5" t="inlineStr">
        <is>
          <t>01a152b9-6e67-75da-8adb-b03e5d07fd21</t>
        </is>
      </c>
      <c r="D916" s="4" t="n">
        <v>46314.24595656335</v>
      </c>
      <c r="E916" s="4" t="n">
        <v>46314.24595656346</v>
      </c>
      <c r="F916" t="b">
        <v>1</v>
      </c>
      <c r="G916" t="n">
        <v/>
      </c>
      <c r="H916" t="inlineStr">
        <is>
          <t>RCE</t>
        </is>
      </c>
      <c r="I916" t="inlineStr">
        <is>
          <t>Recce Pharmaceuticals Ltd</t>
        </is>
      </c>
      <c r="J916" t="inlineStr">
        <is>
          <t>AUD</t>
        </is>
      </c>
      <c r="K916" s="5" t="inlineStr">
        <is>
          <t>01a152b9-6ee2-7577-bddd-382bc3853fde</t>
        </is>
      </c>
      <c r="M916" t="inlineStr">
        <is>
          <t>UNKNOWN</t>
        </is>
      </c>
      <c r="N916" t="inlineStr">
        <is>
          <t>DEFAULT</t>
        </is>
      </c>
      <c r="Q916" t="n">
        <v>0</v>
      </c>
      <c r="R916" t="inlineStr">
        <is>
          <t>AUD</t>
        </is>
      </c>
      <c r="S916" t="n">
        <v>0</v>
      </c>
      <c r="T916" t="inlineStr">
        <is>
          <t>AUD</t>
        </is>
      </c>
      <c r="U916" t="n">
        <v>0</v>
      </c>
    </row>
    <row r="917">
      <c r="A917" s="5" t="inlineStr">
        <is>
          <t>01a152b9-7e5a-72e4-8109-12790b718df3</t>
        </is>
      </c>
      <c r="C917" s="5" t="inlineStr">
        <is>
          <t>01a152b9-6e67-75da-8adb-b03e5d07fd21</t>
        </is>
      </c>
      <c r="D917" s="4" t="n">
        <v>46314.2459566062</v>
      </c>
      <c r="E917" s="4" t="n">
        <v>46314.2459566063</v>
      </c>
      <c r="F917" t="b">
        <v>1</v>
      </c>
      <c r="G917" t="n">
        <v/>
      </c>
      <c r="H917" t="inlineStr">
        <is>
          <t>MWY</t>
        </is>
      </c>
      <c r="I917" t="inlineStr">
        <is>
          <t>Midway Ltd</t>
        </is>
      </c>
      <c r="J917" t="inlineStr">
        <is>
          <t>AUD</t>
        </is>
      </c>
      <c r="K917" s="5" t="inlineStr">
        <is>
          <t>01a152b9-6ee2-7577-bddd-382bc3853fde</t>
        </is>
      </c>
      <c r="M917" t="inlineStr">
        <is>
          <t>UNKNOWN</t>
        </is>
      </c>
      <c r="N917" t="inlineStr">
        <is>
          <t>DEFAULT</t>
        </is>
      </c>
      <c r="Q917" t="n">
        <v>0</v>
      </c>
      <c r="R917" t="inlineStr">
        <is>
          <t>AUD</t>
        </is>
      </c>
      <c r="S917" t="n">
        <v>0</v>
      </c>
      <c r="T917" t="inlineStr">
        <is>
          <t>AUD</t>
        </is>
      </c>
      <c r="U917" t="n">
        <v>0</v>
      </c>
    </row>
    <row r="918">
      <c r="A918" s="5" t="inlineStr">
        <is>
          <t>01a152b9-7e5e-7147-b5b2-c77b81303c07</t>
        </is>
      </c>
      <c r="C918" s="5" t="inlineStr">
        <is>
          <t>01a152b9-6e67-75da-8adb-b03e5d07fd21</t>
        </is>
      </c>
      <c r="D918" s="4" t="n">
        <v>46314.24595664691</v>
      </c>
      <c r="E918" s="4" t="n">
        <v>46314.24595664703</v>
      </c>
      <c r="F918" t="b">
        <v>1</v>
      </c>
      <c r="G918" t="n">
        <v/>
      </c>
      <c r="H918" t="inlineStr">
        <is>
          <t>GTN</t>
        </is>
      </c>
      <c r="I918" t="inlineStr">
        <is>
          <t>GTN Ltd</t>
        </is>
      </c>
      <c r="J918" t="inlineStr">
        <is>
          <t>AUD</t>
        </is>
      </c>
      <c r="K918" s="5" t="inlineStr">
        <is>
          <t>01a152b9-6ee2-7577-bddd-382bc3853fde</t>
        </is>
      </c>
      <c r="M918" t="inlineStr">
        <is>
          <t>UNKNOWN</t>
        </is>
      </c>
      <c r="N918" t="inlineStr">
        <is>
          <t>DEFAULT</t>
        </is>
      </c>
      <c r="Q918" t="n">
        <v>0</v>
      </c>
      <c r="R918" t="inlineStr">
        <is>
          <t>AUD</t>
        </is>
      </c>
      <c r="S918" t="n">
        <v>0</v>
      </c>
      <c r="T918" t="inlineStr">
        <is>
          <t>AUD</t>
        </is>
      </c>
      <c r="U918" t="n">
        <v>0</v>
      </c>
    </row>
    <row r="919">
      <c r="A919" s="5" t="inlineStr">
        <is>
          <t>01a152b9-7e62-7222-b19c-fd0e731ed363</t>
        </is>
      </c>
      <c r="C919" s="5" t="inlineStr">
        <is>
          <t>01a152b9-6e67-75da-8adb-b03e5d07fd21</t>
        </is>
      </c>
      <c r="D919" s="4" t="n">
        <v>46314.24595669587</v>
      </c>
      <c r="E919" s="4" t="n">
        <v>46314.24595669602</v>
      </c>
      <c r="F919" t="b">
        <v>1</v>
      </c>
      <c r="G919" t="n">
        <v/>
      </c>
      <c r="H919" t="inlineStr">
        <is>
          <t>MXI</t>
        </is>
      </c>
      <c r="I919" t="inlineStr">
        <is>
          <t>Maxiparts Ltd</t>
        </is>
      </c>
      <c r="J919" t="inlineStr">
        <is>
          <t>AUD</t>
        </is>
      </c>
      <c r="K919" s="5" t="inlineStr">
        <is>
          <t>01a152b9-6ee2-7577-bddd-382bc3853fde</t>
        </is>
      </c>
      <c r="M919" t="inlineStr">
        <is>
          <t>UNKNOWN</t>
        </is>
      </c>
      <c r="N919" t="inlineStr">
        <is>
          <t>DEFAULT</t>
        </is>
      </c>
      <c r="Q919" t="n">
        <v>0</v>
      </c>
      <c r="R919" t="inlineStr">
        <is>
          <t>AUD</t>
        </is>
      </c>
      <c r="S919" t="n">
        <v>0</v>
      </c>
      <c r="T919" t="inlineStr">
        <is>
          <t>AUD</t>
        </is>
      </c>
      <c r="U919" t="n">
        <v>0</v>
      </c>
    </row>
    <row r="920">
      <c r="A920" s="5" t="inlineStr">
        <is>
          <t>01a152b9-7e66-747b-9732-30e67c765fa4</t>
        </is>
      </c>
      <c r="C920" s="5" t="inlineStr">
        <is>
          <t>01a152b9-6e67-75da-8adb-b03e5d07fd21</t>
        </is>
      </c>
      <c r="D920" s="4" t="n">
        <v>46314.24595674221</v>
      </c>
      <c r="E920" s="4" t="n">
        <v>46314.24595674235</v>
      </c>
      <c r="F920" t="b">
        <v>1</v>
      </c>
      <c r="G920" t="n">
        <v/>
      </c>
      <c r="H920" t="inlineStr">
        <is>
          <t>EZZ</t>
        </is>
      </c>
      <c r="I920" t="inlineStr">
        <is>
          <t>EZZ Life Science Holdings Ltd</t>
        </is>
      </c>
      <c r="J920" t="inlineStr">
        <is>
          <t>AUD</t>
        </is>
      </c>
      <c r="K920" s="5" t="inlineStr">
        <is>
          <t>01a152b9-6ee2-7577-bddd-382bc3853fde</t>
        </is>
      </c>
      <c r="M920" t="inlineStr">
        <is>
          <t>UNKNOWN</t>
        </is>
      </c>
      <c r="N920" t="inlineStr">
        <is>
          <t>DEFAULT</t>
        </is>
      </c>
      <c r="Q920" t="n">
        <v>0</v>
      </c>
      <c r="R920" t="inlineStr">
        <is>
          <t>AUD</t>
        </is>
      </c>
      <c r="S920" t="n">
        <v>0</v>
      </c>
      <c r="T920" t="inlineStr">
        <is>
          <t>AUD</t>
        </is>
      </c>
      <c r="U920" t="n">
        <v>0</v>
      </c>
    </row>
    <row r="921">
      <c r="A921" s="5" t="inlineStr">
        <is>
          <t>01a152b9-7e6a-733d-a9f3-2404559e0169</t>
        </is>
      </c>
      <c r="C921" s="5" t="inlineStr">
        <is>
          <t>01a152b9-6e67-75da-8adb-b03e5d07fd21</t>
        </is>
      </c>
      <c r="D921" s="4" t="n">
        <v>46314.24595678845</v>
      </c>
      <c r="E921" s="4" t="n">
        <v>46314.24595678859</v>
      </c>
      <c r="F921" t="b">
        <v>1</v>
      </c>
      <c r="G921" t="n">
        <v/>
      </c>
      <c r="H921" t="inlineStr">
        <is>
          <t>TRS</t>
        </is>
      </c>
      <c r="I921" t="inlineStr">
        <is>
          <t>The Reject Shop Ltd</t>
        </is>
      </c>
      <c r="J921" t="inlineStr">
        <is>
          <t>AUD</t>
        </is>
      </c>
      <c r="K921" s="5" t="inlineStr">
        <is>
          <t>01a152b9-6ee2-7577-bddd-382bc3853fde</t>
        </is>
      </c>
      <c r="M921" t="inlineStr">
        <is>
          <t>UNKNOWN</t>
        </is>
      </c>
      <c r="N921" t="inlineStr">
        <is>
          <t>DEFAULT</t>
        </is>
      </c>
      <c r="Q921" t="n">
        <v>0</v>
      </c>
      <c r="R921" t="inlineStr">
        <is>
          <t>AUD</t>
        </is>
      </c>
      <c r="S921" t="n">
        <v>0</v>
      </c>
      <c r="T921" t="inlineStr">
        <is>
          <t>AUD</t>
        </is>
      </c>
      <c r="U921" t="n">
        <v>0</v>
      </c>
    </row>
    <row r="922">
      <c r="A922" s="5" t="inlineStr">
        <is>
          <t>01a152b9-7e6d-7736-8bdc-7c308ef5f7be</t>
        </is>
      </c>
      <c r="C922" s="5" t="inlineStr">
        <is>
          <t>01a152b9-6e67-75da-8adb-b03e5d07fd21</t>
        </is>
      </c>
      <c r="D922" s="4" t="n">
        <v>46314.2459568281</v>
      </c>
      <c r="E922" s="4" t="n">
        <v>46314.24595682823</v>
      </c>
      <c r="F922" t="b">
        <v>1</v>
      </c>
      <c r="G922" t="n">
        <v/>
      </c>
      <c r="H922" t="inlineStr">
        <is>
          <t>WR1</t>
        </is>
      </c>
      <c r="I922" t="inlineStr">
        <is>
          <t>Winsome Resources Ltd</t>
        </is>
      </c>
      <c r="J922" t="inlineStr">
        <is>
          <t>AUD</t>
        </is>
      </c>
      <c r="K922" s="5" t="inlineStr">
        <is>
          <t>01a152b9-6ee2-7577-bddd-382bc3853fde</t>
        </is>
      </c>
      <c r="M922" t="inlineStr">
        <is>
          <t>UNKNOWN</t>
        </is>
      </c>
      <c r="N922" t="inlineStr">
        <is>
          <t>DEFAULT</t>
        </is>
      </c>
      <c r="Q922" t="n">
        <v>0</v>
      </c>
      <c r="R922" t="inlineStr">
        <is>
          <t>AUD</t>
        </is>
      </c>
      <c r="S922" t="n">
        <v>0</v>
      </c>
      <c r="T922" t="inlineStr">
        <is>
          <t>AUD</t>
        </is>
      </c>
      <c r="U922" t="n">
        <v>0</v>
      </c>
    </row>
    <row r="923">
      <c r="A923" s="5" t="inlineStr">
        <is>
          <t>01a152b9-7e71-73ce-98a1-83808841a01a</t>
        </is>
      </c>
      <c r="C923" s="5" t="inlineStr">
        <is>
          <t>01a152b9-6e67-75da-8adb-b03e5d07fd21</t>
        </is>
      </c>
      <c r="D923" s="4" t="n">
        <v>46314.24595686735</v>
      </c>
      <c r="E923" s="4" t="n">
        <v>46314.24595686747</v>
      </c>
      <c r="F923" t="b">
        <v>1</v>
      </c>
      <c r="G923" t="n">
        <v/>
      </c>
      <c r="H923" t="inlineStr">
        <is>
          <t>ST1</t>
        </is>
      </c>
      <c r="I923" t="inlineStr">
        <is>
          <t>Spirit Technology Solutions Ltd</t>
        </is>
      </c>
      <c r="J923" t="inlineStr">
        <is>
          <t>AUD</t>
        </is>
      </c>
      <c r="K923" s="5" t="inlineStr">
        <is>
          <t>01a152b9-6ee2-7577-bddd-382bc3853fde</t>
        </is>
      </c>
      <c r="M923" t="inlineStr">
        <is>
          <t>UNKNOWN</t>
        </is>
      </c>
      <c r="N923" t="inlineStr">
        <is>
          <t>DEFAULT</t>
        </is>
      </c>
      <c r="Q923" t="n">
        <v>0</v>
      </c>
      <c r="R923" t="inlineStr">
        <is>
          <t>AUD</t>
        </is>
      </c>
      <c r="S923" t="n">
        <v>0</v>
      </c>
      <c r="T923" t="inlineStr">
        <is>
          <t>AUD</t>
        </is>
      </c>
      <c r="U923" t="n">
        <v>0</v>
      </c>
    </row>
    <row r="924">
      <c r="A924" s="5" t="inlineStr">
        <is>
          <t>01a152b9-7e75-723f-b286-087f3c0a9802</t>
        </is>
      </c>
      <c r="C924" s="5" t="inlineStr">
        <is>
          <t>01a152b9-6e67-75da-8adb-b03e5d07fd21</t>
        </is>
      </c>
      <c r="D924" s="4" t="n">
        <v>46314.24595691295</v>
      </c>
      <c r="E924" s="4" t="n">
        <v>46314.24595691312</v>
      </c>
      <c r="F924" t="b">
        <v>1</v>
      </c>
      <c r="G924" t="n">
        <v/>
      </c>
      <c r="H924" t="inlineStr">
        <is>
          <t>MCCL</t>
        </is>
      </c>
      <c r="I924" t="inlineStr">
        <is>
          <t>Munro Climate Change Leaders Fund Active ETF</t>
        </is>
      </c>
      <c r="J924" t="inlineStr">
        <is>
          <t>AUD</t>
        </is>
      </c>
      <c r="K924" s="5" t="inlineStr">
        <is>
          <t>01a152b9-6ee2-7577-bddd-382bc3853fde</t>
        </is>
      </c>
      <c r="M924" t="inlineStr">
        <is>
          <t>UNKNOWN</t>
        </is>
      </c>
      <c r="N924" t="inlineStr">
        <is>
          <t>DEFAULT</t>
        </is>
      </c>
      <c r="Q924" t="n">
        <v>0</v>
      </c>
      <c r="R924" t="inlineStr">
        <is>
          <t>AUD</t>
        </is>
      </c>
      <c r="S924" t="n">
        <v>0</v>
      </c>
      <c r="T924" t="inlineStr">
        <is>
          <t>AUD</t>
        </is>
      </c>
      <c r="U924" t="n">
        <v>0</v>
      </c>
    </row>
    <row r="925">
      <c r="A925" s="5" t="inlineStr">
        <is>
          <t>01a152b9-7e79-7422-9cb7-f6252c6597e6</t>
        </is>
      </c>
      <c r="C925" s="5" t="inlineStr">
        <is>
          <t>01a152b9-6e67-75da-8adb-b03e5d07fd21</t>
        </is>
      </c>
      <c r="D925" s="4" t="n">
        <v>46314.24595696198</v>
      </c>
      <c r="E925" s="4" t="n">
        <v>46314.24595696211</v>
      </c>
      <c r="F925" t="b">
        <v>1</v>
      </c>
      <c r="G925" t="n">
        <v/>
      </c>
      <c r="H925" t="inlineStr">
        <is>
          <t>DAOR</t>
        </is>
      </c>
      <c r="I925" t="inlineStr">
        <is>
          <t>Aoris Int Fund (Class D) (Hedged) Active ETF</t>
        </is>
      </c>
      <c r="J925" t="inlineStr">
        <is>
          <t>AUD</t>
        </is>
      </c>
      <c r="K925" s="5" t="inlineStr">
        <is>
          <t>01a152b9-6ee2-7577-bddd-382bc3853fde</t>
        </is>
      </c>
      <c r="M925" t="inlineStr">
        <is>
          <t>UNKNOWN</t>
        </is>
      </c>
      <c r="N925" t="inlineStr">
        <is>
          <t>DEFAULT</t>
        </is>
      </c>
      <c r="Q925" t="n">
        <v>0</v>
      </c>
      <c r="R925" t="inlineStr">
        <is>
          <t>AUD</t>
        </is>
      </c>
      <c r="S925" t="n">
        <v>0</v>
      </c>
      <c r="T925" t="inlineStr">
        <is>
          <t>AUD</t>
        </is>
      </c>
      <c r="U925" t="n">
        <v>0</v>
      </c>
    </row>
    <row r="926">
      <c r="A926" s="5" t="inlineStr">
        <is>
          <t>01a152b9-7e7c-7002-81b7-36f1cb3fd1d6</t>
        </is>
      </c>
      <c r="C926" s="5" t="inlineStr">
        <is>
          <t>01a152b9-6e67-75da-8adb-b03e5d07fd21</t>
        </is>
      </c>
      <c r="D926" s="4" t="n">
        <v>46314.24595700021</v>
      </c>
      <c r="E926" s="4" t="n">
        <v>46314.24595700033</v>
      </c>
      <c r="F926" t="b">
        <v>1</v>
      </c>
      <c r="G926" t="n">
        <v/>
      </c>
      <c r="H926" t="inlineStr">
        <is>
          <t>EGL</t>
        </is>
      </c>
      <c r="I926" t="inlineStr">
        <is>
          <t>Environmental Group Ltd (the)</t>
        </is>
      </c>
      <c r="J926" t="inlineStr">
        <is>
          <t>AUD</t>
        </is>
      </c>
      <c r="K926" s="5" t="inlineStr">
        <is>
          <t>01a152b9-6ee2-7577-bddd-382bc3853fde</t>
        </is>
      </c>
      <c r="M926" t="inlineStr">
        <is>
          <t>UNKNOWN</t>
        </is>
      </c>
      <c r="N926" t="inlineStr">
        <is>
          <t>DEFAULT</t>
        </is>
      </c>
      <c r="Q926" t="n">
        <v>0</v>
      </c>
      <c r="R926" t="inlineStr">
        <is>
          <t>AUD</t>
        </is>
      </c>
      <c r="S926" t="n">
        <v>0</v>
      </c>
      <c r="T926" t="inlineStr">
        <is>
          <t>AUD</t>
        </is>
      </c>
      <c r="U926" t="n">
        <v>0</v>
      </c>
    </row>
    <row r="927">
      <c r="A927" s="5" t="inlineStr">
        <is>
          <t>01a152b9-7e7f-77da-82da-b19260995505</t>
        </is>
      </c>
      <c r="C927" s="5" t="inlineStr">
        <is>
          <t>01a152b9-6e67-75da-8adb-b03e5d07fd21</t>
        </is>
      </c>
      <c r="D927" s="4" t="n">
        <v>46314.24595703853</v>
      </c>
      <c r="E927" s="4" t="n">
        <v>46314.24595703868</v>
      </c>
      <c r="F927" t="b">
        <v>1</v>
      </c>
      <c r="G927" t="n">
        <v/>
      </c>
      <c r="H927" t="inlineStr">
        <is>
          <t>RYD</t>
        </is>
      </c>
      <c r="I927" t="inlineStr">
        <is>
          <t>Ryder Capital Ltd</t>
        </is>
      </c>
      <c r="J927" t="inlineStr">
        <is>
          <t>AUD</t>
        </is>
      </c>
      <c r="K927" s="5" t="inlineStr">
        <is>
          <t>01a152b9-6ee2-7577-bddd-382bc3853fde</t>
        </is>
      </c>
      <c r="M927" t="inlineStr">
        <is>
          <t>UNKNOWN</t>
        </is>
      </c>
      <c r="N927" t="inlineStr">
        <is>
          <t>DEFAULT</t>
        </is>
      </c>
      <c r="Q927" t="n">
        <v>0</v>
      </c>
      <c r="R927" t="inlineStr">
        <is>
          <t>AUD</t>
        </is>
      </c>
      <c r="S927" t="n">
        <v>0</v>
      </c>
      <c r="T927" t="inlineStr">
        <is>
          <t>AUD</t>
        </is>
      </c>
      <c r="U927" t="n">
        <v>0</v>
      </c>
    </row>
    <row r="928">
      <c r="A928" s="5" t="inlineStr">
        <is>
          <t>01a152b9-7e84-731d-84d0-d08797dcbe3a</t>
        </is>
      </c>
      <c r="C928" s="5" t="inlineStr">
        <is>
          <t>01a152b9-6e67-75da-8adb-b03e5d07fd21</t>
        </is>
      </c>
      <c r="D928" s="4" t="n">
        <v>46314.24595708587</v>
      </c>
      <c r="E928" s="4" t="n">
        <v>46314.24595708603</v>
      </c>
      <c r="F928" t="b">
        <v>1</v>
      </c>
      <c r="G928" t="n">
        <v/>
      </c>
      <c r="H928" t="inlineStr">
        <is>
          <t>TWD</t>
        </is>
      </c>
      <c r="I928" t="inlineStr">
        <is>
          <t>Tamawood Ltd</t>
        </is>
      </c>
      <c r="J928" t="inlineStr">
        <is>
          <t>AUD</t>
        </is>
      </c>
      <c r="K928" s="5" t="inlineStr">
        <is>
          <t>01a152b9-6ee2-7577-bddd-382bc3853fde</t>
        </is>
      </c>
      <c r="M928" t="inlineStr">
        <is>
          <t>UNKNOWN</t>
        </is>
      </c>
      <c r="N928" t="inlineStr">
        <is>
          <t>DEFAULT</t>
        </is>
      </c>
      <c r="Q928" t="n">
        <v>0</v>
      </c>
      <c r="R928" t="inlineStr">
        <is>
          <t>AUD</t>
        </is>
      </c>
      <c r="S928" t="n">
        <v>0</v>
      </c>
      <c r="T928" t="inlineStr">
        <is>
          <t>AUD</t>
        </is>
      </c>
      <c r="U928" t="n">
        <v>0</v>
      </c>
    </row>
    <row r="929">
      <c r="A929" s="5" t="inlineStr">
        <is>
          <t>01a152b9-7e87-73ff-8a96-3562742d41c7</t>
        </is>
      </c>
      <c r="C929" s="5" t="inlineStr">
        <is>
          <t>01a152b9-6e67-75da-8adb-b03e5d07fd21</t>
        </is>
      </c>
      <c r="D929" s="4" t="n">
        <v>46314.24595712833</v>
      </c>
      <c r="E929" s="4" t="n">
        <v>46314.24595712847</v>
      </c>
      <c r="F929" t="b">
        <v>1</v>
      </c>
      <c r="G929" t="n">
        <v/>
      </c>
      <c r="H929" t="inlineStr">
        <is>
          <t>CLG</t>
        </is>
      </c>
      <c r="I929" t="inlineStr">
        <is>
          <t>Close the Loop Ltd</t>
        </is>
      </c>
      <c r="J929" t="inlineStr">
        <is>
          <t>AUD</t>
        </is>
      </c>
      <c r="K929" s="5" t="inlineStr">
        <is>
          <t>01a152b9-6ee2-7577-bddd-382bc3853fde</t>
        </is>
      </c>
      <c r="M929" t="inlineStr">
        <is>
          <t>UNKNOWN</t>
        </is>
      </c>
      <c r="N929" t="inlineStr">
        <is>
          <t>DEFAULT</t>
        </is>
      </c>
      <c r="Q929" t="n">
        <v>0</v>
      </c>
      <c r="R929" t="inlineStr">
        <is>
          <t>AUD</t>
        </is>
      </c>
      <c r="S929" t="n">
        <v>0</v>
      </c>
      <c r="T929" t="inlineStr">
        <is>
          <t>AUD</t>
        </is>
      </c>
      <c r="U929" t="n">
        <v>0</v>
      </c>
    </row>
    <row r="930">
      <c r="A930" s="5" t="inlineStr">
        <is>
          <t>01a152b9-7e8b-77ca-bcaa-185e92164437</t>
        </is>
      </c>
      <c r="C930" s="5" t="inlineStr">
        <is>
          <t>01a152b9-6e67-75da-8adb-b03e5d07fd21</t>
        </is>
      </c>
      <c r="D930" s="4" t="n">
        <v>46314.24595717272</v>
      </c>
      <c r="E930" s="4" t="n">
        <v>46314.24595717286</v>
      </c>
      <c r="F930" t="b">
        <v>1</v>
      </c>
      <c r="G930" t="n">
        <v/>
      </c>
      <c r="H930" t="inlineStr">
        <is>
          <t>IMA</t>
        </is>
      </c>
      <c r="I930" t="inlineStr">
        <is>
          <t>Image Resources NL</t>
        </is>
      </c>
      <c r="J930" t="inlineStr">
        <is>
          <t>AUD</t>
        </is>
      </c>
      <c r="K930" s="5" t="inlineStr">
        <is>
          <t>01a152b9-6ee2-7577-bddd-382bc3853fde</t>
        </is>
      </c>
      <c r="M930" t="inlineStr">
        <is>
          <t>UNKNOWN</t>
        </is>
      </c>
      <c r="N930" t="inlineStr">
        <is>
          <t>DEFAULT</t>
        </is>
      </c>
      <c r="Q930" t="n">
        <v>0</v>
      </c>
      <c r="R930" t="inlineStr">
        <is>
          <t>AUD</t>
        </is>
      </c>
      <c r="S930" t="n">
        <v>0</v>
      </c>
      <c r="T930" t="inlineStr">
        <is>
          <t>AUD</t>
        </is>
      </c>
      <c r="U930" t="n">
        <v>0</v>
      </c>
    </row>
    <row r="931">
      <c r="A931" s="5" t="inlineStr">
        <is>
          <t>01a152b9-7e8e-7488-8b32-3ffc1fc0aa4c</t>
        </is>
      </c>
      <c r="C931" s="5" t="inlineStr">
        <is>
          <t>01a152b9-6e67-75da-8adb-b03e5d07fd21</t>
        </is>
      </c>
      <c r="D931" s="4" t="n">
        <v>46314.24595720866</v>
      </c>
      <c r="E931" s="4" t="n">
        <v>46314.24595720878</v>
      </c>
      <c r="F931" t="b">
        <v>1</v>
      </c>
      <c r="G931" t="n">
        <v/>
      </c>
      <c r="H931" t="inlineStr">
        <is>
          <t>HQUS</t>
        </is>
      </c>
      <c r="I931" t="inlineStr">
        <is>
          <t>Betashares S&amp;P 500 EQUAL Weight Currency Hedged ETF</t>
        </is>
      </c>
      <c r="J931" t="inlineStr">
        <is>
          <t>AUD</t>
        </is>
      </c>
      <c r="K931" s="5" t="inlineStr">
        <is>
          <t>01a152b9-6ee2-7577-bddd-382bc3853fde</t>
        </is>
      </c>
      <c r="M931" t="inlineStr">
        <is>
          <t>UNKNOWN</t>
        </is>
      </c>
      <c r="N931" t="inlineStr">
        <is>
          <t>DEFAULT</t>
        </is>
      </c>
      <c r="Q931" t="n">
        <v>0</v>
      </c>
      <c r="R931" t="inlineStr">
        <is>
          <t>AUD</t>
        </is>
      </c>
      <c r="S931" t="n">
        <v>0</v>
      </c>
      <c r="T931" t="inlineStr">
        <is>
          <t>AUD</t>
        </is>
      </c>
      <c r="U931" t="n">
        <v>0</v>
      </c>
    </row>
    <row r="932">
      <c r="A932" s="5" t="inlineStr">
        <is>
          <t>01a152b9-7e91-7199-a31f-61d971caeac4</t>
        </is>
      </c>
      <c r="C932" s="5" t="inlineStr">
        <is>
          <t>01a152b9-6e67-75da-8adb-b03e5d07fd21</t>
        </is>
      </c>
      <c r="D932" s="4" t="n">
        <v>46314.24595724693</v>
      </c>
      <c r="E932" s="4" t="n">
        <v>46314.24595724705</v>
      </c>
      <c r="F932" t="b">
        <v>1</v>
      </c>
      <c r="G932" t="n">
        <v/>
      </c>
      <c r="H932" t="inlineStr">
        <is>
          <t>TOK</t>
        </is>
      </c>
      <c r="I932" t="inlineStr">
        <is>
          <t>Tolu Minerals Ltd</t>
        </is>
      </c>
      <c r="J932" t="inlineStr">
        <is>
          <t>AUD</t>
        </is>
      </c>
      <c r="K932" s="5" t="inlineStr">
        <is>
          <t>01a152b9-6ee2-7577-bddd-382bc3853fde</t>
        </is>
      </c>
      <c r="M932" t="inlineStr">
        <is>
          <t>UNKNOWN</t>
        </is>
      </c>
      <c r="N932" t="inlineStr">
        <is>
          <t>DEFAULT</t>
        </is>
      </c>
      <c r="Q932" t="n">
        <v>0</v>
      </c>
      <c r="R932" t="inlineStr">
        <is>
          <t>AUD</t>
        </is>
      </c>
      <c r="S932" t="n">
        <v>0</v>
      </c>
      <c r="T932" t="inlineStr">
        <is>
          <t>AUD</t>
        </is>
      </c>
      <c r="U932" t="n">
        <v>0</v>
      </c>
    </row>
    <row r="933">
      <c r="A933" s="5" t="inlineStr">
        <is>
          <t>01a152b9-7e95-7747-88b5-2af4c2d333f3</t>
        </is>
      </c>
      <c r="C933" s="5" t="inlineStr">
        <is>
          <t>01a152b9-6e67-75da-8adb-b03e5d07fd21</t>
        </is>
      </c>
      <c r="D933" s="4" t="n">
        <v>46314.24595729052</v>
      </c>
      <c r="E933" s="4" t="n">
        <v>46314.24595729064</v>
      </c>
      <c r="F933" t="b">
        <v>1</v>
      </c>
      <c r="G933" t="n">
        <v/>
      </c>
      <c r="H933" t="inlineStr">
        <is>
          <t>HCH</t>
        </is>
      </c>
      <c r="I933" t="inlineStr">
        <is>
          <t>Hot Chili Ltd</t>
        </is>
      </c>
      <c r="J933" t="inlineStr">
        <is>
          <t>AUD</t>
        </is>
      </c>
      <c r="K933" s="5" t="inlineStr">
        <is>
          <t>01a152b9-6ee2-7577-bddd-382bc3853fde</t>
        </is>
      </c>
      <c r="M933" t="inlineStr">
        <is>
          <t>UNKNOWN</t>
        </is>
      </c>
      <c r="N933" t="inlineStr">
        <is>
          <t>DEFAULT</t>
        </is>
      </c>
      <c r="Q933" t="n">
        <v>0</v>
      </c>
      <c r="R933" t="inlineStr">
        <is>
          <t>AUD</t>
        </is>
      </c>
      <c r="S933" t="n">
        <v>0</v>
      </c>
      <c r="T933" t="inlineStr">
        <is>
          <t>AUD</t>
        </is>
      </c>
      <c r="U933" t="n">
        <v>0</v>
      </c>
    </row>
    <row r="934">
      <c r="A934" s="5" t="inlineStr">
        <is>
          <t>01a152b9-7e99-77ac-baf2-f9061cdfb37b</t>
        </is>
      </c>
      <c r="C934" s="5" t="inlineStr">
        <is>
          <t>01a152b9-6e67-75da-8adb-b03e5d07fd21</t>
        </is>
      </c>
      <c r="D934" s="4" t="n">
        <v>46314.24595733406</v>
      </c>
      <c r="E934" s="4" t="n">
        <v>46314.24595733417</v>
      </c>
      <c r="F934" t="b">
        <v>1</v>
      </c>
      <c r="G934" t="n">
        <v/>
      </c>
      <c r="H934" t="inlineStr">
        <is>
          <t>OMA</t>
        </is>
      </c>
      <c r="I934" t="inlineStr">
        <is>
          <t>Omega Oil &amp; Gas Ltd</t>
        </is>
      </c>
      <c r="J934" t="inlineStr">
        <is>
          <t>AUD</t>
        </is>
      </c>
      <c r="K934" s="5" t="inlineStr">
        <is>
          <t>01a152b9-6ee2-7577-bddd-382bc3853fde</t>
        </is>
      </c>
      <c r="M934" t="inlineStr">
        <is>
          <t>UNKNOWN</t>
        </is>
      </c>
      <c r="N934" t="inlineStr">
        <is>
          <t>DEFAULT</t>
        </is>
      </c>
      <c r="Q934" t="n">
        <v>0</v>
      </c>
      <c r="R934" t="inlineStr">
        <is>
          <t>AUD</t>
        </is>
      </c>
      <c r="S934" t="n">
        <v>0</v>
      </c>
      <c r="T934" t="inlineStr">
        <is>
          <t>AUD</t>
        </is>
      </c>
      <c r="U934" t="n">
        <v>0</v>
      </c>
    </row>
    <row r="935">
      <c r="A935" s="5" t="inlineStr">
        <is>
          <t>01a152b9-7e9d-7533-afd1-d58e20cf8427</t>
        </is>
      </c>
      <c r="C935" s="5" t="inlineStr">
        <is>
          <t>01a152b9-6e67-75da-8adb-b03e5d07fd21</t>
        </is>
      </c>
      <c r="D935" s="4" t="n">
        <v>46314.24595738002</v>
      </c>
      <c r="E935" s="4" t="n">
        <v>46314.24595738012</v>
      </c>
      <c r="F935" t="b">
        <v>1</v>
      </c>
      <c r="G935" t="n">
        <v/>
      </c>
      <c r="H935" t="inlineStr">
        <is>
          <t>CD3</t>
        </is>
      </c>
      <c r="I935" t="inlineStr">
        <is>
          <t>CD Private Equity Fund Iii</t>
        </is>
      </c>
      <c r="J935" t="inlineStr">
        <is>
          <t>AUD</t>
        </is>
      </c>
      <c r="K935" s="5" t="inlineStr">
        <is>
          <t>01a152b9-6ee2-7577-bddd-382bc3853fde</t>
        </is>
      </c>
      <c r="M935" t="inlineStr">
        <is>
          <t>UNKNOWN</t>
        </is>
      </c>
      <c r="N935" t="inlineStr">
        <is>
          <t>DEFAULT</t>
        </is>
      </c>
      <c r="Q935" t="n">
        <v>0</v>
      </c>
      <c r="R935" t="inlineStr">
        <is>
          <t>AUD</t>
        </is>
      </c>
      <c r="S935" t="n">
        <v>0</v>
      </c>
      <c r="T935" t="inlineStr">
        <is>
          <t>AUD</t>
        </is>
      </c>
      <c r="U935" t="n">
        <v>0</v>
      </c>
    </row>
    <row r="936">
      <c r="A936" s="5" t="inlineStr">
        <is>
          <t>01a152b9-7ea0-705d-a0ed-27173038fadc</t>
        </is>
      </c>
      <c r="C936" s="5" t="inlineStr">
        <is>
          <t>01a152b9-6e67-75da-8adb-b03e5d07fd21</t>
        </is>
      </c>
      <c r="D936" s="4" t="n">
        <v>46314.24595741913</v>
      </c>
      <c r="E936" s="4" t="n">
        <v>46314.24595741925</v>
      </c>
      <c r="F936" t="b">
        <v>1</v>
      </c>
      <c r="G936" t="n">
        <v/>
      </c>
      <c r="H936" t="inlineStr">
        <is>
          <t>DZZF</t>
        </is>
      </c>
      <c r="I936" t="inlineStr">
        <is>
          <t>Betashares Ethical Diversified High Growth ETF</t>
        </is>
      </c>
      <c r="J936" t="inlineStr">
        <is>
          <t>AUD</t>
        </is>
      </c>
      <c r="K936" s="5" t="inlineStr">
        <is>
          <t>01a152b9-6ee2-7577-bddd-382bc3853fde</t>
        </is>
      </c>
      <c r="M936" t="inlineStr">
        <is>
          <t>UNKNOWN</t>
        </is>
      </c>
      <c r="N936" t="inlineStr">
        <is>
          <t>DEFAULT</t>
        </is>
      </c>
      <c r="Q936" t="n">
        <v>0</v>
      </c>
      <c r="R936" t="inlineStr">
        <is>
          <t>AUD</t>
        </is>
      </c>
      <c r="S936" t="n">
        <v>0</v>
      </c>
      <c r="T936" t="inlineStr">
        <is>
          <t>AUD</t>
        </is>
      </c>
      <c r="U936" t="n">
        <v>0</v>
      </c>
    </row>
    <row r="937">
      <c r="A937" s="5" t="inlineStr">
        <is>
          <t>01a152b9-7ea4-7474-8958-5830f0ea8283</t>
        </is>
      </c>
      <c r="C937" s="5" t="inlineStr">
        <is>
          <t>01a152b9-6e67-75da-8adb-b03e5d07fd21</t>
        </is>
      </c>
      <c r="D937" s="4" t="n">
        <v>46314.24595745918</v>
      </c>
      <c r="E937" s="4" t="n">
        <v>46314.24595745927</v>
      </c>
      <c r="F937" t="b">
        <v>1</v>
      </c>
      <c r="G937" t="n">
        <v/>
      </c>
      <c r="H937" t="inlineStr">
        <is>
          <t>TTM</t>
        </is>
      </c>
      <c r="I937" t="inlineStr">
        <is>
          <t>Titan Minerals Ltd</t>
        </is>
      </c>
      <c r="J937" t="inlineStr">
        <is>
          <t>AUD</t>
        </is>
      </c>
      <c r="K937" s="5" t="inlineStr">
        <is>
          <t>01a152b9-6ee2-7577-bddd-382bc3853fde</t>
        </is>
      </c>
      <c r="M937" t="inlineStr">
        <is>
          <t>UNKNOWN</t>
        </is>
      </c>
      <c r="N937" t="inlineStr">
        <is>
          <t>DEFAULT</t>
        </is>
      </c>
      <c r="Q937" t="n">
        <v>0</v>
      </c>
      <c r="R937" t="inlineStr">
        <is>
          <t>AUD</t>
        </is>
      </c>
      <c r="S937" t="n">
        <v>0</v>
      </c>
      <c r="T937" t="inlineStr">
        <is>
          <t>AUD</t>
        </is>
      </c>
      <c r="U937" t="n">
        <v>0</v>
      </c>
    </row>
    <row r="938">
      <c r="A938" s="5" t="inlineStr">
        <is>
          <t>01a152b9-7ea7-7748-9ad1-3273b0bffed7</t>
        </is>
      </c>
      <c r="C938" s="5" t="inlineStr">
        <is>
          <t>01a152b9-6e67-75da-8adb-b03e5d07fd21</t>
        </is>
      </c>
      <c r="D938" s="4" t="n">
        <v>46314.24595749674</v>
      </c>
      <c r="E938" s="4" t="n">
        <v>46314.24595749683</v>
      </c>
      <c r="F938" t="b">
        <v>1</v>
      </c>
      <c r="G938" t="n">
        <v/>
      </c>
      <c r="H938" t="inlineStr">
        <is>
          <t>TPC</t>
        </is>
      </c>
      <c r="I938" t="inlineStr">
        <is>
          <t>TPC Consolidated Ltd</t>
        </is>
      </c>
      <c r="J938" t="inlineStr">
        <is>
          <t>AUD</t>
        </is>
      </c>
      <c r="K938" s="5" t="inlineStr">
        <is>
          <t>01a152b9-6ee2-7577-bddd-382bc3853fde</t>
        </is>
      </c>
      <c r="M938" t="inlineStr">
        <is>
          <t>UNKNOWN</t>
        </is>
      </c>
      <c r="N938" t="inlineStr">
        <is>
          <t>DEFAULT</t>
        </is>
      </c>
      <c r="Q938" t="n">
        <v>0</v>
      </c>
      <c r="R938" t="inlineStr">
        <is>
          <t>AUD</t>
        </is>
      </c>
      <c r="S938" t="n">
        <v>0</v>
      </c>
      <c r="T938" t="inlineStr">
        <is>
          <t>AUD</t>
        </is>
      </c>
      <c r="U938" t="n">
        <v>0</v>
      </c>
    </row>
    <row r="939">
      <c r="A939" s="5" t="inlineStr">
        <is>
          <t>01a152b9-7eab-73df-b56d-ae529073088a</t>
        </is>
      </c>
      <c r="C939" s="5" t="inlineStr">
        <is>
          <t>01a152b9-6e67-75da-8adb-b03e5d07fd21</t>
        </is>
      </c>
      <c r="D939" s="4" t="n">
        <v>46314.24595753625</v>
      </c>
      <c r="E939" s="4" t="n">
        <v>46314.24595753634</v>
      </c>
      <c r="F939" t="b">
        <v>1</v>
      </c>
      <c r="G939" t="n">
        <v/>
      </c>
      <c r="H939" t="inlineStr">
        <is>
          <t>BDM</t>
        </is>
      </c>
      <c r="I939" t="inlineStr">
        <is>
          <t>Burgundy Diamond Mines Ltd</t>
        </is>
      </c>
      <c r="J939" t="inlineStr">
        <is>
          <t>AUD</t>
        </is>
      </c>
      <c r="K939" s="5" t="inlineStr">
        <is>
          <t>01a152b9-6ee2-7577-bddd-382bc3853fde</t>
        </is>
      </c>
      <c r="M939" t="inlineStr">
        <is>
          <t>UNKNOWN</t>
        </is>
      </c>
      <c r="N939" t="inlineStr">
        <is>
          <t>DEFAULT</t>
        </is>
      </c>
      <c r="Q939" t="n">
        <v>0</v>
      </c>
      <c r="R939" t="inlineStr">
        <is>
          <t>AUD</t>
        </is>
      </c>
      <c r="S939" t="n">
        <v>0</v>
      </c>
      <c r="T939" t="inlineStr">
        <is>
          <t>AUD</t>
        </is>
      </c>
      <c r="U939" t="n">
        <v>0</v>
      </c>
    </row>
    <row r="940">
      <c r="A940" s="5" t="inlineStr">
        <is>
          <t>01a152b9-7eae-74a8-9f8a-04425140d3b4</t>
        </is>
      </c>
      <c r="C940" s="5" t="inlineStr">
        <is>
          <t>01a152b9-6e67-75da-8adb-b03e5d07fd21</t>
        </is>
      </c>
      <c r="D940" s="4" t="n">
        <v>46314.24595757767</v>
      </c>
      <c r="E940" s="4" t="n">
        <v>46314.24595757778</v>
      </c>
      <c r="F940" t="b">
        <v>1</v>
      </c>
      <c r="G940" t="n">
        <v/>
      </c>
      <c r="H940" t="inlineStr">
        <is>
          <t>IIGF</t>
        </is>
      </c>
      <c r="I940" t="inlineStr">
        <is>
          <t>Intelligent Investor Aus EQ GRTH Fund - Active ETF</t>
        </is>
      </c>
      <c r="J940" t="inlineStr">
        <is>
          <t>AUD</t>
        </is>
      </c>
      <c r="K940" s="5" t="inlineStr">
        <is>
          <t>01a152b9-6ee2-7577-bddd-382bc3853fde</t>
        </is>
      </c>
      <c r="M940" t="inlineStr">
        <is>
          <t>UNKNOWN</t>
        </is>
      </c>
      <c r="N940" t="inlineStr">
        <is>
          <t>DEFAULT</t>
        </is>
      </c>
      <c r="Q940" t="n">
        <v>0</v>
      </c>
      <c r="R940" t="inlineStr">
        <is>
          <t>AUD</t>
        </is>
      </c>
      <c r="S940" t="n">
        <v>0</v>
      </c>
      <c r="T940" t="inlineStr">
        <is>
          <t>AUD</t>
        </is>
      </c>
      <c r="U940" t="n">
        <v>0</v>
      </c>
    </row>
    <row r="941">
      <c r="A941" s="5" t="inlineStr">
        <is>
          <t>01a152b9-7eb1-72b0-86ed-dbc4b8e35e30</t>
        </is>
      </c>
      <c r="C941" s="5" t="inlineStr">
        <is>
          <t>01a152b9-6e67-75da-8adb-b03e5d07fd21</t>
        </is>
      </c>
      <c r="D941" s="4" t="n">
        <v>46314.24595761386</v>
      </c>
      <c r="E941" s="4" t="n">
        <v>46314.24595761396</v>
      </c>
      <c r="F941" t="b">
        <v>1</v>
      </c>
      <c r="G941" t="n">
        <v/>
      </c>
      <c r="H941" t="inlineStr">
        <is>
          <t>FSA</t>
        </is>
      </c>
      <c r="I941" t="inlineStr">
        <is>
          <t>FSA Group Ltd</t>
        </is>
      </c>
      <c r="J941" t="inlineStr">
        <is>
          <t>AUD</t>
        </is>
      </c>
      <c r="K941" s="5" t="inlineStr">
        <is>
          <t>01a152b9-6ee2-7577-bddd-382bc3853fde</t>
        </is>
      </c>
      <c r="M941" t="inlineStr">
        <is>
          <t>UNKNOWN</t>
        </is>
      </c>
      <c r="N941" t="inlineStr">
        <is>
          <t>DEFAULT</t>
        </is>
      </c>
      <c r="Q941" t="n">
        <v>0</v>
      </c>
      <c r="R941" t="inlineStr">
        <is>
          <t>AUD</t>
        </is>
      </c>
      <c r="S941" t="n">
        <v>0</v>
      </c>
      <c r="T941" t="inlineStr">
        <is>
          <t>AUD</t>
        </is>
      </c>
      <c r="U941" t="n">
        <v>0</v>
      </c>
    </row>
    <row r="942">
      <c r="A942" s="5" t="inlineStr">
        <is>
          <t>01a152b9-7eb4-7188-a641-a77361456fa3</t>
        </is>
      </c>
      <c r="C942" s="5" t="inlineStr">
        <is>
          <t>01a152b9-6e67-75da-8adb-b03e5d07fd21</t>
        </is>
      </c>
      <c r="D942" s="4" t="n">
        <v>46314.24595765195</v>
      </c>
      <c r="E942" s="4" t="n">
        <v>46314.24595765205</v>
      </c>
      <c r="F942" t="b">
        <v>1</v>
      </c>
      <c r="G942" t="n">
        <v/>
      </c>
      <c r="H942" t="inlineStr">
        <is>
          <t>EGG</t>
        </is>
      </c>
      <c r="I942" t="inlineStr">
        <is>
          <t>Enero Group Ltd</t>
        </is>
      </c>
      <c r="J942" t="inlineStr">
        <is>
          <t>AUD</t>
        </is>
      </c>
      <c r="K942" s="5" t="inlineStr">
        <is>
          <t>01a152b9-6ee2-7577-bddd-382bc3853fde</t>
        </is>
      </c>
      <c r="M942" t="inlineStr">
        <is>
          <t>UNKNOWN</t>
        </is>
      </c>
      <c r="N942" t="inlineStr">
        <is>
          <t>DEFAULT</t>
        </is>
      </c>
      <c r="Q942" t="n">
        <v>0</v>
      </c>
      <c r="R942" t="inlineStr">
        <is>
          <t>AUD</t>
        </is>
      </c>
      <c r="S942" t="n">
        <v>0</v>
      </c>
      <c r="T942" t="inlineStr">
        <is>
          <t>AUD</t>
        </is>
      </c>
      <c r="U942" t="n">
        <v>0</v>
      </c>
    </row>
    <row r="943">
      <c r="A943" s="5" t="inlineStr">
        <is>
          <t>01a152b9-7eb8-71fa-aa4a-fe21e4848382</t>
        </is>
      </c>
      <c r="C943" s="5" t="inlineStr">
        <is>
          <t>01a152b9-6e67-75da-8adb-b03e5d07fd21</t>
        </is>
      </c>
      <c r="D943" s="4" t="n">
        <v>46314.24595769199</v>
      </c>
      <c r="E943" s="4" t="n">
        <v>46314.2459576921</v>
      </c>
      <c r="F943" t="b">
        <v>1</v>
      </c>
      <c r="G943" t="n">
        <v/>
      </c>
      <c r="H943" t="inlineStr">
        <is>
          <t>ARA</t>
        </is>
      </c>
      <c r="I943" t="inlineStr">
        <is>
          <t>Ariadne Australia Ltd</t>
        </is>
      </c>
      <c r="J943" t="inlineStr">
        <is>
          <t>AUD</t>
        </is>
      </c>
      <c r="K943" s="5" t="inlineStr">
        <is>
          <t>01a152b9-6ee2-7577-bddd-382bc3853fde</t>
        </is>
      </c>
      <c r="M943" t="inlineStr">
        <is>
          <t>UNKNOWN</t>
        </is>
      </c>
      <c r="N943" t="inlineStr">
        <is>
          <t>DEFAULT</t>
        </is>
      </c>
      <c r="Q943" t="n">
        <v>0</v>
      </c>
      <c r="R943" t="inlineStr">
        <is>
          <t>AUD</t>
        </is>
      </c>
      <c r="S943" t="n">
        <v>0</v>
      </c>
      <c r="T943" t="inlineStr">
        <is>
          <t>AUD</t>
        </is>
      </c>
      <c r="U943" t="n">
        <v>0</v>
      </c>
    </row>
    <row r="944">
      <c r="A944" s="5" t="inlineStr">
        <is>
          <t>01a152b9-7ebb-73c4-9114-97565fde96bd</t>
        </is>
      </c>
      <c r="C944" s="5" t="inlineStr">
        <is>
          <t>01a152b9-6e67-75da-8adb-b03e5d07fd21</t>
        </is>
      </c>
      <c r="D944" s="4" t="n">
        <v>46314.24595773028</v>
      </c>
      <c r="E944" s="4" t="n">
        <v>46314.24595773037</v>
      </c>
      <c r="F944" t="b">
        <v>1</v>
      </c>
      <c r="G944" t="n">
        <v/>
      </c>
      <c r="H944" t="inlineStr">
        <is>
          <t>PCG</t>
        </is>
      </c>
      <c r="I944" t="inlineStr">
        <is>
          <t>Pengana Capital Group Ltd</t>
        </is>
      </c>
      <c r="J944" t="inlineStr">
        <is>
          <t>AUD</t>
        </is>
      </c>
      <c r="K944" s="5" t="inlineStr">
        <is>
          <t>01a152b9-6ee2-7577-bddd-382bc3853fde</t>
        </is>
      </c>
      <c r="M944" t="inlineStr">
        <is>
          <t>UNKNOWN</t>
        </is>
      </c>
      <c r="N944" t="inlineStr">
        <is>
          <t>DEFAULT</t>
        </is>
      </c>
      <c r="Q944" t="n">
        <v>0</v>
      </c>
      <c r="R944" t="inlineStr">
        <is>
          <t>AUD</t>
        </is>
      </c>
      <c r="S944" t="n">
        <v>0</v>
      </c>
      <c r="T944" t="inlineStr">
        <is>
          <t>AUD</t>
        </is>
      </c>
      <c r="U944" t="n">
        <v>0</v>
      </c>
    </row>
    <row r="945">
      <c r="A945" s="5" t="inlineStr">
        <is>
          <t>01a152b9-7ebf-70bd-a643-5387d82ed2cd</t>
        </is>
      </c>
      <c r="C945" s="5" t="inlineStr">
        <is>
          <t>01a152b9-6e67-75da-8adb-b03e5d07fd21</t>
        </is>
      </c>
      <c r="D945" s="4" t="n">
        <v>46314.24595776835</v>
      </c>
      <c r="E945" s="4" t="n">
        <v>46314.24595776845</v>
      </c>
      <c r="F945" t="b">
        <v>1</v>
      </c>
      <c r="G945" t="n">
        <v/>
      </c>
      <c r="H945" t="inlineStr">
        <is>
          <t>ETM</t>
        </is>
      </c>
      <c r="I945" t="inlineStr">
        <is>
          <t>Energy Transition Minerals Ltd</t>
        </is>
      </c>
      <c r="J945" t="inlineStr">
        <is>
          <t>AUD</t>
        </is>
      </c>
      <c r="K945" s="5" t="inlineStr">
        <is>
          <t>01a152b9-6ee2-7577-bddd-382bc3853fde</t>
        </is>
      </c>
      <c r="M945" t="inlineStr">
        <is>
          <t>UNKNOWN</t>
        </is>
      </c>
      <c r="N945" t="inlineStr">
        <is>
          <t>DEFAULT</t>
        </is>
      </c>
      <c r="Q945" t="n">
        <v>0</v>
      </c>
      <c r="R945" t="inlineStr">
        <is>
          <t>AUD</t>
        </is>
      </c>
      <c r="S945" t="n">
        <v>0</v>
      </c>
      <c r="T945" t="inlineStr">
        <is>
          <t>AUD</t>
        </is>
      </c>
      <c r="U945" t="n">
        <v>0</v>
      </c>
    </row>
    <row r="946">
      <c r="A946" s="5" t="inlineStr">
        <is>
          <t>01a152b9-7ec2-742f-91e6-a29362482401</t>
        </is>
      </c>
      <c r="C946" s="5" t="inlineStr">
        <is>
          <t>01a152b9-6e67-75da-8adb-b03e5d07fd21</t>
        </is>
      </c>
      <c r="D946" s="4" t="n">
        <v>46314.24595780644</v>
      </c>
      <c r="E946" s="4" t="n">
        <v>46314.24595780655</v>
      </c>
      <c r="F946" t="b">
        <v>1</v>
      </c>
      <c r="G946" t="n">
        <v/>
      </c>
      <c r="H946" t="inlineStr">
        <is>
          <t>ORN</t>
        </is>
      </c>
      <c r="I946" t="inlineStr">
        <is>
          <t>Orion Minerals Ltd</t>
        </is>
      </c>
      <c r="J946" t="inlineStr">
        <is>
          <t>AUD</t>
        </is>
      </c>
      <c r="K946" s="5" t="inlineStr">
        <is>
          <t>01a152b9-6ee2-7577-bddd-382bc3853fde</t>
        </is>
      </c>
      <c r="M946" t="inlineStr">
        <is>
          <t>UNKNOWN</t>
        </is>
      </c>
      <c r="N946" t="inlineStr">
        <is>
          <t>DEFAULT</t>
        </is>
      </c>
      <c r="Q946" t="n">
        <v>0</v>
      </c>
      <c r="R946" t="inlineStr">
        <is>
          <t>AUD</t>
        </is>
      </c>
      <c r="S946" t="n">
        <v>0</v>
      </c>
      <c r="T946" t="inlineStr">
        <is>
          <t>AUD</t>
        </is>
      </c>
      <c r="U946" t="n">
        <v>0</v>
      </c>
    </row>
    <row r="947">
      <c r="A947" s="5" t="inlineStr">
        <is>
          <t>01a152b9-7ec5-7436-9651-222e92f44a48</t>
        </is>
      </c>
      <c r="C947" s="5" t="inlineStr">
        <is>
          <t>01a152b9-6e67-75da-8adb-b03e5d07fd21</t>
        </is>
      </c>
      <c r="D947" s="4" t="n">
        <v>46314.24595784122</v>
      </c>
      <c r="E947" s="4" t="n">
        <v>46314.24595784131</v>
      </c>
      <c r="F947" t="b">
        <v>1</v>
      </c>
      <c r="G947" t="n">
        <v/>
      </c>
      <c r="H947" t="inlineStr">
        <is>
          <t>SMLL</t>
        </is>
      </c>
      <c r="I947" t="inlineStr">
        <is>
          <t>Betashares Australian Small Companies Select ETF</t>
        </is>
      </c>
      <c r="J947" t="inlineStr">
        <is>
          <t>AUD</t>
        </is>
      </c>
      <c r="K947" s="5" t="inlineStr">
        <is>
          <t>01a152b9-6ee2-7577-bddd-382bc3853fde</t>
        </is>
      </c>
      <c r="M947" t="inlineStr">
        <is>
          <t>UNKNOWN</t>
        </is>
      </c>
      <c r="N947" t="inlineStr">
        <is>
          <t>DEFAULT</t>
        </is>
      </c>
      <c r="Q947" t="n">
        <v>0</v>
      </c>
      <c r="R947" t="inlineStr">
        <is>
          <t>AUD</t>
        </is>
      </c>
      <c r="S947" t="n">
        <v>0</v>
      </c>
      <c r="T947" t="inlineStr">
        <is>
          <t>AUD</t>
        </is>
      </c>
      <c r="U947" t="n">
        <v>0</v>
      </c>
    </row>
    <row r="948">
      <c r="A948" s="5" t="inlineStr">
        <is>
          <t>01a152b9-7ec9-7099-9256-f28f23cba1bc</t>
        </is>
      </c>
      <c r="C948" s="5" t="inlineStr">
        <is>
          <t>01a152b9-6e67-75da-8adb-b03e5d07fd21</t>
        </is>
      </c>
      <c r="D948" s="4" t="n">
        <v>46314.24595789165</v>
      </c>
      <c r="E948" s="4" t="n">
        <v>46314.24595789175</v>
      </c>
      <c r="F948" t="b">
        <v>1</v>
      </c>
      <c r="G948" t="n">
        <v/>
      </c>
      <c r="H948" t="inlineStr">
        <is>
          <t>DRX</t>
        </is>
      </c>
      <c r="I948" t="inlineStr">
        <is>
          <t>Diatreme Resources Ltd</t>
        </is>
      </c>
      <c r="J948" t="inlineStr">
        <is>
          <t>AUD</t>
        </is>
      </c>
      <c r="K948" s="5" t="inlineStr">
        <is>
          <t>01a152b9-6ee2-7577-bddd-382bc3853fde</t>
        </is>
      </c>
      <c r="M948" t="inlineStr">
        <is>
          <t>UNKNOWN</t>
        </is>
      </c>
      <c r="N948" t="inlineStr">
        <is>
          <t>DEFAULT</t>
        </is>
      </c>
      <c r="Q948" t="n">
        <v>0</v>
      </c>
      <c r="R948" t="inlineStr">
        <is>
          <t>AUD</t>
        </is>
      </c>
      <c r="S948" t="n">
        <v>0</v>
      </c>
      <c r="T948" t="inlineStr">
        <is>
          <t>AUD</t>
        </is>
      </c>
      <c r="U948" t="n">
        <v>0</v>
      </c>
    </row>
    <row r="949">
      <c r="A949" s="5" t="inlineStr">
        <is>
          <t>01a152b9-7ecd-71ac-b978-88036292a7bd</t>
        </is>
      </c>
      <c r="C949" s="5" t="inlineStr">
        <is>
          <t>01a152b9-6e67-75da-8adb-b03e5d07fd21</t>
        </is>
      </c>
      <c r="D949" s="4" t="n">
        <v>46314.24595793305</v>
      </c>
      <c r="E949" s="4" t="n">
        <v>46314.24595793316</v>
      </c>
      <c r="F949" t="b">
        <v>1</v>
      </c>
      <c r="G949" t="n">
        <v/>
      </c>
      <c r="H949" t="inlineStr">
        <is>
          <t>EXP</t>
        </is>
      </c>
      <c r="I949" t="inlineStr">
        <is>
          <t>Experience Co Ltd</t>
        </is>
      </c>
      <c r="J949" t="inlineStr">
        <is>
          <t>AUD</t>
        </is>
      </c>
      <c r="K949" s="5" t="inlineStr">
        <is>
          <t>01a152b9-6ee2-7577-bddd-382bc3853fde</t>
        </is>
      </c>
      <c r="M949" t="inlineStr">
        <is>
          <t>UNKNOWN</t>
        </is>
      </c>
      <c r="N949" t="inlineStr">
        <is>
          <t>DEFAULT</t>
        </is>
      </c>
      <c r="Q949" t="n">
        <v>0</v>
      </c>
      <c r="R949" t="inlineStr">
        <is>
          <t>AUD</t>
        </is>
      </c>
      <c r="S949" t="n">
        <v>0</v>
      </c>
      <c r="T949" t="inlineStr">
        <is>
          <t>AUD</t>
        </is>
      </c>
      <c r="U949" t="n">
        <v>0</v>
      </c>
    </row>
    <row r="950">
      <c r="A950" s="5" t="inlineStr">
        <is>
          <t>01a152b9-7ed0-72a1-80b1-75240ef7e556</t>
        </is>
      </c>
      <c r="C950" s="5" t="inlineStr">
        <is>
          <t>01a152b9-6e67-75da-8adb-b03e5d07fd21</t>
        </is>
      </c>
      <c r="D950" s="4" t="n">
        <v>46314.24595797582</v>
      </c>
      <c r="E950" s="4" t="n">
        <v>46314.24595797595</v>
      </c>
      <c r="F950" t="b">
        <v>1</v>
      </c>
      <c r="G950" t="n">
        <v/>
      </c>
      <c r="H950" t="inlineStr">
        <is>
          <t>ERTH</t>
        </is>
      </c>
      <c r="I950" t="inlineStr">
        <is>
          <t>Betashares Climate Change Innovation ETF</t>
        </is>
      </c>
      <c r="J950" t="inlineStr">
        <is>
          <t>AUD</t>
        </is>
      </c>
      <c r="K950" s="5" t="inlineStr">
        <is>
          <t>01a152b9-6ee2-7577-bddd-382bc3853fde</t>
        </is>
      </c>
      <c r="M950" t="inlineStr">
        <is>
          <t>UNKNOWN</t>
        </is>
      </c>
      <c r="N950" t="inlineStr">
        <is>
          <t>DEFAULT</t>
        </is>
      </c>
      <c r="Q950" t="n">
        <v>0</v>
      </c>
      <c r="R950" t="inlineStr">
        <is>
          <t>AUD</t>
        </is>
      </c>
      <c r="S950" t="n">
        <v>0</v>
      </c>
      <c r="T950" t="inlineStr">
        <is>
          <t>AUD</t>
        </is>
      </c>
      <c r="U950" t="n">
        <v>0</v>
      </c>
    </row>
    <row r="951">
      <c r="A951" s="5" t="inlineStr">
        <is>
          <t>01a152b9-7ed4-7230-8a7a-6aaace17c093</t>
        </is>
      </c>
      <c r="C951" s="5" t="inlineStr">
        <is>
          <t>01a152b9-6e67-75da-8adb-b03e5d07fd21</t>
        </is>
      </c>
      <c r="D951" s="4" t="n">
        <v>46314.24595801933</v>
      </c>
      <c r="E951" s="4" t="n">
        <v>46314.24595801941</v>
      </c>
      <c r="F951" t="b">
        <v>1</v>
      </c>
      <c r="G951" t="n">
        <v/>
      </c>
      <c r="H951" t="inlineStr">
        <is>
          <t>HZR</t>
        </is>
      </c>
      <c r="I951" t="inlineStr">
        <is>
          <t>HAZER Group Ltd</t>
        </is>
      </c>
      <c r="J951" t="inlineStr">
        <is>
          <t>AUD</t>
        </is>
      </c>
      <c r="K951" s="5" t="inlineStr">
        <is>
          <t>01a152b9-6ee2-7577-bddd-382bc3853fde</t>
        </is>
      </c>
      <c r="M951" t="inlineStr">
        <is>
          <t>UNKNOWN</t>
        </is>
      </c>
      <c r="N951" t="inlineStr">
        <is>
          <t>DEFAULT</t>
        </is>
      </c>
      <c r="Q951" t="n">
        <v>0</v>
      </c>
      <c r="R951" t="inlineStr">
        <is>
          <t>AUD</t>
        </is>
      </c>
      <c r="S951" t="n">
        <v>0</v>
      </c>
      <c r="T951" t="inlineStr">
        <is>
          <t>AUD</t>
        </is>
      </c>
      <c r="U951" t="n">
        <v>0</v>
      </c>
    </row>
    <row r="952">
      <c r="A952" s="5" t="inlineStr">
        <is>
          <t>01a152b9-7ed8-7397-855b-e9581d7cf690</t>
        </is>
      </c>
      <c r="C952" s="5" t="inlineStr">
        <is>
          <t>01a152b9-6e67-75da-8adb-b03e5d07fd21</t>
        </is>
      </c>
      <c r="D952" s="4" t="n">
        <v>46314.24595805808</v>
      </c>
      <c r="E952" s="4" t="n">
        <v>46314.24595805819</v>
      </c>
      <c r="F952" t="b">
        <v>1</v>
      </c>
      <c r="G952" t="n">
        <v/>
      </c>
      <c r="H952" t="inlineStr">
        <is>
          <t>XASG</t>
        </is>
      </c>
      <c r="I952" t="inlineStr">
        <is>
          <t>Alphinity Global Sustainable Equity Fund - Active ETF</t>
        </is>
      </c>
      <c r="J952" t="inlineStr">
        <is>
          <t>AUD</t>
        </is>
      </c>
      <c r="K952" s="5" t="inlineStr">
        <is>
          <t>01a152b9-6ee2-7577-bddd-382bc3853fde</t>
        </is>
      </c>
      <c r="M952" t="inlineStr">
        <is>
          <t>UNKNOWN</t>
        </is>
      </c>
      <c r="N952" t="inlineStr">
        <is>
          <t>DEFAULT</t>
        </is>
      </c>
      <c r="Q952" t="n">
        <v>0</v>
      </c>
      <c r="R952" t="inlineStr">
        <is>
          <t>AUD</t>
        </is>
      </c>
      <c r="S952" t="n">
        <v>0</v>
      </c>
      <c r="T952" t="inlineStr">
        <is>
          <t>AUD</t>
        </is>
      </c>
      <c r="U952" t="n">
        <v>0</v>
      </c>
    </row>
    <row r="953">
      <c r="A953" s="5" t="inlineStr">
        <is>
          <t>01a152b9-7edc-708e-947c-c98acda9825b</t>
        </is>
      </c>
      <c r="C953" s="5" t="inlineStr">
        <is>
          <t>01a152b9-6e67-75da-8adb-b03e5d07fd21</t>
        </is>
      </c>
      <c r="D953" s="4" t="n">
        <v>46314.24595810843</v>
      </c>
      <c r="E953" s="4" t="n">
        <v>46314.24595810854</v>
      </c>
      <c r="F953" t="b">
        <v>1</v>
      </c>
      <c r="G953" t="n">
        <v/>
      </c>
      <c r="H953" t="inlineStr">
        <is>
          <t>QFN</t>
        </is>
      </c>
      <c r="I953" t="inlineStr">
        <is>
          <t>Betashares Australian Financials Sector ETF</t>
        </is>
      </c>
      <c r="J953" t="inlineStr">
        <is>
          <t>AUD</t>
        </is>
      </c>
      <c r="K953" s="5" t="inlineStr">
        <is>
          <t>01a152b9-6ee2-7577-bddd-382bc3853fde</t>
        </is>
      </c>
      <c r="M953" t="inlineStr">
        <is>
          <t>UNKNOWN</t>
        </is>
      </c>
      <c r="N953" t="inlineStr">
        <is>
          <t>DEFAULT</t>
        </is>
      </c>
      <c r="Q953" t="n">
        <v>0</v>
      </c>
      <c r="R953" t="inlineStr">
        <is>
          <t>AUD</t>
        </is>
      </c>
      <c r="S953" t="n">
        <v>0</v>
      </c>
      <c r="T953" t="inlineStr">
        <is>
          <t>AUD</t>
        </is>
      </c>
      <c r="U953" t="n">
        <v>0</v>
      </c>
    </row>
    <row r="954">
      <c r="A954" s="5" t="inlineStr">
        <is>
          <t>01a152b9-7ee0-770d-94f3-3f66ef8b4002</t>
        </is>
      </c>
      <c r="C954" s="5" t="inlineStr">
        <is>
          <t>01a152b9-6e67-75da-8adb-b03e5d07fd21</t>
        </is>
      </c>
      <c r="D954" s="4" t="n">
        <v>46314.24595815513</v>
      </c>
      <c r="E954" s="4" t="n">
        <v>46314.24595815525</v>
      </c>
      <c r="F954" t="b">
        <v>1</v>
      </c>
      <c r="G954" t="n">
        <v/>
      </c>
      <c r="H954" t="inlineStr">
        <is>
          <t>LTP</t>
        </is>
      </c>
      <c r="I954" t="inlineStr">
        <is>
          <t>LTR Pharma Ltd</t>
        </is>
      </c>
      <c r="J954" t="inlineStr">
        <is>
          <t>AUD</t>
        </is>
      </c>
      <c r="K954" s="5" t="inlineStr">
        <is>
          <t>01a152b9-6ee2-7577-bddd-382bc3853fde</t>
        </is>
      </c>
      <c r="M954" t="inlineStr">
        <is>
          <t>UNKNOWN</t>
        </is>
      </c>
      <c r="N954" t="inlineStr">
        <is>
          <t>DEFAULT</t>
        </is>
      </c>
      <c r="Q954" t="n">
        <v>0</v>
      </c>
      <c r="R954" t="inlineStr">
        <is>
          <t>AUD</t>
        </is>
      </c>
      <c r="S954" t="n">
        <v>0</v>
      </c>
      <c r="T954" t="inlineStr">
        <is>
          <t>AUD</t>
        </is>
      </c>
      <c r="U954" t="n">
        <v>0</v>
      </c>
    </row>
    <row r="955">
      <c r="A955" s="5" t="inlineStr">
        <is>
          <t>01a152b9-7ee3-74d0-aba4-f632538c7205</t>
        </is>
      </c>
      <c r="C955" s="5" t="inlineStr">
        <is>
          <t>01a152b9-6e67-75da-8adb-b03e5d07fd21</t>
        </is>
      </c>
      <c r="D955" s="4" t="n">
        <v>46314.24595819345</v>
      </c>
      <c r="E955" s="4" t="n">
        <v>46314.24595819354</v>
      </c>
      <c r="F955" t="b">
        <v>1</v>
      </c>
      <c r="G955" t="n">
        <v/>
      </c>
      <c r="H955" t="inlineStr">
        <is>
          <t>PTN</t>
        </is>
      </c>
      <c r="I955" t="inlineStr">
        <is>
          <t>Patronus Resources Ltd</t>
        </is>
      </c>
      <c r="J955" t="inlineStr">
        <is>
          <t>AUD</t>
        </is>
      </c>
      <c r="K955" s="5" t="inlineStr">
        <is>
          <t>01a152b9-6ee2-7577-bddd-382bc3853fde</t>
        </is>
      </c>
      <c r="M955" t="inlineStr">
        <is>
          <t>UNKNOWN</t>
        </is>
      </c>
      <c r="N955" t="inlineStr">
        <is>
          <t>DEFAULT</t>
        </is>
      </c>
      <c r="Q955" t="n">
        <v>0</v>
      </c>
      <c r="R955" t="inlineStr">
        <is>
          <t>AUD</t>
        </is>
      </c>
      <c r="S955" t="n">
        <v>0</v>
      </c>
      <c r="T955" t="inlineStr">
        <is>
          <t>AUD</t>
        </is>
      </c>
      <c r="U955" t="n">
        <v>0</v>
      </c>
    </row>
    <row r="956">
      <c r="A956" s="5" t="inlineStr">
        <is>
          <t>01a152b9-7ee7-73b5-a67b-96b139c86d0c</t>
        </is>
      </c>
      <c r="C956" s="5" t="inlineStr">
        <is>
          <t>01a152b9-6e67-75da-8adb-b03e5d07fd21</t>
        </is>
      </c>
      <c r="D956" s="4" t="n">
        <v>46314.24595823322</v>
      </c>
      <c r="E956" s="4" t="n">
        <v>46314.24595823331</v>
      </c>
      <c r="F956" t="b">
        <v>1</v>
      </c>
      <c r="G956" t="n">
        <v/>
      </c>
      <c r="H956" t="inlineStr">
        <is>
          <t>PPE</t>
        </is>
      </c>
      <c r="I956" t="inlineStr">
        <is>
          <t>Peoplein Ltd</t>
        </is>
      </c>
      <c r="J956" t="inlineStr">
        <is>
          <t>AUD</t>
        </is>
      </c>
      <c r="K956" s="5" t="inlineStr">
        <is>
          <t>01a152b9-6ee2-7577-bddd-382bc3853fde</t>
        </is>
      </c>
      <c r="M956" t="inlineStr">
        <is>
          <t>UNKNOWN</t>
        </is>
      </c>
      <c r="N956" t="inlineStr">
        <is>
          <t>DEFAULT</t>
        </is>
      </c>
      <c r="Q956" t="n">
        <v>0</v>
      </c>
      <c r="R956" t="inlineStr">
        <is>
          <t>AUD</t>
        </is>
      </c>
      <c r="S956" t="n">
        <v>0</v>
      </c>
      <c r="T956" t="inlineStr">
        <is>
          <t>AUD</t>
        </is>
      </c>
      <c r="U956" t="n">
        <v>0</v>
      </c>
    </row>
    <row r="957">
      <c r="A957" s="5" t="inlineStr">
        <is>
          <t>01a152b9-7eea-72dd-ab87-eba1e5287bd8</t>
        </is>
      </c>
      <c r="C957" s="5" t="inlineStr">
        <is>
          <t>01a152b9-6e67-75da-8adb-b03e5d07fd21</t>
        </is>
      </c>
      <c r="D957" s="4" t="n">
        <v>46314.24595827585</v>
      </c>
      <c r="E957" s="4" t="n">
        <v>46314.24595827598</v>
      </c>
      <c r="F957" t="b">
        <v>1</v>
      </c>
      <c r="G957" t="n">
        <v/>
      </c>
      <c r="H957" t="inlineStr">
        <is>
          <t>ECL</t>
        </is>
      </c>
      <c r="I957" t="inlineStr">
        <is>
          <t>Excelsior Capital Ltd</t>
        </is>
      </c>
      <c r="J957" t="inlineStr">
        <is>
          <t>AUD</t>
        </is>
      </c>
      <c r="K957" s="5" t="inlineStr">
        <is>
          <t>01a152b9-6ee2-7577-bddd-382bc3853fde</t>
        </is>
      </c>
      <c r="M957" t="inlineStr">
        <is>
          <t>UNKNOWN</t>
        </is>
      </c>
      <c r="N957" t="inlineStr">
        <is>
          <t>DEFAULT</t>
        </is>
      </c>
      <c r="Q957" t="n">
        <v>0</v>
      </c>
      <c r="R957" t="inlineStr">
        <is>
          <t>AUD</t>
        </is>
      </c>
      <c r="S957" t="n">
        <v>0</v>
      </c>
      <c r="T957" t="inlineStr">
        <is>
          <t>AUD</t>
        </is>
      </c>
      <c r="U957" t="n">
        <v>0</v>
      </c>
    </row>
    <row r="958">
      <c r="A958" s="5" t="inlineStr">
        <is>
          <t>01a152b9-7eee-7194-8870-a1fa040fbcfc</t>
        </is>
      </c>
      <c r="C958" s="5" t="inlineStr">
        <is>
          <t>01a152b9-6e67-75da-8adb-b03e5d07fd21</t>
        </is>
      </c>
      <c r="D958" s="4" t="n">
        <v>46314.2459583161</v>
      </c>
      <c r="E958" s="4" t="n">
        <v>46314.24595831619</v>
      </c>
      <c r="F958" t="b">
        <v>1</v>
      </c>
      <c r="G958" t="n">
        <v/>
      </c>
      <c r="H958" t="inlineStr">
        <is>
          <t>HQLT</t>
        </is>
      </c>
      <c r="I958" t="inlineStr">
        <is>
          <t>Betashares Global Quality Leaders Currency Hedged ETF</t>
        </is>
      </c>
      <c r="J958" t="inlineStr">
        <is>
          <t>AUD</t>
        </is>
      </c>
      <c r="K958" s="5" t="inlineStr">
        <is>
          <t>01a152b9-6ee2-7577-bddd-382bc3853fde</t>
        </is>
      </c>
      <c r="M958" t="inlineStr">
        <is>
          <t>UNKNOWN</t>
        </is>
      </c>
      <c r="N958" t="inlineStr">
        <is>
          <t>DEFAULT</t>
        </is>
      </c>
      <c r="Q958" t="n">
        <v>0</v>
      </c>
      <c r="R958" t="inlineStr">
        <is>
          <t>AUD</t>
        </is>
      </c>
      <c r="S958" t="n">
        <v>0</v>
      </c>
      <c r="T958" t="inlineStr">
        <is>
          <t>AUD</t>
        </is>
      </c>
      <c r="U958" t="n">
        <v>0</v>
      </c>
    </row>
    <row r="959">
      <c r="A959" s="5" t="inlineStr">
        <is>
          <t>01a152b9-7ef2-71e6-b238-96783ceb5b8a</t>
        </is>
      </c>
      <c r="C959" s="5" t="inlineStr">
        <is>
          <t>01a152b9-6e67-75da-8adb-b03e5d07fd21</t>
        </is>
      </c>
      <c r="D959" s="4" t="n">
        <v>46314.24595835804</v>
      </c>
      <c r="E959" s="4" t="n">
        <v>46314.24595835815</v>
      </c>
      <c r="F959" t="b">
        <v>1</v>
      </c>
      <c r="G959" t="n">
        <v/>
      </c>
      <c r="H959" t="inlineStr">
        <is>
          <t>SDV</t>
        </is>
      </c>
      <c r="I959" t="inlineStr">
        <is>
          <t>Scidev Ltd</t>
        </is>
      </c>
      <c r="J959" t="inlineStr">
        <is>
          <t>AUD</t>
        </is>
      </c>
      <c r="K959" s="5" t="inlineStr">
        <is>
          <t>01a152b9-6ee2-7577-bddd-382bc3853fde</t>
        </is>
      </c>
      <c r="M959" t="inlineStr">
        <is>
          <t>UNKNOWN</t>
        </is>
      </c>
      <c r="N959" t="inlineStr">
        <is>
          <t>DEFAULT</t>
        </is>
      </c>
      <c r="Q959" t="n">
        <v>0</v>
      </c>
      <c r="R959" t="inlineStr">
        <is>
          <t>AUD</t>
        </is>
      </c>
      <c r="S959" t="n">
        <v>0</v>
      </c>
      <c r="T959" t="inlineStr">
        <is>
          <t>AUD</t>
        </is>
      </c>
      <c r="U959" t="n">
        <v>0</v>
      </c>
    </row>
    <row r="960">
      <c r="A960" s="5" t="inlineStr">
        <is>
          <t>01a152b9-7ef5-7799-9725-be4002997957</t>
        </is>
      </c>
      <c r="C960" s="5" t="inlineStr">
        <is>
          <t>01a152b9-6e67-75da-8adb-b03e5d07fd21</t>
        </is>
      </c>
      <c r="D960" s="4" t="n">
        <v>46314.24595839797</v>
      </c>
      <c r="E960" s="4" t="n">
        <v>46314.24595839808</v>
      </c>
      <c r="F960" t="b">
        <v>1</v>
      </c>
      <c r="G960" t="n">
        <v/>
      </c>
      <c r="H960" t="inlineStr">
        <is>
          <t>BBL</t>
        </is>
      </c>
      <c r="I960" t="inlineStr">
        <is>
          <t>Brisbane Broncos Ltd</t>
        </is>
      </c>
      <c r="J960" t="inlineStr">
        <is>
          <t>AUD</t>
        </is>
      </c>
      <c r="K960" s="5" t="inlineStr">
        <is>
          <t>01a152b9-6ee2-7577-bddd-382bc3853fde</t>
        </is>
      </c>
      <c r="M960" t="inlineStr">
        <is>
          <t>UNKNOWN</t>
        </is>
      </c>
      <c r="N960" t="inlineStr">
        <is>
          <t>DEFAULT</t>
        </is>
      </c>
      <c r="Q960" t="n">
        <v>0</v>
      </c>
      <c r="R960" t="inlineStr">
        <is>
          <t>AUD</t>
        </is>
      </c>
      <c r="S960" t="n">
        <v>0</v>
      </c>
      <c r="T960" t="inlineStr">
        <is>
          <t>AUD</t>
        </is>
      </c>
      <c r="U960" t="n">
        <v>0</v>
      </c>
    </row>
    <row r="961">
      <c r="A961" s="5" t="inlineStr">
        <is>
          <t>01a152b9-7ef8-7258-b03d-bb9e29c81432</t>
        </is>
      </c>
      <c r="C961" s="5" t="inlineStr">
        <is>
          <t>01a152b9-6e67-75da-8adb-b03e5d07fd21</t>
        </is>
      </c>
      <c r="D961" s="4" t="n">
        <v>46314.24595843428</v>
      </c>
      <c r="E961" s="4" t="n">
        <v>46314.24595843441</v>
      </c>
      <c r="F961" t="b">
        <v>1</v>
      </c>
      <c r="G961" t="n">
        <v/>
      </c>
      <c r="H961" t="inlineStr">
        <is>
          <t>ATC</t>
        </is>
      </c>
      <c r="I961" t="inlineStr">
        <is>
          <t>Altech Batteries Ltd</t>
        </is>
      </c>
      <c r="J961" t="inlineStr">
        <is>
          <t>AUD</t>
        </is>
      </c>
      <c r="K961" s="5" t="inlineStr">
        <is>
          <t>01a152b9-6ee2-7577-bddd-382bc3853fde</t>
        </is>
      </c>
      <c r="M961" t="inlineStr">
        <is>
          <t>UNKNOWN</t>
        </is>
      </c>
      <c r="N961" t="inlineStr">
        <is>
          <t>DEFAULT</t>
        </is>
      </c>
      <c r="Q961" t="n">
        <v>0</v>
      </c>
      <c r="R961" t="inlineStr">
        <is>
          <t>AUD</t>
        </is>
      </c>
      <c r="S961" t="n">
        <v>0</v>
      </c>
      <c r="T961" t="inlineStr">
        <is>
          <t>AUD</t>
        </is>
      </c>
      <c r="U961" t="n">
        <v>0</v>
      </c>
    </row>
    <row r="962">
      <c r="A962" s="5" t="inlineStr">
        <is>
          <t>01a152b9-7efc-7408-9945-f0d4bf929136</t>
        </is>
      </c>
      <c r="C962" s="5" t="inlineStr">
        <is>
          <t>01a152b9-6e67-75da-8adb-b03e5d07fd21</t>
        </is>
      </c>
      <c r="D962" s="4" t="n">
        <v>46314.24595847367</v>
      </c>
      <c r="E962" s="4" t="n">
        <v>46314.24595847376</v>
      </c>
      <c r="F962" t="b">
        <v>1</v>
      </c>
      <c r="G962" t="n">
        <v/>
      </c>
      <c r="H962" t="inlineStr">
        <is>
          <t>IOD</t>
        </is>
      </c>
      <c r="I962" t="inlineStr">
        <is>
          <t>Iodm Ltd</t>
        </is>
      </c>
      <c r="J962" t="inlineStr">
        <is>
          <t>AUD</t>
        </is>
      </c>
      <c r="K962" s="5" t="inlineStr">
        <is>
          <t>01a152b9-6ee2-7577-bddd-382bc3853fde</t>
        </is>
      </c>
      <c r="M962" t="inlineStr">
        <is>
          <t>UNKNOWN</t>
        </is>
      </c>
      <c r="N962" t="inlineStr">
        <is>
          <t>DEFAULT</t>
        </is>
      </c>
      <c r="Q962" t="n">
        <v>0</v>
      </c>
      <c r="R962" t="inlineStr">
        <is>
          <t>AUD</t>
        </is>
      </c>
      <c r="S962" t="n">
        <v>0</v>
      </c>
      <c r="T962" t="inlineStr">
        <is>
          <t>AUD</t>
        </is>
      </c>
      <c r="U962" t="n">
        <v>0</v>
      </c>
    </row>
    <row r="963">
      <c r="A963" s="5" t="inlineStr">
        <is>
          <t>01a152b9-7eff-7622-81d0-7e13e9abaa62</t>
        </is>
      </c>
      <c r="C963" s="5" t="inlineStr">
        <is>
          <t>01a152b9-6e67-75da-8adb-b03e5d07fd21</t>
        </is>
      </c>
      <c r="D963" s="4" t="n">
        <v>46314.24595851075</v>
      </c>
      <c r="E963" s="4" t="n">
        <v>46314.24595851084</v>
      </c>
      <c r="F963" t="b">
        <v>1</v>
      </c>
      <c r="G963" t="n">
        <v/>
      </c>
      <c r="H963" t="inlineStr">
        <is>
          <t>MAY</t>
        </is>
      </c>
      <c r="I963" t="inlineStr">
        <is>
          <t>Melbana Energy Ltd</t>
        </is>
      </c>
      <c r="J963" t="inlineStr">
        <is>
          <t>AUD</t>
        </is>
      </c>
      <c r="K963" s="5" t="inlineStr">
        <is>
          <t>01a152b9-6ee2-7577-bddd-382bc3853fde</t>
        </is>
      </c>
      <c r="M963" t="inlineStr">
        <is>
          <t>UNKNOWN</t>
        </is>
      </c>
      <c r="N963" t="inlineStr">
        <is>
          <t>DEFAULT</t>
        </is>
      </c>
      <c r="Q963" t="n">
        <v>0</v>
      </c>
      <c r="R963" t="inlineStr">
        <is>
          <t>AUD</t>
        </is>
      </c>
      <c r="S963" t="n">
        <v>0</v>
      </c>
      <c r="T963" t="inlineStr">
        <is>
          <t>AUD</t>
        </is>
      </c>
      <c r="U963" t="n">
        <v>0</v>
      </c>
    </row>
    <row r="964">
      <c r="A964" s="5" t="inlineStr">
        <is>
          <t>01a152b9-7f02-7695-801c-a6cf98aeb7d5</t>
        </is>
      </c>
      <c r="C964" s="5" t="inlineStr">
        <is>
          <t>01a152b9-6e67-75da-8adb-b03e5d07fd21</t>
        </is>
      </c>
      <c r="D964" s="4" t="n">
        <v>46314.24595855124</v>
      </c>
      <c r="E964" s="4" t="n">
        <v>46314.24595855134</v>
      </c>
      <c r="F964" t="b">
        <v>1</v>
      </c>
      <c r="G964" t="n">
        <v/>
      </c>
      <c r="H964" t="inlineStr">
        <is>
          <t>PNC</t>
        </is>
      </c>
      <c r="I964" t="inlineStr">
        <is>
          <t>Pioneer Credit Ltd</t>
        </is>
      </c>
      <c r="J964" t="inlineStr">
        <is>
          <t>AUD</t>
        </is>
      </c>
      <c r="K964" s="5" t="inlineStr">
        <is>
          <t>01a152b9-6ee2-7577-bddd-382bc3853fde</t>
        </is>
      </c>
      <c r="M964" t="inlineStr">
        <is>
          <t>UNKNOWN</t>
        </is>
      </c>
      <c r="N964" t="inlineStr">
        <is>
          <t>DEFAULT</t>
        </is>
      </c>
      <c r="Q964" t="n">
        <v>0</v>
      </c>
      <c r="R964" t="inlineStr">
        <is>
          <t>AUD</t>
        </is>
      </c>
      <c r="S964" t="n">
        <v>0</v>
      </c>
      <c r="T964" t="inlineStr">
        <is>
          <t>AUD</t>
        </is>
      </c>
      <c r="U964" t="n">
        <v>0</v>
      </c>
    </row>
    <row r="965">
      <c r="A965" s="5" t="inlineStr">
        <is>
          <t>01a152b9-7f05-7207-b6fe-84a925bdc807</t>
        </is>
      </c>
      <c r="C965" s="5" t="inlineStr">
        <is>
          <t>01a152b9-6e67-75da-8adb-b03e5d07fd21</t>
        </is>
      </c>
      <c r="D965" s="4" t="n">
        <v>46314.24595858892</v>
      </c>
      <c r="E965" s="4" t="n">
        <v>46314.24595858902</v>
      </c>
      <c r="F965" t="b">
        <v>1</v>
      </c>
      <c r="G965" t="n">
        <v/>
      </c>
      <c r="H965" t="inlineStr">
        <is>
          <t>NNWH</t>
        </is>
      </c>
      <c r="I965" t="inlineStr">
        <is>
          <t>Nanuk New World Fund (Currency Hedged) Active ETF</t>
        </is>
      </c>
      <c r="J965" t="inlineStr">
        <is>
          <t>AUD</t>
        </is>
      </c>
      <c r="K965" s="5" t="inlineStr">
        <is>
          <t>01a152b9-6ee2-7577-bddd-382bc3853fde</t>
        </is>
      </c>
      <c r="M965" t="inlineStr">
        <is>
          <t>UNKNOWN</t>
        </is>
      </c>
      <c r="N965" t="inlineStr">
        <is>
          <t>DEFAULT</t>
        </is>
      </c>
      <c r="Q965" t="n">
        <v>0</v>
      </c>
      <c r="R965" t="inlineStr">
        <is>
          <t>AUD</t>
        </is>
      </c>
      <c r="S965" t="n">
        <v>0</v>
      </c>
      <c r="T965" t="inlineStr">
        <is>
          <t>AUD</t>
        </is>
      </c>
      <c r="U965" t="n">
        <v>0</v>
      </c>
    </row>
    <row r="966">
      <c r="A966" s="5" t="inlineStr">
        <is>
          <t>01a152b9-7f09-73e7-8973-6c31b6e7b61f</t>
        </is>
      </c>
      <c r="C966" s="5" t="inlineStr">
        <is>
          <t>01a152b9-6e67-75da-8adb-b03e5d07fd21</t>
        </is>
      </c>
      <c r="D966" s="4" t="n">
        <v>46314.24595862417</v>
      </c>
      <c r="E966" s="4" t="n">
        <v>46314.24595862426</v>
      </c>
      <c r="F966" t="b">
        <v>1</v>
      </c>
      <c r="G966" t="n">
        <v/>
      </c>
      <c r="H966" t="inlineStr">
        <is>
          <t>ALC</t>
        </is>
      </c>
      <c r="I966" t="inlineStr">
        <is>
          <t>Alcidion Group Ltd</t>
        </is>
      </c>
      <c r="J966" t="inlineStr">
        <is>
          <t>AUD</t>
        </is>
      </c>
      <c r="K966" s="5" t="inlineStr">
        <is>
          <t>01a152b9-6ee2-7577-bddd-382bc3853fde</t>
        </is>
      </c>
      <c r="M966" t="inlineStr">
        <is>
          <t>UNKNOWN</t>
        </is>
      </c>
      <c r="N966" t="inlineStr">
        <is>
          <t>DEFAULT</t>
        </is>
      </c>
      <c r="Q966" t="n">
        <v>0</v>
      </c>
      <c r="R966" t="inlineStr">
        <is>
          <t>AUD</t>
        </is>
      </c>
      <c r="S966" t="n">
        <v>0</v>
      </c>
      <c r="T966" t="inlineStr">
        <is>
          <t>AUD</t>
        </is>
      </c>
      <c r="U966" t="n">
        <v>0</v>
      </c>
    </row>
    <row r="967">
      <c r="A967" s="5" t="inlineStr">
        <is>
          <t>01a152b9-7f0d-70bc-8795-d8b494980b2f</t>
        </is>
      </c>
      <c r="C967" s="5" t="inlineStr">
        <is>
          <t>01a152b9-6e67-75da-8adb-b03e5d07fd21</t>
        </is>
      </c>
      <c r="D967" s="4" t="n">
        <v>46314.24595867458</v>
      </c>
      <c r="E967" s="4" t="n">
        <v>46314.24595867468</v>
      </c>
      <c r="F967" t="b">
        <v>1</v>
      </c>
      <c r="G967" t="n">
        <v/>
      </c>
      <c r="H967" t="inlineStr">
        <is>
          <t>XAM</t>
        </is>
      </c>
      <c r="I967" t="inlineStr">
        <is>
          <t>Xanadu Mines Ltd</t>
        </is>
      </c>
      <c r="J967" t="inlineStr">
        <is>
          <t>AUD</t>
        </is>
      </c>
      <c r="K967" s="5" t="inlineStr">
        <is>
          <t>01a152b9-6ee2-7577-bddd-382bc3853fde</t>
        </is>
      </c>
      <c r="M967" t="inlineStr">
        <is>
          <t>UNKNOWN</t>
        </is>
      </c>
      <c r="N967" t="inlineStr">
        <is>
          <t>DEFAULT</t>
        </is>
      </c>
      <c r="Q967" t="n">
        <v>0</v>
      </c>
      <c r="R967" t="inlineStr">
        <is>
          <t>AUD</t>
        </is>
      </c>
      <c r="S967" t="n">
        <v>0</v>
      </c>
      <c r="T967" t="inlineStr">
        <is>
          <t>AUD</t>
        </is>
      </c>
      <c r="U967" t="n">
        <v>0</v>
      </c>
    </row>
    <row r="968">
      <c r="A968" s="5" t="inlineStr">
        <is>
          <t>01a152b9-7f11-752b-9d4a-81faadd12b43</t>
        </is>
      </c>
      <c r="C968" s="5" t="inlineStr">
        <is>
          <t>01a152b9-6e67-75da-8adb-b03e5d07fd21</t>
        </is>
      </c>
      <c r="D968" s="4" t="n">
        <v>46314.24595871764</v>
      </c>
      <c r="E968" s="4" t="n">
        <v>46314.24595871778</v>
      </c>
      <c r="F968" t="b">
        <v>1</v>
      </c>
      <c r="G968" t="n">
        <v/>
      </c>
      <c r="H968" t="inlineStr">
        <is>
          <t>RND</t>
        </is>
      </c>
      <c r="I968" t="inlineStr">
        <is>
          <t>Rand Mining Ltd</t>
        </is>
      </c>
      <c r="J968" t="inlineStr">
        <is>
          <t>AUD</t>
        </is>
      </c>
      <c r="K968" s="5" t="inlineStr">
        <is>
          <t>01a152b9-6ee2-7577-bddd-382bc3853fde</t>
        </is>
      </c>
      <c r="M968" t="inlineStr">
        <is>
          <t>UNKNOWN</t>
        </is>
      </c>
      <c r="N968" t="inlineStr">
        <is>
          <t>DEFAULT</t>
        </is>
      </c>
      <c r="Q968" t="n">
        <v>0</v>
      </c>
      <c r="R968" t="inlineStr">
        <is>
          <t>AUD</t>
        </is>
      </c>
      <c r="S968" t="n">
        <v>0</v>
      </c>
      <c r="T968" t="inlineStr">
        <is>
          <t>AUD</t>
        </is>
      </c>
      <c r="U968" t="n">
        <v>0</v>
      </c>
    </row>
    <row r="969">
      <c r="A969" s="5" t="inlineStr">
        <is>
          <t>01a152b9-7f14-75ed-bdb1-e70cd0b7f4fb</t>
        </is>
      </c>
      <c r="C969" s="5" t="inlineStr">
        <is>
          <t>01a152b9-6e67-75da-8adb-b03e5d07fd21</t>
        </is>
      </c>
      <c r="D969" s="4" t="n">
        <v>46314.24595875376</v>
      </c>
      <c r="E969" s="4" t="n">
        <v>46314.24595875387</v>
      </c>
      <c r="F969" t="b">
        <v>1</v>
      </c>
      <c r="G969" t="n">
        <v/>
      </c>
      <c r="H969" t="inlineStr">
        <is>
          <t>GLN</t>
        </is>
      </c>
      <c r="I969" t="inlineStr">
        <is>
          <t>Galan Lithium Ltd</t>
        </is>
      </c>
      <c r="J969" t="inlineStr">
        <is>
          <t>AUD</t>
        </is>
      </c>
      <c r="K969" s="5" t="inlineStr">
        <is>
          <t>01a152b9-6ee2-7577-bddd-382bc3853fde</t>
        </is>
      </c>
      <c r="M969" t="inlineStr">
        <is>
          <t>UNKNOWN</t>
        </is>
      </c>
      <c r="N969" t="inlineStr">
        <is>
          <t>DEFAULT</t>
        </is>
      </c>
      <c r="Q969" t="n">
        <v>0</v>
      </c>
      <c r="R969" t="inlineStr">
        <is>
          <t>AUD</t>
        </is>
      </c>
      <c r="S969" t="n">
        <v>0</v>
      </c>
      <c r="T969" t="inlineStr">
        <is>
          <t>AUD</t>
        </is>
      </c>
      <c r="U969" t="n">
        <v>0</v>
      </c>
    </row>
    <row r="970">
      <c r="A970" s="5" t="inlineStr">
        <is>
          <t>01a152b9-7f17-7528-af0a-f2ed84b38639</t>
        </is>
      </c>
      <c r="C970" s="5" t="inlineStr">
        <is>
          <t>01a152b9-6e67-75da-8adb-b03e5d07fd21</t>
        </is>
      </c>
      <c r="D970" s="4" t="n">
        <v>46314.24595879147</v>
      </c>
      <c r="E970" s="4" t="n">
        <v>46314.24595879157</v>
      </c>
      <c r="F970" t="b">
        <v>1</v>
      </c>
      <c r="G970" t="n">
        <v/>
      </c>
      <c r="H970" t="inlineStr">
        <is>
          <t>MLG</t>
        </is>
      </c>
      <c r="I970" t="inlineStr">
        <is>
          <t>MLG OZ Ltd</t>
        </is>
      </c>
      <c r="J970" t="inlineStr">
        <is>
          <t>AUD</t>
        </is>
      </c>
      <c r="K970" s="5" t="inlineStr">
        <is>
          <t>01a152b9-6ee2-7577-bddd-382bc3853fde</t>
        </is>
      </c>
      <c r="M970" t="inlineStr">
        <is>
          <t>UNKNOWN</t>
        </is>
      </c>
      <c r="N970" t="inlineStr">
        <is>
          <t>DEFAULT</t>
        </is>
      </c>
      <c r="Q970" t="n">
        <v>0</v>
      </c>
      <c r="R970" t="inlineStr">
        <is>
          <t>AUD</t>
        </is>
      </c>
      <c r="S970" t="n">
        <v>0</v>
      </c>
      <c r="T970" t="inlineStr">
        <is>
          <t>AUD</t>
        </is>
      </c>
      <c r="U970" t="n">
        <v>0</v>
      </c>
    </row>
    <row r="971">
      <c r="A971" s="5" t="inlineStr">
        <is>
          <t>01a152b9-7f1a-7413-82f3-3128802bc78d</t>
        </is>
      </c>
      <c r="C971" s="5" t="inlineStr">
        <is>
          <t>01a152b9-6e67-75da-8adb-b03e5d07fd21</t>
        </is>
      </c>
      <c r="D971" s="4" t="n">
        <v>46314.24595882932</v>
      </c>
      <c r="E971" s="4" t="n">
        <v>46314.24595882941</v>
      </c>
      <c r="F971" t="b">
        <v>1</v>
      </c>
      <c r="G971" t="n">
        <v/>
      </c>
      <c r="H971" t="inlineStr">
        <is>
          <t>NUGG</t>
        </is>
      </c>
      <c r="I971" t="inlineStr">
        <is>
          <t>Vaneck Gold Bullion ETF</t>
        </is>
      </c>
      <c r="J971" t="inlineStr">
        <is>
          <t>AUD</t>
        </is>
      </c>
      <c r="K971" s="5" t="inlineStr">
        <is>
          <t>01a152b9-6ee2-7577-bddd-382bc3853fde</t>
        </is>
      </c>
      <c r="M971" t="inlineStr">
        <is>
          <t>UNKNOWN</t>
        </is>
      </c>
      <c r="N971" t="inlineStr">
        <is>
          <t>DEFAULT</t>
        </is>
      </c>
      <c r="Q971" t="n">
        <v>0</v>
      </c>
      <c r="R971" t="inlineStr">
        <is>
          <t>AUD</t>
        </is>
      </c>
      <c r="S971" t="n">
        <v>0</v>
      </c>
      <c r="T971" t="inlineStr">
        <is>
          <t>AUD</t>
        </is>
      </c>
      <c r="U971" t="n">
        <v>0</v>
      </c>
    </row>
    <row r="972">
      <c r="A972" s="5" t="inlineStr">
        <is>
          <t>01a152b9-7f1e-7702-8b62-cef4f05e8bb4</t>
        </is>
      </c>
      <c r="C972" s="5" t="inlineStr">
        <is>
          <t>01a152b9-6e67-75da-8adb-b03e5d07fd21</t>
        </is>
      </c>
      <c r="D972" s="4" t="n">
        <v>46314.24595886941</v>
      </c>
      <c r="E972" s="4" t="n">
        <v>46314.24595886951</v>
      </c>
      <c r="F972" t="b">
        <v>1</v>
      </c>
      <c r="G972" t="n">
        <v/>
      </c>
      <c r="H972" t="inlineStr">
        <is>
          <t>ASM</t>
        </is>
      </c>
      <c r="I972" t="inlineStr">
        <is>
          <t>Australian Strategic Materials Ltd</t>
        </is>
      </c>
      <c r="J972" t="inlineStr">
        <is>
          <t>AUD</t>
        </is>
      </c>
      <c r="K972" s="5" t="inlineStr">
        <is>
          <t>01a152b9-6ee2-7577-bddd-382bc3853fde</t>
        </is>
      </c>
      <c r="M972" t="inlineStr">
        <is>
          <t>UNKNOWN</t>
        </is>
      </c>
      <c r="N972" t="inlineStr">
        <is>
          <t>DEFAULT</t>
        </is>
      </c>
      <c r="Q972" t="n">
        <v>0</v>
      </c>
      <c r="R972" t="inlineStr">
        <is>
          <t>AUD</t>
        </is>
      </c>
      <c r="S972" t="n">
        <v>0</v>
      </c>
      <c r="T972" t="inlineStr">
        <is>
          <t>AUD</t>
        </is>
      </c>
      <c r="U972" t="n">
        <v>0</v>
      </c>
    </row>
    <row r="973">
      <c r="A973" s="5" t="inlineStr">
        <is>
          <t>01a152b9-7f21-73e6-b1cc-f0c1e42febc1</t>
        </is>
      </c>
      <c r="C973" s="5" t="inlineStr">
        <is>
          <t>01a152b9-6e67-75da-8adb-b03e5d07fd21</t>
        </is>
      </c>
      <c r="D973" s="4" t="n">
        <v>46314.24595891228</v>
      </c>
      <c r="E973" s="4" t="n">
        <v>46314.2459589124</v>
      </c>
      <c r="F973" t="b">
        <v>1</v>
      </c>
      <c r="G973" t="n">
        <v/>
      </c>
      <c r="H973" t="inlineStr">
        <is>
          <t>GHY</t>
        </is>
      </c>
      <c r="I973" t="inlineStr">
        <is>
          <t>Gold Hydrogen Ltd</t>
        </is>
      </c>
      <c r="J973" t="inlineStr">
        <is>
          <t>AUD</t>
        </is>
      </c>
      <c r="K973" s="5" t="inlineStr">
        <is>
          <t>01a152b9-6ee2-7577-bddd-382bc3853fde</t>
        </is>
      </c>
      <c r="M973" t="inlineStr">
        <is>
          <t>UNKNOWN</t>
        </is>
      </c>
      <c r="N973" t="inlineStr">
        <is>
          <t>DEFAULT</t>
        </is>
      </c>
      <c r="Q973" t="n">
        <v>0</v>
      </c>
      <c r="R973" t="inlineStr">
        <is>
          <t>AUD</t>
        </is>
      </c>
      <c r="S973" t="n">
        <v>0</v>
      </c>
      <c r="T973" t="inlineStr">
        <is>
          <t>AUD</t>
        </is>
      </c>
      <c r="U973" t="n">
        <v>0</v>
      </c>
    </row>
    <row r="974">
      <c r="A974" s="5" t="inlineStr">
        <is>
          <t>01a152b9-7f26-7691-8b83-ffc0f698b6f0</t>
        </is>
      </c>
      <c r="C974" s="5" t="inlineStr">
        <is>
          <t>01a152b9-6e67-75da-8adb-b03e5d07fd21</t>
        </is>
      </c>
      <c r="D974" s="4" t="n">
        <v>46314.24595896183</v>
      </c>
      <c r="E974" s="4" t="n">
        <v>46314.24595896195</v>
      </c>
      <c r="F974" t="b">
        <v>1</v>
      </c>
      <c r="G974" t="n">
        <v/>
      </c>
      <c r="H974" t="inlineStr">
        <is>
          <t>LNAS</t>
        </is>
      </c>
      <c r="I974" t="inlineStr">
        <is>
          <t>Global X Ultra Long Nasdaq 100 Complex ETF</t>
        </is>
      </c>
      <c r="J974" t="inlineStr">
        <is>
          <t>AUD</t>
        </is>
      </c>
      <c r="K974" s="5" t="inlineStr">
        <is>
          <t>01a152b9-6ee2-7577-bddd-382bc3853fde</t>
        </is>
      </c>
      <c r="M974" t="inlineStr">
        <is>
          <t>UNKNOWN</t>
        </is>
      </c>
      <c r="N974" t="inlineStr">
        <is>
          <t>DEFAULT</t>
        </is>
      </c>
      <c r="Q974" t="n">
        <v>0</v>
      </c>
      <c r="R974" t="inlineStr">
        <is>
          <t>AUD</t>
        </is>
      </c>
      <c r="S974" t="n">
        <v>0</v>
      </c>
      <c r="T974" t="inlineStr">
        <is>
          <t>AUD</t>
        </is>
      </c>
      <c r="U974" t="n">
        <v>0</v>
      </c>
    </row>
    <row r="975">
      <c r="A975" s="5" t="inlineStr">
        <is>
          <t>01a152b9-7f2a-72b7-ad63-210455ceba72</t>
        </is>
      </c>
      <c r="C975" s="5" t="inlineStr">
        <is>
          <t>01a152b9-6e67-75da-8adb-b03e5d07fd21</t>
        </is>
      </c>
      <c r="D975" s="4" t="n">
        <v>46314.24595900688</v>
      </c>
      <c r="E975" s="4" t="n">
        <v>46314.245959007</v>
      </c>
      <c r="F975" t="b">
        <v>1</v>
      </c>
      <c r="G975" t="n">
        <v/>
      </c>
      <c r="H975" t="inlineStr">
        <is>
          <t>HGO</t>
        </is>
      </c>
      <c r="I975" t="inlineStr">
        <is>
          <t>Hillgrove Resources Ltd</t>
        </is>
      </c>
      <c r="J975" t="inlineStr">
        <is>
          <t>AUD</t>
        </is>
      </c>
      <c r="K975" s="5" t="inlineStr">
        <is>
          <t>01a152b9-6ee2-7577-bddd-382bc3853fde</t>
        </is>
      </c>
      <c r="M975" t="inlineStr">
        <is>
          <t>UNKNOWN</t>
        </is>
      </c>
      <c r="N975" t="inlineStr">
        <is>
          <t>DEFAULT</t>
        </is>
      </c>
      <c r="Q975" t="n">
        <v>0</v>
      </c>
      <c r="R975" t="inlineStr">
        <is>
          <t>AUD</t>
        </is>
      </c>
      <c r="S975" t="n">
        <v>0</v>
      </c>
      <c r="T975" t="inlineStr">
        <is>
          <t>AUD</t>
        </is>
      </c>
      <c r="U975" t="n">
        <v>0</v>
      </c>
    </row>
    <row r="976">
      <c r="A976" s="5" t="inlineStr">
        <is>
          <t>01a152b9-7f2e-744c-8319-a6095a85ef78</t>
        </is>
      </c>
      <c r="C976" s="5" t="inlineStr">
        <is>
          <t>01a152b9-6e67-75da-8adb-b03e5d07fd21</t>
        </is>
      </c>
      <c r="D976" s="4" t="n">
        <v>46314.24595905412</v>
      </c>
      <c r="E976" s="4" t="n">
        <v>46314.24595905426</v>
      </c>
      <c r="F976" t="b">
        <v>1</v>
      </c>
      <c r="G976" t="n">
        <v/>
      </c>
      <c r="H976" t="inlineStr">
        <is>
          <t>WRK</t>
        </is>
      </c>
      <c r="I976" t="inlineStr">
        <is>
          <t>WRKR Ltd</t>
        </is>
      </c>
      <c r="J976" t="inlineStr">
        <is>
          <t>AUD</t>
        </is>
      </c>
      <c r="K976" s="5" t="inlineStr">
        <is>
          <t>01a152b9-6ee2-7577-bddd-382bc3853fde</t>
        </is>
      </c>
      <c r="M976" t="inlineStr">
        <is>
          <t>UNKNOWN</t>
        </is>
      </c>
      <c r="N976" t="inlineStr">
        <is>
          <t>DEFAULT</t>
        </is>
      </c>
      <c r="Q976" t="n">
        <v>0</v>
      </c>
      <c r="R976" t="inlineStr">
        <is>
          <t>AUD</t>
        </is>
      </c>
      <c r="S976" t="n">
        <v>0</v>
      </c>
      <c r="T976" t="inlineStr">
        <is>
          <t>AUD</t>
        </is>
      </c>
      <c r="U976" t="n">
        <v>0</v>
      </c>
    </row>
    <row r="977">
      <c r="A977" s="5" t="inlineStr">
        <is>
          <t>01a152b9-7f31-7447-a79b-2cfe41f066ae</t>
        </is>
      </c>
      <c r="C977" s="5" t="inlineStr">
        <is>
          <t>01a152b9-6e67-75da-8adb-b03e5d07fd21</t>
        </is>
      </c>
      <c r="D977" s="4" t="n">
        <v>46314.24595909168</v>
      </c>
      <c r="E977" s="4" t="n">
        <v>46314.24595909179</v>
      </c>
      <c r="F977" t="b">
        <v>1</v>
      </c>
      <c r="G977" t="n">
        <v/>
      </c>
      <c r="H977" t="inlineStr">
        <is>
          <t>LCY</t>
        </is>
      </c>
      <c r="I977" t="inlineStr">
        <is>
          <t>Legacy Iron Ore Ltd</t>
        </is>
      </c>
      <c r="J977" t="inlineStr">
        <is>
          <t>AUD</t>
        </is>
      </c>
      <c r="K977" s="5" t="inlineStr">
        <is>
          <t>01a152b9-6ee2-7577-bddd-382bc3853fde</t>
        </is>
      </c>
      <c r="M977" t="inlineStr">
        <is>
          <t>UNKNOWN</t>
        </is>
      </c>
      <c r="N977" t="inlineStr">
        <is>
          <t>DEFAULT</t>
        </is>
      </c>
      <c r="Q977" t="n">
        <v>0</v>
      </c>
      <c r="R977" t="inlineStr">
        <is>
          <t>AUD</t>
        </is>
      </c>
      <c r="S977" t="n">
        <v>0</v>
      </c>
      <c r="T977" t="inlineStr">
        <is>
          <t>AUD</t>
        </is>
      </c>
      <c r="U977" t="n">
        <v>0</v>
      </c>
    </row>
    <row r="978">
      <c r="A978" s="5" t="inlineStr">
        <is>
          <t>01a152b9-7f34-728d-b825-5ffcd50cb774</t>
        </is>
      </c>
      <c r="C978" s="5" t="inlineStr">
        <is>
          <t>01a152b9-6e67-75da-8adb-b03e5d07fd21</t>
        </is>
      </c>
      <c r="D978" s="4" t="n">
        <v>46314.24595913049</v>
      </c>
      <c r="E978" s="4" t="n">
        <v>46314.24595913061</v>
      </c>
      <c r="F978" t="b">
        <v>1</v>
      </c>
      <c r="G978" t="n">
        <v/>
      </c>
      <c r="H978" t="inlineStr">
        <is>
          <t>PIQ</t>
        </is>
      </c>
      <c r="I978" t="inlineStr">
        <is>
          <t>Proteomics International Laboratories Ltd</t>
        </is>
      </c>
      <c r="J978" t="inlineStr">
        <is>
          <t>AUD</t>
        </is>
      </c>
      <c r="K978" s="5" t="inlineStr">
        <is>
          <t>01a152b9-6ee2-7577-bddd-382bc3853fde</t>
        </is>
      </c>
      <c r="M978" t="inlineStr">
        <is>
          <t>UNKNOWN</t>
        </is>
      </c>
      <c r="N978" t="inlineStr">
        <is>
          <t>DEFAULT</t>
        </is>
      </c>
      <c r="Q978" t="n">
        <v>0</v>
      </c>
      <c r="R978" t="inlineStr">
        <is>
          <t>AUD</t>
        </is>
      </c>
      <c r="S978" t="n">
        <v>0</v>
      </c>
      <c r="T978" t="inlineStr">
        <is>
          <t>AUD</t>
        </is>
      </c>
      <c r="U978" t="n">
        <v>0</v>
      </c>
    </row>
    <row r="979">
      <c r="A979" s="5" t="inlineStr">
        <is>
          <t>01a152b9-7f38-77e6-9d9b-0c36e513a113</t>
        </is>
      </c>
      <c r="C979" s="5" t="inlineStr">
        <is>
          <t>01a152b9-6e67-75da-8adb-b03e5d07fd21</t>
        </is>
      </c>
      <c r="D979" s="4" t="n">
        <v>46314.24595917279</v>
      </c>
      <c r="E979" s="4" t="n">
        <v>46314.24595917295</v>
      </c>
      <c r="F979" t="b">
        <v>1</v>
      </c>
      <c r="G979" t="n">
        <v/>
      </c>
      <c r="H979" t="inlineStr">
        <is>
          <t>ASN</t>
        </is>
      </c>
      <c r="I979" t="inlineStr">
        <is>
          <t>Anson Resources Ltd</t>
        </is>
      </c>
      <c r="J979" t="inlineStr">
        <is>
          <t>AUD</t>
        </is>
      </c>
      <c r="K979" s="5" t="inlineStr">
        <is>
          <t>01a152b9-6ee2-7577-bddd-382bc3853fde</t>
        </is>
      </c>
      <c r="M979" t="inlineStr">
        <is>
          <t>UNKNOWN</t>
        </is>
      </c>
      <c r="N979" t="inlineStr">
        <is>
          <t>DEFAULT</t>
        </is>
      </c>
      <c r="Q979" t="n">
        <v>0</v>
      </c>
      <c r="R979" t="inlineStr">
        <is>
          <t>AUD</t>
        </is>
      </c>
      <c r="S979" t="n">
        <v>0</v>
      </c>
      <c r="T979" t="inlineStr">
        <is>
          <t>AUD</t>
        </is>
      </c>
      <c r="U979" t="n">
        <v>0</v>
      </c>
    </row>
    <row r="980">
      <c r="A980" s="5" t="inlineStr">
        <is>
          <t>01a152b9-7f3c-7623-b5a9-37caf0a341dd</t>
        </is>
      </c>
      <c r="C980" s="5" t="inlineStr">
        <is>
          <t>01a152b9-6e67-75da-8adb-b03e5d07fd21</t>
        </is>
      </c>
      <c r="D980" s="4" t="n">
        <v>46314.24595922365</v>
      </c>
      <c r="E980" s="4" t="n">
        <v>46314.24595922381</v>
      </c>
      <c r="F980" t="b">
        <v>1</v>
      </c>
      <c r="G980" t="n">
        <v/>
      </c>
      <c r="H980" t="inlineStr">
        <is>
          <t>M7T</t>
        </is>
      </c>
      <c r="I980" t="inlineStr">
        <is>
          <t>MACH7 Technologies Ltd</t>
        </is>
      </c>
      <c r="J980" t="inlineStr">
        <is>
          <t>AUD</t>
        </is>
      </c>
      <c r="K980" s="5" t="inlineStr">
        <is>
          <t>01a152b9-6ee2-7577-bddd-382bc3853fde</t>
        </is>
      </c>
      <c r="M980" t="inlineStr">
        <is>
          <t>UNKNOWN</t>
        </is>
      </c>
      <c r="N980" t="inlineStr">
        <is>
          <t>DEFAULT</t>
        </is>
      </c>
      <c r="Q980" t="n">
        <v>0</v>
      </c>
      <c r="R980" t="inlineStr">
        <is>
          <t>AUD</t>
        </is>
      </c>
      <c r="S980" t="n">
        <v>0</v>
      </c>
      <c r="T980" t="inlineStr">
        <is>
          <t>AUD</t>
        </is>
      </c>
      <c r="U980" t="n">
        <v>0</v>
      </c>
    </row>
    <row r="981">
      <c r="A981" s="5" t="inlineStr">
        <is>
          <t>01a152b9-7f41-70f8-8a67-7dc7b65c8ccb</t>
        </is>
      </c>
      <c r="C981" s="5" t="inlineStr">
        <is>
          <t>01a152b9-6e67-75da-8adb-b03e5d07fd21</t>
        </is>
      </c>
      <c r="D981" s="4" t="n">
        <v>46314.24595927387</v>
      </c>
      <c r="E981" s="4" t="n">
        <v>46314.24595927403</v>
      </c>
      <c r="F981" t="b">
        <v>1</v>
      </c>
      <c r="G981" t="n">
        <v/>
      </c>
      <c r="H981" t="inlineStr">
        <is>
          <t>RWL</t>
        </is>
      </c>
      <c r="I981" t="inlineStr">
        <is>
          <t>Rubicon Water Ltd</t>
        </is>
      </c>
      <c r="J981" t="inlineStr">
        <is>
          <t>AUD</t>
        </is>
      </c>
      <c r="K981" s="5" t="inlineStr">
        <is>
          <t>01a152b9-6ee2-7577-bddd-382bc3853fde</t>
        </is>
      </c>
      <c r="M981" t="inlineStr">
        <is>
          <t>UNKNOWN</t>
        </is>
      </c>
      <c r="N981" t="inlineStr">
        <is>
          <t>DEFAULT</t>
        </is>
      </c>
      <c r="Q981" t="n">
        <v>0</v>
      </c>
      <c r="R981" t="inlineStr">
        <is>
          <t>AUD</t>
        </is>
      </c>
      <c r="S981" t="n">
        <v>0</v>
      </c>
      <c r="T981" t="inlineStr">
        <is>
          <t>AUD</t>
        </is>
      </c>
      <c r="U981" t="n">
        <v>0</v>
      </c>
    </row>
    <row r="982">
      <c r="A982" s="5" t="inlineStr">
        <is>
          <t>01a152b9-7f44-73ea-8c80-61334b45a307</t>
        </is>
      </c>
      <c r="C982" s="5" t="inlineStr">
        <is>
          <t>01a152b9-6e67-75da-8adb-b03e5d07fd21</t>
        </is>
      </c>
      <c r="D982" s="4" t="n">
        <v>46314.24595931816</v>
      </c>
      <c r="E982" s="4" t="n">
        <v>46314.24595931829</v>
      </c>
      <c r="F982" t="b">
        <v>1</v>
      </c>
      <c r="G982" t="n">
        <v/>
      </c>
      <c r="H982" t="inlineStr">
        <is>
          <t>KKO</t>
        </is>
      </c>
      <c r="I982" t="inlineStr">
        <is>
          <t>Kinetiko Energy Ltd</t>
        </is>
      </c>
      <c r="J982" t="inlineStr">
        <is>
          <t>AUD</t>
        </is>
      </c>
      <c r="K982" s="5" t="inlineStr">
        <is>
          <t>01a152b9-6ee2-7577-bddd-382bc3853fde</t>
        </is>
      </c>
      <c r="M982" t="inlineStr">
        <is>
          <t>UNKNOWN</t>
        </is>
      </c>
      <c r="N982" t="inlineStr">
        <is>
          <t>DEFAULT</t>
        </is>
      </c>
      <c r="Q982" t="n">
        <v>0</v>
      </c>
      <c r="R982" t="inlineStr">
        <is>
          <t>AUD</t>
        </is>
      </c>
      <c r="S982" t="n">
        <v>0</v>
      </c>
      <c r="T982" t="inlineStr">
        <is>
          <t>AUD</t>
        </is>
      </c>
      <c r="U982" t="n">
        <v>0</v>
      </c>
    </row>
    <row r="983">
      <c r="A983" s="5" t="inlineStr">
        <is>
          <t>01a152b9-7f48-7077-a537-0cae56ae41e6</t>
        </is>
      </c>
      <c r="C983" s="5" t="inlineStr">
        <is>
          <t>01a152b9-6e67-75da-8adb-b03e5d07fd21</t>
        </is>
      </c>
      <c r="D983" s="4" t="n">
        <v>46314.24595935859</v>
      </c>
      <c r="E983" s="4" t="n">
        <v>46314.24595935873</v>
      </c>
      <c r="F983" t="b">
        <v>1</v>
      </c>
      <c r="G983" t="n">
        <v/>
      </c>
      <c r="H983" t="inlineStr">
        <is>
          <t>JDOPA</t>
        </is>
      </c>
      <c r="I983" t="inlineStr">
        <is>
          <t>Judo Capital Holdings Ltd</t>
        </is>
      </c>
      <c r="J983" t="inlineStr">
        <is>
          <t>AUD</t>
        </is>
      </c>
      <c r="K983" s="5" t="inlineStr">
        <is>
          <t>01a152b9-6ee2-7577-bddd-382bc3853fde</t>
        </is>
      </c>
      <c r="M983" t="inlineStr">
        <is>
          <t>UNKNOWN</t>
        </is>
      </c>
      <c r="N983" t="inlineStr">
        <is>
          <t>DEFAULT</t>
        </is>
      </c>
      <c r="Q983" t="n">
        <v>0</v>
      </c>
      <c r="R983" t="inlineStr">
        <is>
          <t>AUD</t>
        </is>
      </c>
      <c r="S983" t="n">
        <v>0</v>
      </c>
      <c r="T983" t="inlineStr">
        <is>
          <t>AUD</t>
        </is>
      </c>
      <c r="U983" t="n">
        <v>0</v>
      </c>
    </row>
    <row r="984">
      <c r="A984" s="5" t="inlineStr">
        <is>
          <t>01a152b9-7f4c-73ff-95f1-342a476a6417</t>
        </is>
      </c>
      <c r="C984" s="5" t="inlineStr">
        <is>
          <t>01a152b9-6e67-75da-8adb-b03e5d07fd21</t>
        </is>
      </c>
      <c r="D984" s="4" t="n">
        <v>46314.2459594024</v>
      </c>
      <c r="E984" s="4" t="n">
        <v>46314.24595940252</v>
      </c>
      <c r="F984" t="b">
        <v>1</v>
      </c>
      <c r="G984" t="n">
        <v/>
      </c>
      <c r="H984" t="inlineStr">
        <is>
          <t>USL</t>
        </is>
      </c>
      <c r="I984" t="inlineStr">
        <is>
          <t>Unico Silver Ltd</t>
        </is>
      </c>
      <c r="J984" t="inlineStr">
        <is>
          <t>AUD</t>
        </is>
      </c>
      <c r="K984" s="5" t="inlineStr">
        <is>
          <t>01a152b9-6ee2-7577-bddd-382bc3853fde</t>
        </is>
      </c>
      <c r="M984" t="inlineStr">
        <is>
          <t>UNKNOWN</t>
        </is>
      </c>
      <c r="N984" t="inlineStr">
        <is>
          <t>DEFAULT</t>
        </is>
      </c>
      <c r="Q984" t="n">
        <v>0</v>
      </c>
      <c r="R984" t="inlineStr">
        <is>
          <t>AUD</t>
        </is>
      </c>
      <c r="S984" t="n">
        <v>0</v>
      </c>
      <c r="T984" t="inlineStr">
        <is>
          <t>AUD</t>
        </is>
      </c>
      <c r="U984" t="n">
        <v>0</v>
      </c>
    </row>
    <row r="985">
      <c r="A985" s="5" t="inlineStr">
        <is>
          <t>01a152b9-7f50-748d-ace3-d6502b7b7a88</t>
        </is>
      </c>
      <c r="C985" s="5" t="inlineStr">
        <is>
          <t>01a152b9-6e67-75da-8adb-b03e5d07fd21</t>
        </is>
      </c>
      <c r="D985" s="4" t="n">
        <v>46314.24595945152</v>
      </c>
      <c r="E985" s="4" t="n">
        <v>46314.24595945163</v>
      </c>
      <c r="F985" t="b">
        <v>1</v>
      </c>
      <c r="G985" t="n">
        <v/>
      </c>
      <c r="H985" t="inlineStr">
        <is>
          <t>ZEO</t>
        </is>
      </c>
      <c r="I985" t="inlineStr">
        <is>
          <t>Zeotech Ltd</t>
        </is>
      </c>
      <c r="J985" t="inlineStr">
        <is>
          <t>AUD</t>
        </is>
      </c>
      <c r="K985" s="5" t="inlineStr">
        <is>
          <t>01a152b9-6ee2-7577-bddd-382bc3853fde</t>
        </is>
      </c>
      <c r="M985" t="inlineStr">
        <is>
          <t>UNKNOWN</t>
        </is>
      </c>
      <c r="N985" t="inlineStr">
        <is>
          <t>DEFAULT</t>
        </is>
      </c>
      <c r="Q985" t="n">
        <v>0</v>
      </c>
      <c r="R985" t="inlineStr">
        <is>
          <t>AUD</t>
        </is>
      </c>
      <c r="S985" t="n">
        <v>0</v>
      </c>
      <c r="T985" t="inlineStr">
        <is>
          <t>AUD</t>
        </is>
      </c>
      <c r="U985" t="n">
        <v>0</v>
      </c>
    </row>
    <row r="986">
      <c r="A986" s="5" t="inlineStr">
        <is>
          <t>01a152b9-7f54-7066-bf98-5672fd96506b</t>
        </is>
      </c>
      <c r="C986" s="5" t="inlineStr">
        <is>
          <t>01a152b9-6e67-75da-8adb-b03e5d07fd21</t>
        </is>
      </c>
      <c r="D986" s="4" t="n">
        <v>46314.24595949675</v>
      </c>
      <c r="E986" s="4" t="n">
        <v>46314.24595949689</v>
      </c>
      <c r="F986" t="b">
        <v>1</v>
      </c>
      <c r="G986" t="n">
        <v/>
      </c>
      <c r="H986" t="inlineStr">
        <is>
          <t>ABY</t>
        </is>
      </c>
      <c r="I986" t="inlineStr">
        <is>
          <t>Adore Beauty Group Ltd</t>
        </is>
      </c>
      <c r="J986" t="inlineStr">
        <is>
          <t>AUD</t>
        </is>
      </c>
      <c r="K986" s="5" t="inlineStr">
        <is>
          <t>01a152b9-6ee2-7577-bddd-382bc3853fde</t>
        </is>
      </c>
      <c r="M986" t="inlineStr">
        <is>
          <t>UNKNOWN</t>
        </is>
      </c>
      <c r="N986" t="inlineStr">
        <is>
          <t>DEFAULT</t>
        </is>
      </c>
      <c r="Q986" t="n">
        <v>0</v>
      </c>
      <c r="R986" t="inlineStr">
        <is>
          <t>AUD</t>
        </is>
      </c>
      <c r="S986" t="n">
        <v>0</v>
      </c>
      <c r="T986" t="inlineStr">
        <is>
          <t>AUD</t>
        </is>
      </c>
      <c r="U986" t="n">
        <v>0</v>
      </c>
    </row>
    <row r="987">
      <c r="A987" s="5" t="inlineStr">
        <is>
          <t>01a152b9-7f57-715d-a1ad-47452311a09a</t>
        </is>
      </c>
      <c r="C987" s="5" t="inlineStr">
        <is>
          <t>01a152b9-6e67-75da-8adb-b03e5d07fd21</t>
        </is>
      </c>
      <c r="D987" s="4" t="n">
        <v>46314.24595953617</v>
      </c>
      <c r="E987" s="4" t="n">
        <v>46314.24595953628</v>
      </c>
      <c r="F987" t="b">
        <v>1</v>
      </c>
      <c r="G987" t="n">
        <v/>
      </c>
      <c r="H987" t="inlineStr">
        <is>
          <t>IKE</t>
        </is>
      </c>
      <c r="I987" t="inlineStr">
        <is>
          <t>Ikegps Group Ltd</t>
        </is>
      </c>
      <c r="J987" t="inlineStr">
        <is>
          <t>AUD</t>
        </is>
      </c>
      <c r="K987" s="5" t="inlineStr">
        <is>
          <t>01a152b9-6ee2-7577-bddd-382bc3853fde</t>
        </is>
      </c>
      <c r="M987" t="inlineStr">
        <is>
          <t>UNKNOWN</t>
        </is>
      </c>
      <c r="N987" t="inlineStr">
        <is>
          <t>DEFAULT</t>
        </is>
      </c>
      <c r="Q987" t="n">
        <v>0</v>
      </c>
      <c r="R987" t="inlineStr">
        <is>
          <t>AUD</t>
        </is>
      </c>
      <c r="S987" t="n">
        <v>0</v>
      </c>
      <c r="T987" t="inlineStr">
        <is>
          <t>AUD</t>
        </is>
      </c>
      <c r="U987" t="n">
        <v>0</v>
      </c>
    </row>
    <row r="988">
      <c r="A988" s="5" t="inlineStr">
        <is>
          <t>01a152b9-7f5b-7344-9a60-d8f32e348b7f</t>
        </is>
      </c>
      <c r="C988" s="5" t="inlineStr">
        <is>
          <t>01a152b9-6e67-75da-8adb-b03e5d07fd21</t>
        </is>
      </c>
      <c r="D988" s="4" t="n">
        <v>46314.24595957484</v>
      </c>
      <c r="E988" s="4" t="n">
        <v>46314.24595957495</v>
      </c>
      <c r="F988" t="b">
        <v>1</v>
      </c>
      <c r="G988" t="n">
        <v/>
      </c>
      <c r="H988" t="inlineStr">
        <is>
          <t>WVOL</t>
        </is>
      </c>
      <c r="I988" t="inlineStr">
        <is>
          <t>Ishares MSCI World Ex Aust Minimum Volatility ETF</t>
        </is>
      </c>
      <c r="J988" t="inlineStr">
        <is>
          <t>AUD</t>
        </is>
      </c>
      <c r="K988" s="5" t="inlineStr">
        <is>
          <t>01a152b9-6ee2-7577-bddd-382bc3853fde</t>
        </is>
      </c>
      <c r="M988" t="inlineStr">
        <is>
          <t>UNKNOWN</t>
        </is>
      </c>
      <c r="N988" t="inlineStr">
        <is>
          <t>DEFAULT</t>
        </is>
      </c>
      <c r="Q988" t="n">
        <v>0</v>
      </c>
      <c r="R988" t="inlineStr">
        <is>
          <t>AUD</t>
        </is>
      </c>
      <c r="S988" t="n">
        <v>0</v>
      </c>
      <c r="T988" t="inlineStr">
        <is>
          <t>AUD</t>
        </is>
      </c>
      <c r="U988" t="n">
        <v>0</v>
      </c>
    </row>
    <row r="989">
      <c r="A989" s="5" t="inlineStr">
        <is>
          <t>01a152b9-7f5e-75ab-974f-07553633db06</t>
        </is>
      </c>
      <c r="C989" s="5" t="inlineStr">
        <is>
          <t>01a152b9-6e67-75da-8adb-b03e5d07fd21</t>
        </is>
      </c>
      <c r="D989" s="4" t="n">
        <v>46314.24595961603</v>
      </c>
      <c r="E989" s="4" t="n">
        <v>46314.24595961614</v>
      </c>
      <c r="F989" t="b">
        <v>1</v>
      </c>
      <c r="G989" t="n">
        <v/>
      </c>
      <c r="H989" t="inlineStr">
        <is>
          <t>TOT</t>
        </is>
      </c>
      <c r="I989" t="inlineStr">
        <is>
          <t>360 Capital REIT</t>
        </is>
      </c>
      <c r="J989" t="inlineStr">
        <is>
          <t>AUD</t>
        </is>
      </c>
      <c r="K989" s="5" t="inlineStr">
        <is>
          <t>01a152b9-6ee2-7577-bddd-382bc3853fde</t>
        </is>
      </c>
      <c r="M989" t="inlineStr">
        <is>
          <t>UNKNOWN</t>
        </is>
      </c>
      <c r="N989" t="inlineStr">
        <is>
          <t>DEFAULT</t>
        </is>
      </c>
      <c r="Q989" t="n">
        <v>0</v>
      </c>
      <c r="R989" t="inlineStr">
        <is>
          <t>AUD</t>
        </is>
      </c>
      <c r="S989" t="n">
        <v>0</v>
      </c>
      <c r="T989" t="inlineStr">
        <is>
          <t>AUD</t>
        </is>
      </c>
      <c r="U989" t="n">
        <v>0</v>
      </c>
    </row>
    <row r="990">
      <c r="A990" s="5" t="inlineStr">
        <is>
          <t>01a152b9-7f62-76ac-97eb-8a99ae385426</t>
        </is>
      </c>
      <c r="C990" s="5" t="inlineStr">
        <is>
          <t>01a152b9-6e67-75da-8adb-b03e5d07fd21</t>
        </is>
      </c>
      <c r="D990" s="4" t="n">
        <v>46314.2459596554</v>
      </c>
      <c r="E990" s="4" t="n">
        <v>46314.24595965548</v>
      </c>
      <c r="F990" t="b">
        <v>1</v>
      </c>
      <c r="G990" t="n">
        <v/>
      </c>
      <c r="H990" t="inlineStr">
        <is>
          <t>CEL</t>
        </is>
      </c>
      <c r="I990" t="inlineStr">
        <is>
          <t>Challenger Gold Ltd</t>
        </is>
      </c>
      <c r="J990" t="inlineStr">
        <is>
          <t>AUD</t>
        </is>
      </c>
      <c r="K990" s="5" t="inlineStr">
        <is>
          <t>01a152b9-6ee2-7577-bddd-382bc3853fde</t>
        </is>
      </c>
      <c r="M990" t="inlineStr">
        <is>
          <t>UNKNOWN</t>
        </is>
      </c>
      <c r="N990" t="inlineStr">
        <is>
          <t>DEFAULT</t>
        </is>
      </c>
      <c r="Q990" t="n">
        <v>0</v>
      </c>
      <c r="R990" t="inlineStr">
        <is>
          <t>AUD</t>
        </is>
      </c>
      <c r="S990" t="n">
        <v>0</v>
      </c>
      <c r="T990" t="inlineStr">
        <is>
          <t>AUD</t>
        </is>
      </c>
      <c r="U990" t="n">
        <v>0</v>
      </c>
    </row>
    <row r="991">
      <c r="A991" s="5" t="inlineStr">
        <is>
          <t>01a152b9-7f65-76d5-8ee2-97815fe99040</t>
        </is>
      </c>
      <c r="C991" s="5" t="inlineStr">
        <is>
          <t>01a152b9-6e67-75da-8adb-b03e5d07fd21</t>
        </is>
      </c>
      <c r="D991" s="4" t="n">
        <v>46314.24595969312</v>
      </c>
      <c r="E991" s="4" t="n">
        <v>46314.24595969322</v>
      </c>
      <c r="F991" t="b">
        <v>1</v>
      </c>
      <c r="G991" t="n">
        <v/>
      </c>
      <c r="H991" t="inlineStr">
        <is>
          <t>AR1</t>
        </is>
      </c>
      <c r="I991" t="inlineStr">
        <is>
          <t>Austral Resources Australia Ltd</t>
        </is>
      </c>
      <c r="J991" t="inlineStr">
        <is>
          <t>AUD</t>
        </is>
      </c>
      <c r="K991" s="5" t="inlineStr">
        <is>
          <t>01a152b9-6ee2-7577-bddd-382bc3853fde</t>
        </is>
      </c>
      <c r="M991" t="inlineStr">
        <is>
          <t>UNKNOWN</t>
        </is>
      </c>
      <c r="N991" t="inlineStr">
        <is>
          <t>DEFAULT</t>
        </is>
      </c>
      <c r="Q991" t="n">
        <v>0</v>
      </c>
      <c r="R991" t="inlineStr">
        <is>
          <t>AUD</t>
        </is>
      </c>
      <c r="S991" t="n">
        <v>0</v>
      </c>
      <c r="T991" t="inlineStr">
        <is>
          <t>AUD</t>
        </is>
      </c>
      <c r="U991" t="n">
        <v>0</v>
      </c>
    </row>
    <row r="992">
      <c r="A992" s="5" t="inlineStr">
        <is>
          <t>01a152b9-7f68-76e9-816d-0ec898fd3f47</t>
        </is>
      </c>
      <c r="C992" s="5" t="inlineStr">
        <is>
          <t>01a152b9-6e67-75da-8adb-b03e5d07fd21</t>
        </is>
      </c>
      <c r="D992" s="4" t="n">
        <v>46314.24595972934</v>
      </c>
      <c r="E992" s="4" t="n">
        <v>46314.24595972944</v>
      </c>
      <c r="F992" t="b">
        <v>1</v>
      </c>
      <c r="G992" t="n">
        <v/>
      </c>
      <c r="H992" t="inlineStr">
        <is>
          <t>EBG</t>
        </is>
      </c>
      <c r="I992" t="inlineStr">
        <is>
          <t>Eumundi Group Ltd</t>
        </is>
      </c>
      <c r="J992" t="inlineStr">
        <is>
          <t>AUD</t>
        </is>
      </c>
      <c r="K992" s="5" t="inlineStr">
        <is>
          <t>01a152b9-6ee2-7577-bddd-382bc3853fde</t>
        </is>
      </c>
      <c r="M992" t="inlineStr">
        <is>
          <t>UNKNOWN</t>
        </is>
      </c>
      <c r="N992" t="inlineStr">
        <is>
          <t>DEFAULT</t>
        </is>
      </c>
      <c r="Q992" t="n">
        <v>0</v>
      </c>
      <c r="R992" t="inlineStr">
        <is>
          <t>AUD</t>
        </is>
      </c>
      <c r="S992" t="n">
        <v>0</v>
      </c>
      <c r="T992" t="inlineStr">
        <is>
          <t>AUD</t>
        </is>
      </c>
      <c r="U992" t="n">
        <v>0</v>
      </c>
    </row>
    <row r="993">
      <c r="A993" s="5" t="inlineStr">
        <is>
          <t>01a152b9-7f6b-70b7-a959-04def6a2dcff</t>
        </is>
      </c>
      <c r="C993" s="5" t="inlineStr">
        <is>
          <t>01a152b9-6e67-75da-8adb-b03e5d07fd21</t>
        </is>
      </c>
      <c r="D993" s="4" t="n">
        <v>46314.24595976868</v>
      </c>
      <c r="E993" s="4" t="n">
        <v>46314.24595976877</v>
      </c>
      <c r="F993" t="b">
        <v>1</v>
      </c>
      <c r="G993" t="n">
        <v/>
      </c>
      <c r="H993" t="inlineStr">
        <is>
          <t>MKAX</t>
        </is>
      </c>
      <c r="I993" t="inlineStr">
        <is>
          <t>Montaka Global Extension Fund (Quoted Managed Hedge Fund)</t>
        </is>
      </c>
      <c r="J993" t="inlineStr">
        <is>
          <t>AUD</t>
        </is>
      </c>
      <c r="K993" s="5" t="inlineStr">
        <is>
          <t>01a152b9-6ee2-7577-bddd-382bc3853fde</t>
        </is>
      </c>
      <c r="M993" t="inlineStr">
        <is>
          <t>UNKNOWN</t>
        </is>
      </c>
      <c r="N993" t="inlineStr">
        <is>
          <t>DEFAULT</t>
        </is>
      </c>
      <c r="Q993" t="n">
        <v>0</v>
      </c>
      <c r="R993" t="inlineStr">
        <is>
          <t>AUD</t>
        </is>
      </c>
      <c r="S993" t="n">
        <v>0</v>
      </c>
      <c r="T993" t="inlineStr">
        <is>
          <t>AUD</t>
        </is>
      </c>
      <c r="U993" t="n">
        <v>0</v>
      </c>
    </row>
    <row r="994">
      <c r="A994" s="5" t="inlineStr">
        <is>
          <t>01a152b9-7f6f-706d-a444-a9d31031d187</t>
        </is>
      </c>
      <c r="C994" s="5" t="inlineStr">
        <is>
          <t>01a152b9-6e67-75da-8adb-b03e5d07fd21</t>
        </is>
      </c>
      <c r="D994" s="4" t="n">
        <v>46314.24595981398</v>
      </c>
      <c r="E994" s="4" t="n">
        <v>46314.2459598141</v>
      </c>
      <c r="F994" t="b">
        <v>1</v>
      </c>
      <c r="G994" t="n">
        <v/>
      </c>
      <c r="H994" t="inlineStr">
        <is>
          <t>NWF</t>
        </is>
      </c>
      <c r="I994" t="inlineStr">
        <is>
          <t>Newfield Resources Ltd</t>
        </is>
      </c>
      <c r="J994" t="inlineStr">
        <is>
          <t>AUD</t>
        </is>
      </c>
      <c r="K994" s="5" t="inlineStr">
        <is>
          <t>01a152b9-6ee2-7577-bddd-382bc3853fde</t>
        </is>
      </c>
      <c r="M994" t="inlineStr">
        <is>
          <t>UNKNOWN</t>
        </is>
      </c>
      <c r="N994" t="inlineStr">
        <is>
          <t>DEFAULT</t>
        </is>
      </c>
      <c r="Q994" t="n">
        <v>0</v>
      </c>
      <c r="R994" t="inlineStr">
        <is>
          <t>AUD</t>
        </is>
      </c>
      <c r="S994" t="n">
        <v>0</v>
      </c>
      <c r="T994" t="inlineStr">
        <is>
          <t>AUD</t>
        </is>
      </c>
      <c r="U994" t="n">
        <v>0</v>
      </c>
    </row>
    <row r="995">
      <c r="A995" s="5" t="inlineStr">
        <is>
          <t>01a152b9-7f73-712b-89d9-3923653286ec</t>
        </is>
      </c>
      <c r="C995" s="5" t="inlineStr">
        <is>
          <t>01a152b9-6e67-75da-8adb-b03e5d07fd21</t>
        </is>
      </c>
      <c r="D995" s="4" t="n">
        <v>46314.24595985292</v>
      </c>
      <c r="E995" s="4" t="n">
        <v>46314.24595985303</v>
      </c>
      <c r="F995" t="b">
        <v>1</v>
      </c>
      <c r="G995" t="n">
        <v/>
      </c>
      <c r="H995" t="inlineStr">
        <is>
          <t>LIS</t>
        </is>
      </c>
      <c r="I995" t="inlineStr">
        <is>
          <t>Li-S Energy Ltd</t>
        </is>
      </c>
      <c r="J995" t="inlineStr">
        <is>
          <t>AUD</t>
        </is>
      </c>
      <c r="K995" s="5" t="inlineStr">
        <is>
          <t>01a152b9-6ee2-7577-bddd-382bc3853fde</t>
        </is>
      </c>
      <c r="M995" t="inlineStr">
        <is>
          <t>UNKNOWN</t>
        </is>
      </c>
      <c r="N995" t="inlineStr">
        <is>
          <t>DEFAULT</t>
        </is>
      </c>
      <c r="Q995" t="n">
        <v>0</v>
      </c>
      <c r="R995" t="inlineStr">
        <is>
          <t>AUD</t>
        </is>
      </c>
      <c r="S995" t="n">
        <v>0</v>
      </c>
      <c r="T995" t="inlineStr">
        <is>
          <t>AUD</t>
        </is>
      </c>
      <c r="U995" t="n">
        <v>0</v>
      </c>
    </row>
    <row r="996">
      <c r="A996" s="5" t="inlineStr">
        <is>
          <t>01a152b9-7f76-73ef-b2e7-dd1789c60101</t>
        </is>
      </c>
      <c r="C996" s="5" t="inlineStr">
        <is>
          <t>01a152b9-6e67-75da-8adb-b03e5d07fd21</t>
        </is>
      </c>
      <c r="D996" s="4" t="n">
        <v>46314.24595989667</v>
      </c>
      <c r="E996" s="4" t="n">
        <v>46314.24595989677</v>
      </c>
      <c r="F996" t="b">
        <v>1</v>
      </c>
      <c r="G996" t="n">
        <v/>
      </c>
      <c r="H996" t="inlineStr">
        <is>
          <t>TGN</t>
        </is>
      </c>
      <c r="I996" t="inlineStr">
        <is>
          <t>Tungsten Mining NL</t>
        </is>
      </c>
      <c r="J996" t="inlineStr">
        <is>
          <t>AUD</t>
        </is>
      </c>
      <c r="K996" s="5" t="inlineStr">
        <is>
          <t>01a152b9-6ee2-7577-bddd-382bc3853fde</t>
        </is>
      </c>
      <c r="M996" t="inlineStr">
        <is>
          <t>UNKNOWN</t>
        </is>
      </c>
      <c r="N996" t="inlineStr">
        <is>
          <t>DEFAULT</t>
        </is>
      </c>
      <c r="Q996" t="n">
        <v>0</v>
      </c>
      <c r="R996" t="inlineStr">
        <is>
          <t>AUD</t>
        </is>
      </c>
      <c r="S996" t="n">
        <v>0</v>
      </c>
      <c r="T996" t="inlineStr">
        <is>
          <t>AUD</t>
        </is>
      </c>
      <c r="U996" t="n">
        <v>0</v>
      </c>
    </row>
    <row r="997">
      <c r="A997" s="5" t="inlineStr">
        <is>
          <t>01a152b9-7f7a-7481-adc0-6acdff2a7397</t>
        </is>
      </c>
      <c r="C997" s="5" t="inlineStr">
        <is>
          <t>01a152b9-6e67-75da-8adb-b03e5d07fd21</t>
        </is>
      </c>
      <c r="D997" s="4" t="n">
        <v>46314.24595993693</v>
      </c>
      <c r="E997" s="4" t="n">
        <v>46314.24595993703</v>
      </c>
      <c r="F997" t="b">
        <v>1</v>
      </c>
      <c r="G997" t="n">
        <v/>
      </c>
      <c r="H997" t="inlineStr">
        <is>
          <t>AUMF</t>
        </is>
      </c>
      <c r="I997" t="inlineStr">
        <is>
          <t>Ishares Edge MSCI Australia Multifactor ETF</t>
        </is>
      </c>
      <c r="J997" t="inlineStr">
        <is>
          <t>AUD</t>
        </is>
      </c>
      <c r="K997" s="5" t="inlineStr">
        <is>
          <t>01a152b9-6ee2-7577-bddd-382bc3853fde</t>
        </is>
      </c>
      <c r="M997" t="inlineStr">
        <is>
          <t>UNKNOWN</t>
        </is>
      </c>
      <c r="N997" t="inlineStr">
        <is>
          <t>DEFAULT</t>
        </is>
      </c>
      <c r="Q997" t="n">
        <v>0</v>
      </c>
      <c r="R997" t="inlineStr">
        <is>
          <t>AUD</t>
        </is>
      </c>
      <c r="S997" t="n">
        <v>0</v>
      </c>
      <c r="T997" t="inlineStr">
        <is>
          <t>AUD</t>
        </is>
      </c>
      <c r="U997" t="n">
        <v>0</v>
      </c>
    </row>
    <row r="998">
      <c r="A998" s="5" t="inlineStr">
        <is>
          <t>01a152b9-7f7e-73c0-ac89-36332986cb43</t>
        </is>
      </c>
      <c r="C998" s="5" t="inlineStr">
        <is>
          <t>01a152b9-6e67-75da-8adb-b03e5d07fd21</t>
        </is>
      </c>
      <c r="D998" s="4" t="n">
        <v>46314.24595997947</v>
      </c>
      <c r="E998" s="4" t="n">
        <v>46314.24595997966</v>
      </c>
      <c r="F998" t="b">
        <v>1</v>
      </c>
      <c r="G998" t="n">
        <v/>
      </c>
      <c r="H998" t="inlineStr">
        <is>
          <t>EUR</t>
        </is>
      </c>
      <c r="I998" t="inlineStr">
        <is>
          <t>European Lithium Ltd</t>
        </is>
      </c>
      <c r="J998" t="inlineStr">
        <is>
          <t>AUD</t>
        </is>
      </c>
      <c r="K998" s="5" t="inlineStr">
        <is>
          <t>01a152b9-6ee2-7577-bddd-382bc3853fde</t>
        </is>
      </c>
      <c r="M998" t="inlineStr">
        <is>
          <t>UNKNOWN</t>
        </is>
      </c>
      <c r="N998" t="inlineStr">
        <is>
          <t>DEFAULT</t>
        </is>
      </c>
      <c r="Q998" t="n">
        <v>0</v>
      </c>
      <c r="R998" t="inlineStr">
        <is>
          <t>AUD</t>
        </is>
      </c>
      <c r="S998" t="n">
        <v>0</v>
      </c>
      <c r="T998" t="inlineStr">
        <is>
          <t>AUD</t>
        </is>
      </c>
      <c r="U998" t="n">
        <v>0</v>
      </c>
    </row>
    <row r="999">
      <c r="A999" s="5" t="inlineStr">
        <is>
          <t>01a152b9-7f81-75b8-a1c5-a222445b5e6e</t>
        </is>
      </c>
      <c r="C999" s="5" t="inlineStr">
        <is>
          <t>01a152b9-6e67-75da-8adb-b03e5d07fd21</t>
        </is>
      </c>
      <c r="D999" s="4" t="n">
        <v>46314.24596002343</v>
      </c>
      <c r="E999" s="4" t="n">
        <v>46314.24596002353</v>
      </c>
      <c r="F999" t="b">
        <v>1</v>
      </c>
      <c r="G999" t="n">
        <v/>
      </c>
      <c r="H999" t="inlineStr">
        <is>
          <t>LEND</t>
        </is>
      </c>
      <c r="I999" t="inlineStr">
        <is>
          <t>Vaneck GLBL Listed Private Credit (Aud Hedged) ETF</t>
        </is>
      </c>
      <c r="J999" t="inlineStr">
        <is>
          <t>AUD</t>
        </is>
      </c>
      <c r="K999" s="5" t="inlineStr">
        <is>
          <t>01a152b9-6ee2-7577-bddd-382bc3853fde</t>
        </is>
      </c>
      <c r="M999" t="inlineStr">
        <is>
          <t>UNKNOWN</t>
        </is>
      </c>
      <c r="N999" t="inlineStr">
        <is>
          <t>DEFAULT</t>
        </is>
      </c>
      <c r="Q999" t="n">
        <v>0</v>
      </c>
      <c r="R999" t="inlineStr">
        <is>
          <t>AUD</t>
        </is>
      </c>
      <c r="S999" t="n">
        <v>0</v>
      </c>
      <c r="T999" t="inlineStr">
        <is>
          <t>AUD</t>
        </is>
      </c>
      <c r="U999" t="n">
        <v>0</v>
      </c>
    </row>
    <row r="1000">
      <c r="A1000" s="5" t="inlineStr">
        <is>
          <t>01a152b9-7f85-750c-88f3-32d48e7eb79b</t>
        </is>
      </c>
      <c r="C1000" s="5" t="inlineStr">
        <is>
          <t>01a152b9-6e67-75da-8adb-b03e5d07fd21</t>
        </is>
      </c>
      <c r="D1000" s="4" t="n">
        <v>46314.24596005951</v>
      </c>
      <c r="E1000" s="4" t="n">
        <v>46314.2459600596</v>
      </c>
      <c r="F1000" t="b">
        <v>1</v>
      </c>
      <c r="G1000" t="n">
        <v/>
      </c>
      <c r="H1000" t="inlineStr">
        <is>
          <t>JPEQ</t>
        </is>
      </c>
      <c r="I1000" t="inlineStr">
        <is>
          <t>JPM US100Q EQ Prem Inc Active ETF (Managed Fund)</t>
        </is>
      </c>
      <c r="J1000" t="inlineStr">
        <is>
          <t>AUD</t>
        </is>
      </c>
      <c r="K1000" s="5" t="inlineStr">
        <is>
          <t>01a152b9-6ee2-7577-bddd-382bc3853fde</t>
        </is>
      </c>
      <c r="M1000" t="inlineStr">
        <is>
          <t>UNKNOWN</t>
        </is>
      </c>
      <c r="N1000" t="inlineStr">
        <is>
          <t>DEFAULT</t>
        </is>
      </c>
      <c r="Q1000" t="n">
        <v>0</v>
      </c>
      <c r="R1000" t="inlineStr">
        <is>
          <t>AUD</t>
        </is>
      </c>
      <c r="S1000" t="n">
        <v>0</v>
      </c>
      <c r="T1000" t="inlineStr">
        <is>
          <t>AUD</t>
        </is>
      </c>
      <c r="U1000" t="n">
        <v>0</v>
      </c>
    </row>
    <row r="1001">
      <c r="A1001" s="5" t="inlineStr">
        <is>
          <t>01a152b9-7f87-71c3-8b39-377e712ebf36</t>
        </is>
      </c>
      <c r="C1001" s="5" t="inlineStr">
        <is>
          <t>01a152b9-6e67-75da-8adb-b03e5d07fd21</t>
        </is>
      </c>
      <c r="D1001" s="4" t="n">
        <v>46314.24596009393</v>
      </c>
      <c r="E1001" s="4" t="n">
        <v>46314.24596009401</v>
      </c>
      <c r="F1001" t="b">
        <v>1</v>
      </c>
      <c r="G1001" t="n">
        <v/>
      </c>
      <c r="H1001" t="inlineStr">
        <is>
          <t>USD</t>
        </is>
      </c>
      <c r="I1001" t="inlineStr">
        <is>
          <t>Betashares U.S. Dollar ETF</t>
        </is>
      </c>
      <c r="J1001" t="inlineStr">
        <is>
          <t>AUD</t>
        </is>
      </c>
      <c r="K1001" s="5" t="inlineStr">
        <is>
          <t>01a152b9-6ee2-7577-bddd-382bc3853fde</t>
        </is>
      </c>
      <c r="M1001" t="inlineStr">
        <is>
          <t>UNKNOWN</t>
        </is>
      </c>
      <c r="N1001" t="inlineStr">
        <is>
          <t>DEFAULT</t>
        </is>
      </c>
      <c r="Q1001" t="n">
        <v>0</v>
      </c>
      <c r="R1001" t="inlineStr">
        <is>
          <t>AUD</t>
        </is>
      </c>
      <c r="S1001" t="n">
        <v>0</v>
      </c>
      <c r="T1001" t="inlineStr">
        <is>
          <t>AUD</t>
        </is>
      </c>
      <c r="U1001" t="n">
        <v>0</v>
      </c>
    </row>
    <row r="1002">
      <c r="A1002" s="5" t="inlineStr">
        <is>
          <t>01a152b9-7f8b-73be-83fe-107c5b50f39c</t>
        </is>
      </c>
      <c r="C1002" s="5" t="inlineStr">
        <is>
          <t>01a152b9-6e67-75da-8adb-b03e5d07fd21</t>
        </is>
      </c>
      <c r="D1002" s="4" t="n">
        <v>46314.24596012929</v>
      </c>
      <c r="E1002" s="4" t="n">
        <v>46314.24596012939</v>
      </c>
      <c r="F1002" t="b">
        <v>1</v>
      </c>
      <c r="G1002" t="n">
        <v/>
      </c>
      <c r="H1002" t="inlineStr">
        <is>
          <t>MDX</t>
        </is>
      </c>
      <c r="I1002" t="inlineStr">
        <is>
          <t>Mindax Ltd</t>
        </is>
      </c>
      <c r="J1002" t="inlineStr">
        <is>
          <t>AUD</t>
        </is>
      </c>
      <c r="K1002" s="5" t="inlineStr">
        <is>
          <t>01a152b9-6ee2-7577-bddd-382bc3853fde</t>
        </is>
      </c>
      <c r="M1002" t="inlineStr">
        <is>
          <t>UNKNOWN</t>
        </is>
      </c>
      <c r="N1002" t="inlineStr">
        <is>
          <t>DEFAULT</t>
        </is>
      </c>
      <c r="Q1002" t="n">
        <v>0</v>
      </c>
      <c r="R1002" t="inlineStr">
        <is>
          <t>AUD</t>
        </is>
      </c>
      <c r="S1002" t="n">
        <v>0</v>
      </c>
      <c r="T1002" t="inlineStr">
        <is>
          <t>AUD</t>
        </is>
      </c>
      <c r="U1002" t="n">
        <v>0</v>
      </c>
    </row>
    <row r="1003">
      <c r="A1003" s="5" t="inlineStr">
        <is>
          <t>01a152b9-7f8e-746b-90bb-782510ab6b6f</t>
        </is>
      </c>
      <c r="C1003" s="5" t="inlineStr">
        <is>
          <t>01a152b9-6e67-75da-8adb-b03e5d07fd21</t>
        </is>
      </c>
      <c r="D1003" s="4" t="n">
        <v>46314.24596016447</v>
      </c>
      <c r="E1003" s="4" t="n">
        <v>46314.24596016456</v>
      </c>
      <c r="F1003" t="b">
        <v>1</v>
      </c>
      <c r="G1003" t="n">
        <v/>
      </c>
      <c r="H1003" t="inlineStr">
        <is>
          <t>PLL</t>
        </is>
      </c>
      <c r="I1003" t="inlineStr">
        <is>
          <t>Piedmont Lithium Inc</t>
        </is>
      </c>
      <c r="J1003" t="inlineStr">
        <is>
          <t>AUD</t>
        </is>
      </c>
      <c r="K1003" s="5" t="inlineStr">
        <is>
          <t>01a152b9-6ee2-7577-bddd-382bc3853fde</t>
        </is>
      </c>
      <c r="M1003" t="inlineStr">
        <is>
          <t>UNKNOWN</t>
        </is>
      </c>
      <c r="N1003" t="inlineStr">
        <is>
          <t>DEFAULT</t>
        </is>
      </c>
      <c r="Q1003" t="n">
        <v>0</v>
      </c>
      <c r="R1003" t="inlineStr">
        <is>
          <t>AUD</t>
        </is>
      </c>
      <c r="S1003" t="n">
        <v>0</v>
      </c>
      <c r="T1003" t="inlineStr">
        <is>
          <t>AUD</t>
        </is>
      </c>
      <c r="U1003" t="n">
        <v>0</v>
      </c>
    </row>
    <row r="1004">
      <c r="A1004" s="5" t="inlineStr">
        <is>
          <t>01a152b9-7f91-74ad-84b9-1aa05335ace5</t>
        </is>
      </c>
      <c r="C1004" s="5" t="inlineStr">
        <is>
          <t>01a152b9-6e67-75da-8adb-b03e5d07fd21</t>
        </is>
      </c>
      <c r="D1004" s="4" t="n">
        <v>46314.24596020275</v>
      </c>
      <c r="E1004" s="4" t="n">
        <v>46314.24596020286</v>
      </c>
      <c r="F1004" t="b">
        <v>1</v>
      </c>
      <c r="G1004" t="n">
        <v/>
      </c>
      <c r="H1004" t="inlineStr">
        <is>
          <t>ACW</t>
        </is>
      </c>
      <c r="I1004" t="inlineStr">
        <is>
          <t>Actinogen Medical Ltd</t>
        </is>
      </c>
      <c r="J1004" t="inlineStr">
        <is>
          <t>AUD</t>
        </is>
      </c>
      <c r="K1004" s="5" t="inlineStr">
        <is>
          <t>01a152b9-6ee2-7577-bddd-382bc3853fde</t>
        </is>
      </c>
      <c r="M1004" t="inlineStr">
        <is>
          <t>UNKNOWN</t>
        </is>
      </c>
      <c r="N1004" t="inlineStr">
        <is>
          <t>DEFAULT</t>
        </is>
      </c>
      <c r="Q1004" t="n">
        <v>0</v>
      </c>
      <c r="R1004" t="inlineStr">
        <is>
          <t>AUD</t>
        </is>
      </c>
      <c r="S1004" t="n">
        <v>0</v>
      </c>
      <c r="T1004" t="inlineStr">
        <is>
          <t>AUD</t>
        </is>
      </c>
      <c r="U1004" t="n">
        <v>0</v>
      </c>
    </row>
    <row r="1005">
      <c r="A1005" s="5" t="inlineStr">
        <is>
          <t>01a152b9-7f94-74f8-87e7-8b895c65e347</t>
        </is>
      </c>
      <c r="C1005" s="5" t="inlineStr">
        <is>
          <t>01a152b9-6e67-75da-8adb-b03e5d07fd21</t>
        </is>
      </c>
      <c r="D1005" s="4" t="n">
        <v>46314.24596023723</v>
      </c>
      <c r="E1005" s="4" t="n">
        <v>46314.24596023731</v>
      </c>
      <c r="F1005" t="b">
        <v>1</v>
      </c>
      <c r="G1005" t="n">
        <v/>
      </c>
      <c r="H1005" t="inlineStr">
        <is>
          <t>MNRS</t>
        </is>
      </c>
      <c r="I1005" t="inlineStr">
        <is>
          <t>Betashares Global Gold Miners Currency Hedged ETF</t>
        </is>
      </c>
      <c r="J1005" t="inlineStr">
        <is>
          <t>AUD</t>
        </is>
      </c>
      <c r="K1005" s="5" t="inlineStr">
        <is>
          <t>01a152b9-6ee2-7577-bddd-382bc3853fde</t>
        </is>
      </c>
      <c r="M1005" t="inlineStr">
        <is>
          <t>UNKNOWN</t>
        </is>
      </c>
      <c r="N1005" t="inlineStr">
        <is>
          <t>DEFAULT</t>
        </is>
      </c>
      <c r="Q1005" t="n">
        <v>0</v>
      </c>
      <c r="R1005" t="inlineStr">
        <is>
          <t>AUD</t>
        </is>
      </c>
      <c r="S1005" t="n">
        <v>0</v>
      </c>
      <c r="T1005" t="inlineStr">
        <is>
          <t>AUD</t>
        </is>
      </c>
      <c r="U1005" t="n">
        <v>0</v>
      </c>
    </row>
    <row r="1006">
      <c r="A1006" s="5" t="inlineStr">
        <is>
          <t>01a152b9-7f97-747f-a009-428a364e8da0</t>
        </is>
      </c>
      <c r="C1006" s="5" t="inlineStr">
        <is>
          <t>01a152b9-6e67-75da-8adb-b03e5d07fd21</t>
        </is>
      </c>
      <c r="D1006" s="4" t="n">
        <v>46314.24596027246</v>
      </c>
      <c r="E1006" s="4" t="n">
        <v>46314.24596027256</v>
      </c>
      <c r="F1006" t="b">
        <v>1</v>
      </c>
      <c r="G1006" t="n">
        <v/>
      </c>
      <c r="H1006" t="inlineStr">
        <is>
          <t>BMT</t>
        </is>
      </c>
      <c r="I1006" t="inlineStr">
        <is>
          <t>Beamtree Holdings Ltd</t>
        </is>
      </c>
      <c r="J1006" t="inlineStr">
        <is>
          <t>AUD</t>
        </is>
      </c>
      <c r="K1006" s="5" t="inlineStr">
        <is>
          <t>01a152b9-6ee2-7577-bddd-382bc3853fde</t>
        </is>
      </c>
      <c r="M1006" t="inlineStr">
        <is>
          <t>UNKNOWN</t>
        </is>
      </c>
      <c r="N1006" t="inlineStr">
        <is>
          <t>DEFAULT</t>
        </is>
      </c>
      <c r="Q1006" t="n">
        <v>0</v>
      </c>
      <c r="R1006" t="inlineStr">
        <is>
          <t>AUD</t>
        </is>
      </c>
      <c r="S1006" t="n">
        <v>0</v>
      </c>
      <c r="T1006" t="inlineStr">
        <is>
          <t>AUD</t>
        </is>
      </c>
      <c r="U1006" t="n">
        <v>0</v>
      </c>
    </row>
    <row r="1007">
      <c r="A1007" s="5" t="inlineStr">
        <is>
          <t>01a152b9-7f9a-762b-bd9a-577954031fc4</t>
        </is>
      </c>
      <c r="C1007" s="5" t="inlineStr">
        <is>
          <t>01a152b9-6e67-75da-8adb-b03e5d07fd21</t>
        </is>
      </c>
      <c r="D1007" s="4" t="n">
        <v>46314.24596031378</v>
      </c>
      <c r="E1007" s="4" t="n">
        <v>46314.24596031388</v>
      </c>
      <c r="F1007" t="b">
        <v>1</v>
      </c>
      <c r="G1007" t="n">
        <v/>
      </c>
      <c r="H1007" t="inlineStr">
        <is>
          <t>AGN</t>
        </is>
      </c>
      <c r="I1007" t="inlineStr">
        <is>
          <t>Argenica Therapeutics Ltd</t>
        </is>
      </c>
      <c r="J1007" t="inlineStr">
        <is>
          <t>AUD</t>
        </is>
      </c>
      <c r="K1007" s="5" t="inlineStr">
        <is>
          <t>01a152b9-6ee2-7577-bddd-382bc3853fde</t>
        </is>
      </c>
      <c r="M1007" t="inlineStr">
        <is>
          <t>UNKNOWN</t>
        </is>
      </c>
      <c r="N1007" t="inlineStr">
        <is>
          <t>DEFAULT</t>
        </is>
      </c>
      <c r="Q1007" t="n">
        <v>0</v>
      </c>
      <c r="R1007" t="inlineStr">
        <is>
          <t>AUD</t>
        </is>
      </c>
      <c r="S1007" t="n">
        <v>0</v>
      </c>
      <c r="T1007" t="inlineStr">
        <is>
          <t>AUD</t>
        </is>
      </c>
      <c r="U1007" t="n">
        <v>0</v>
      </c>
    </row>
    <row r="1008">
      <c r="A1008" s="5" t="inlineStr">
        <is>
          <t>01a152b9-7f9e-7510-ba31-aac945453cec</t>
        </is>
      </c>
      <c r="C1008" s="5" t="inlineStr">
        <is>
          <t>01a152b9-6e67-75da-8adb-b03e5d07fd21</t>
        </is>
      </c>
      <c r="D1008" s="4" t="n">
        <v>46314.24596034999</v>
      </c>
      <c r="E1008" s="4" t="n">
        <v>46314.24596035008</v>
      </c>
      <c r="F1008" t="b">
        <v>1</v>
      </c>
      <c r="G1008" t="n">
        <v/>
      </c>
      <c r="H1008" t="inlineStr">
        <is>
          <t>AL3</t>
        </is>
      </c>
      <c r="I1008" t="inlineStr">
        <is>
          <t>AML3D Ltd</t>
        </is>
      </c>
      <c r="J1008" t="inlineStr">
        <is>
          <t>AUD</t>
        </is>
      </c>
      <c r="K1008" s="5" t="inlineStr">
        <is>
          <t>01a152b9-6ee2-7577-bddd-382bc3853fde</t>
        </is>
      </c>
      <c r="M1008" t="inlineStr">
        <is>
          <t>UNKNOWN</t>
        </is>
      </c>
      <c r="N1008" t="inlineStr">
        <is>
          <t>DEFAULT</t>
        </is>
      </c>
      <c r="Q1008" t="n">
        <v>0</v>
      </c>
      <c r="R1008" t="inlineStr">
        <is>
          <t>AUD</t>
        </is>
      </c>
      <c r="S1008" t="n">
        <v>0</v>
      </c>
      <c r="T1008" t="inlineStr">
        <is>
          <t>AUD</t>
        </is>
      </c>
      <c r="U1008" t="n">
        <v>0</v>
      </c>
    </row>
    <row r="1009">
      <c r="A1009" s="5" t="inlineStr">
        <is>
          <t>01a152b9-7fa1-71d7-b43c-59f0e418d9df</t>
        </is>
      </c>
      <c r="C1009" s="5" t="inlineStr">
        <is>
          <t>01a152b9-6e67-75da-8adb-b03e5d07fd21</t>
        </is>
      </c>
      <c r="D1009" s="4" t="n">
        <v>46314.24596038402</v>
      </c>
      <c r="E1009" s="4" t="n">
        <v>46314.24596038411</v>
      </c>
      <c r="F1009" t="b">
        <v>1</v>
      </c>
      <c r="G1009" t="n">
        <v/>
      </c>
      <c r="H1009" t="inlineStr">
        <is>
          <t>ECH</t>
        </is>
      </c>
      <c r="I1009" t="inlineStr">
        <is>
          <t>Echelon Resources Ltd</t>
        </is>
      </c>
      <c r="J1009" t="inlineStr">
        <is>
          <t>AUD</t>
        </is>
      </c>
      <c r="K1009" s="5" t="inlineStr">
        <is>
          <t>01a152b9-6ee2-7577-bddd-382bc3853fde</t>
        </is>
      </c>
      <c r="M1009" t="inlineStr">
        <is>
          <t>UNKNOWN</t>
        </is>
      </c>
      <c r="N1009" t="inlineStr">
        <is>
          <t>DEFAULT</t>
        </is>
      </c>
      <c r="Q1009" t="n">
        <v>0</v>
      </c>
      <c r="R1009" t="inlineStr">
        <is>
          <t>AUD</t>
        </is>
      </c>
      <c r="S1009" t="n">
        <v>0</v>
      </c>
      <c r="T1009" t="inlineStr">
        <is>
          <t>AUD</t>
        </is>
      </c>
      <c r="U1009" t="n">
        <v>0</v>
      </c>
    </row>
    <row r="1010">
      <c r="A1010" s="5" t="inlineStr">
        <is>
          <t>01a152b9-7fa4-7745-85a2-0714e5b6b207</t>
        </is>
      </c>
      <c r="C1010" s="5" t="inlineStr">
        <is>
          <t>01a152b9-6e67-75da-8adb-b03e5d07fd21</t>
        </is>
      </c>
      <c r="D1010" s="4" t="n">
        <v>46314.24596042132</v>
      </c>
      <c r="E1010" s="4" t="n">
        <v>46314.24596042142</v>
      </c>
      <c r="F1010" t="b">
        <v>1</v>
      </c>
      <c r="G1010" t="n">
        <v/>
      </c>
      <c r="H1010" t="inlineStr">
        <is>
          <t>AYA</t>
        </is>
      </c>
      <c r="I1010" t="inlineStr">
        <is>
          <t>ARTRYA Ltd</t>
        </is>
      </c>
      <c r="J1010" t="inlineStr">
        <is>
          <t>AUD</t>
        </is>
      </c>
      <c r="K1010" s="5" t="inlineStr">
        <is>
          <t>01a152b9-6ee2-7577-bddd-382bc3853fde</t>
        </is>
      </c>
      <c r="M1010" t="inlineStr">
        <is>
          <t>UNKNOWN</t>
        </is>
      </c>
      <c r="N1010" t="inlineStr">
        <is>
          <t>DEFAULT</t>
        </is>
      </c>
      <c r="Q1010" t="n">
        <v>0</v>
      </c>
      <c r="R1010" t="inlineStr">
        <is>
          <t>AUD</t>
        </is>
      </c>
      <c r="S1010" t="n">
        <v>0</v>
      </c>
      <c r="T1010" t="inlineStr">
        <is>
          <t>AUD</t>
        </is>
      </c>
      <c r="U1010" t="n">
        <v>0</v>
      </c>
    </row>
    <row r="1011">
      <c r="A1011" s="5" t="inlineStr">
        <is>
          <t>01a152b9-7fa7-7748-bbf6-69a128fcc5a4</t>
        </is>
      </c>
      <c r="C1011" s="5" t="inlineStr">
        <is>
          <t>01a152b9-6e67-75da-8adb-b03e5d07fd21</t>
        </is>
      </c>
      <c r="D1011" s="4" t="n">
        <v>46314.24596045904</v>
      </c>
      <c r="E1011" s="4" t="n">
        <v>46314.24596045913</v>
      </c>
      <c r="F1011" t="b">
        <v>1</v>
      </c>
      <c r="G1011" t="n">
        <v/>
      </c>
      <c r="H1011" t="inlineStr">
        <is>
          <t>RIM</t>
        </is>
      </c>
      <c r="I1011" t="inlineStr">
        <is>
          <t>Rimfire Pacific Mining Ltd</t>
        </is>
      </c>
      <c r="J1011" t="inlineStr">
        <is>
          <t>AUD</t>
        </is>
      </c>
      <c r="K1011" s="5" t="inlineStr">
        <is>
          <t>01a152b9-6ee2-7577-bddd-382bc3853fde</t>
        </is>
      </c>
      <c r="M1011" t="inlineStr">
        <is>
          <t>UNKNOWN</t>
        </is>
      </c>
      <c r="N1011" t="inlineStr">
        <is>
          <t>DEFAULT</t>
        </is>
      </c>
      <c r="Q1011" t="n">
        <v>0</v>
      </c>
      <c r="R1011" t="inlineStr">
        <is>
          <t>AUD</t>
        </is>
      </c>
      <c r="S1011" t="n">
        <v>0</v>
      </c>
      <c r="T1011" t="inlineStr">
        <is>
          <t>AUD</t>
        </is>
      </c>
      <c r="U1011" t="n">
        <v>0</v>
      </c>
    </row>
    <row r="1012">
      <c r="A1012" s="5" t="inlineStr">
        <is>
          <t>01a152b9-7faa-7509-925f-c239099e278d</t>
        </is>
      </c>
      <c r="C1012" s="5" t="inlineStr">
        <is>
          <t>01a152b9-6e67-75da-8adb-b03e5d07fd21</t>
        </is>
      </c>
      <c r="D1012" s="4" t="n">
        <v>46314.24596049641</v>
      </c>
      <c r="E1012" s="4" t="n">
        <v>46314.24596049653</v>
      </c>
      <c r="F1012" t="b">
        <v>1</v>
      </c>
      <c r="G1012" t="n">
        <v/>
      </c>
      <c r="H1012" t="inlineStr">
        <is>
          <t>APW</t>
        </is>
      </c>
      <c r="I1012" t="inlineStr">
        <is>
          <t>Aims Property Securities Fund</t>
        </is>
      </c>
      <c r="J1012" t="inlineStr">
        <is>
          <t>AUD</t>
        </is>
      </c>
      <c r="K1012" s="5" t="inlineStr">
        <is>
          <t>01a152b9-6ee2-7577-bddd-382bc3853fde</t>
        </is>
      </c>
      <c r="M1012" t="inlineStr">
        <is>
          <t>UNKNOWN</t>
        </is>
      </c>
      <c r="N1012" t="inlineStr">
        <is>
          <t>DEFAULT</t>
        </is>
      </c>
      <c r="Q1012" t="n">
        <v>0</v>
      </c>
      <c r="R1012" t="inlineStr">
        <is>
          <t>AUD</t>
        </is>
      </c>
      <c r="S1012" t="n">
        <v>0</v>
      </c>
      <c r="T1012" t="inlineStr">
        <is>
          <t>AUD</t>
        </is>
      </c>
      <c r="U1012" t="n">
        <v>0</v>
      </c>
    </row>
    <row r="1013">
      <c r="A1013" s="5" t="inlineStr">
        <is>
          <t>01a152b9-7fae-73e7-a0fd-7c2b8336438e</t>
        </is>
      </c>
      <c r="C1013" s="5" t="inlineStr">
        <is>
          <t>01a152b9-6e67-75da-8adb-b03e5d07fd21</t>
        </is>
      </c>
      <c r="D1013" s="4" t="n">
        <v>46314.24596053777</v>
      </c>
      <c r="E1013" s="4" t="n">
        <v>46314.24596053786</v>
      </c>
      <c r="F1013" t="b">
        <v>1</v>
      </c>
      <c r="G1013" t="n">
        <v/>
      </c>
      <c r="H1013" t="inlineStr">
        <is>
          <t>ATG</t>
        </is>
      </c>
      <c r="I1013" t="inlineStr">
        <is>
          <t>Articore Group Ltd</t>
        </is>
      </c>
      <c r="J1013" t="inlineStr">
        <is>
          <t>AUD</t>
        </is>
      </c>
      <c r="K1013" s="5" t="inlineStr">
        <is>
          <t>01a152b9-6ee2-7577-bddd-382bc3853fde</t>
        </is>
      </c>
      <c r="M1013" t="inlineStr">
        <is>
          <t>UNKNOWN</t>
        </is>
      </c>
      <c r="N1013" t="inlineStr">
        <is>
          <t>DEFAULT</t>
        </is>
      </c>
      <c r="Q1013" t="n">
        <v>0</v>
      </c>
      <c r="R1013" t="inlineStr">
        <is>
          <t>AUD</t>
        </is>
      </c>
      <c r="S1013" t="n">
        <v>0</v>
      </c>
      <c r="T1013" t="inlineStr">
        <is>
          <t>AUD</t>
        </is>
      </c>
      <c r="U1013" t="n">
        <v>0</v>
      </c>
    </row>
    <row r="1014">
      <c r="A1014" s="5" t="inlineStr">
        <is>
          <t>01a152b9-7fb1-77b9-8ffe-7ffce8230b36</t>
        </is>
      </c>
      <c r="C1014" s="5" t="inlineStr">
        <is>
          <t>01a152b9-6e67-75da-8adb-b03e5d07fd21</t>
        </is>
      </c>
      <c r="D1014" s="4" t="n">
        <v>46314.24596057725</v>
      </c>
      <c r="E1014" s="4" t="n">
        <v>46314.24596057736</v>
      </c>
      <c r="F1014" t="b">
        <v>1</v>
      </c>
      <c r="G1014" t="n">
        <v/>
      </c>
      <c r="H1014" t="inlineStr">
        <is>
          <t>WLD</t>
        </is>
      </c>
      <c r="I1014" t="inlineStr">
        <is>
          <t>Wellard Ltd</t>
        </is>
      </c>
      <c r="J1014" t="inlineStr">
        <is>
          <t>AUD</t>
        </is>
      </c>
      <c r="K1014" s="5" t="inlineStr">
        <is>
          <t>01a152b9-6ee2-7577-bddd-382bc3853fde</t>
        </is>
      </c>
      <c r="M1014" t="inlineStr">
        <is>
          <t>UNKNOWN</t>
        </is>
      </c>
      <c r="N1014" t="inlineStr">
        <is>
          <t>DEFAULT</t>
        </is>
      </c>
      <c r="Q1014" t="n">
        <v>0</v>
      </c>
      <c r="R1014" t="inlineStr">
        <is>
          <t>AUD</t>
        </is>
      </c>
      <c r="S1014" t="n">
        <v>0</v>
      </c>
      <c r="T1014" t="inlineStr">
        <is>
          <t>AUD</t>
        </is>
      </c>
      <c r="U1014" t="n">
        <v>0</v>
      </c>
    </row>
    <row r="1015">
      <c r="A1015" s="5" t="inlineStr">
        <is>
          <t>01a152b9-7fb5-7273-aac3-a61fbf67fc13</t>
        </is>
      </c>
      <c r="C1015" s="5" t="inlineStr">
        <is>
          <t>01a152b9-6e67-75da-8adb-b03e5d07fd21</t>
        </is>
      </c>
      <c r="D1015" s="4" t="n">
        <v>46314.24596062338</v>
      </c>
      <c r="E1015" s="4" t="n">
        <v>46314.2459606235</v>
      </c>
      <c r="F1015" t="b">
        <v>1</v>
      </c>
      <c r="G1015" t="n">
        <v/>
      </c>
      <c r="H1015" t="inlineStr">
        <is>
          <t>AESG</t>
        </is>
      </c>
      <c r="I1015" t="inlineStr">
        <is>
          <t>Ishares Global Aggregate Bond Esg (Aud Hedged) ETF</t>
        </is>
      </c>
      <c r="J1015" t="inlineStr">
        <is>
          <t>AUD</t>
        </is>
      </c>
      <c r="K1015" s="5" t="inlineStr">
        <is>
          <t>01a152b9-6ee2-7577-bddd-382bc3853fde</t>
        </is>
      </c>
      <c r="M1015" t="inlineStr">
        <is>
          <t>UNKNOWN</t>
        </is>
      </c>
      <c r="N1015" t="inlineStr">
        <is>
          <t>DEFAULT</t>
        </is>
      </c>
      <c r="Q1015" t="n">
        <v>0</v>
      </c>
      <c r="R1015" t="inlineStr">
        <is>
          <t>AUD</t>
        </is>
      </c>
      <c r="S1015" t="n">
        <v>0</v>
      </c>
      <c r="T1015" t="inlineStr">
        <is>
          <t>AUD</t>
        </is>
      </c>
      <c r="U1015" t="n">
        <v>0</v>
      </c>
    </row>
    <row r="1016">
      <c r="A1016" s="5" t="inlineStr">
        <is>
          <t>01a152b9-7fb9-7793-93de-741c89c9bb68</t>
        </is>
      </c>
      <c r="C1016" s="5" t="inlineStr">
        <is>
          <t>01a152b9-6e67-75da-8adb-b03e5d07fd21</t>
        </is>
      </c>
      <c r="D1016" s="4" t="n">
        <v>46314.24596066998</v>
      </c>
      <c r="E1016" s="4" t="n">
        <v>46314.24596067008</v>
      </c>
      <c r="F1016" t="b">
        <v>1</v>
      </c>
      <c r="G1016" t="n">
        <v/>
      </c>
      <c r="H1016" t="inlineStr">
        <is>
          <t>HIT</t>
        </is>
      </c>
      <c r="I1016" t="inlineStr">
        <is>
          <t>Hitech Group Australia Ltd</t>
        </is>
      </c>
      <c r="J1016" t="inlineStr">
        <is>
          <t>AUD</t>
        </is>
      </c>
      <c r="K1016" s="5" t="inlineStr">
        <is>
          <t>01a152b9-6ee2-7577-bddd-382bc3853fde</t>
        </is>
      </c>
      <c r="M1016" t="inlineStr">
        <is>
          <t>UNKNOWN</t>
        </is>
      </c>
      <c r="N1016" t="inlineStr">
        <is>
          <t>DEFAULT</t>
        </is>
      </c>
      <c r="Q1016" t="n">
        <v>0</v>
      </c>
      <c r="R1016" t="inlineStr">
        <is>
          <t>AUD</t>
        </is>
      </c>
      <c r="S1016" t="n">
        <v>0</v>
      </c>
      <c r="T1016" t="inlineStr">
        <is>
          <t>AUD</t>
        </is>
      </c>
      <c r="U1016" t="n">
        <v>0</v>
      </c>
    </row>
    <row r="1017">
      <c r="A1017" s="5" t="inlineStr">
        <is>
          <t>01a152b9-7fbc-72ed-ae52-400d731bcda0</t>
        </is>
      </c>
      <c r="C1017" s="5" t="inlineStr">
        <is>
          <t>01a152b9-6e67-75da-8adb-b03e5d07fd21</t>
        </is>
      </c>
      <c r="D1017" s="4" t="n">
        <v>46314.2459607065</v>
      </c>
      <c r="E1017" s="4" t="n">
        <v>46314.2459607066</v>
      </c>
      <c r="F1017" t="b">
        <v>1</v>
      </c>
      <c r="G1017" t="n">
        <v/>
      </c>
      <c r="H1017" t="inlineStr">
        <is>
          <t>ESPO</t>
        </is>
      </c>
      <c r="I1017" t="inlineStr">
        <is>
          <t>Vaneck Video Gaming and Esports ETF</t>
        </is>
      </c>
      <c r="J1017" t="inlineStr">
        <is>
          <t>AUD</t>
        </is>
      </c>
      <c r="K1017" s="5" t="inlineStr">
        <is>
          <t>01a152b9-6ee2-7577-bddd-382bc3853fde</t>
        </is>
      </c>
      <c r="M1017" t="inlineStr">
        <is>
          <t>UNKNOWN</t>
        </is>
      </c>
      <c r="N1017" t="inlineStr">
        <is>
          <t>DEFAULT</t>
        </is>
      </c>
      <c r="Q1017" t="n">
        <v>0</v>
      </c>
      <c r="R1017" t="inlineStr">
        <is>
          <t>AUD</t>
        </is>
      </c>
      <c r="S1017" t="n">
        <v>0</v>
      </c>
      <c r="T1017" t="inlineStr">
        <is>
          <t>AUD</t>
        </is>
      </c>
      <c r="U1017" t="n">
        <v>0</v>
      </c>
    </row>
    <row r="1018">
      <c r="A1018" s="5" t="inlineStr">
        <is>
          <t>01a152b9-7fc0-7215-9135-ef5a81bfa5a8</t>
        </is>
      </c>
      <c r="C1018" s="5" t="inlineStr">
        <is>
          <t>01a152b9-6e67-75da-8adb-b03e5d07fd21</t>
        </is>
      </c>
      <c r="D1018" s="4" t="n">
        <v>46314.24596074349</v>
      </c>
      <c r="E1018" s="4" t="n">
        <v>46314.24596074359</v>
      </c>
      <c r="F1018" t="b">
        <v>1</v>
      </c>
      <c r="G1018" t="n">
        <v/>
      </c>
      <c r="H1018" t="inlineStr">
        <is>
          <t>SSL</t>
        </is>
      </c>
      <c r="I1018" t="inlineStr">
        <is>
          <t>Sietel Ltd</t>
        </is>
      </c>
      <c r="J1018" t="inlineStr">
        <is>
          <t>AUD</t>
        </is>
      </c>
      <c r="K1018" s="5" t="inlineStr">
        <is>
          <t>01a152b9-6ee2-7577-bddd-382bc3853fde</t>
        </is>
      </c>
      <c r="M1018" t="inlineStr">
        <is>
          <t>UNKNOWN</t>
        </is>
      </c>
      <c r="N1018" t="inlineStr">
        <is>
          <t>DEFAULT</t>
        </is>
      </c>
      <c r="Q1018" t="n">
        <v>0</v>
      </c>
      <c r="R1018" t="inlineStr">
        <is>
          <t>AUD</t>
        </is>
      </c>
      <c r="S1018" t="n">
        <v>0</v>
      </c>
      <c r="T1018" t="inlineStr">
        <is>
          <t>AUD</t>
        </is>
      </c>
      <c r="U1018" t="n">
        <v>0</v>
      </c>
    </row>
    <row r="1019">
      <c r="A1019" s="5" t="inlineStr">
        <is>
          <t>01a152b9-7fc3-759f-ab75-36eb2478675e</t>
        </is>
      </c>
      <c r="C1019" s="5" t="inlineStr">
        <is>
          <t>01a152b9-6e67-75da-8adb-b03e5d07fd21</t>
        </is>
      </c>
      <c r="D1019" s="4" t="n">
        <v>46314.24596078024</v>
      </c>
      <c r="E1019" s="4" t="n">
        <v>46314.24596078035</v>
      </c>
      <c r="F1019" t="b">
        <v>1</v>
      </c>
      <c r="G1019" t="n">
        <v/>
      </c>
      <c r="H1019" t="inlineStr">
        <is>
          <t>SMN</t>
        </is>
      </c>
      <c r="I1019" t="inlineStr">
        <is>
          <t>Structural Monitoring Systems Plc</t>
        </is>
      </c>
      <c r="J1019" t="inlineStr">
        <is>
          <t>AUD</t>
        </is>
      </c>
      <c r="K1019" s="5" t="inlineStr">
        <is>
          <t>01a152b9-6ee2-7577-bddd-382bc3853fde</t>
        </is>
      </c>
      <c r="M1019" t="inlineStr">
        <is>
          <t>UNKNOWN</t>
        </is>
      </c>
      <c r="N1019" t="inlineStr">
        <is>
          <t>DEFAULT</t>
        </is>
      </c>
      <c r="Q1019" t="n">
        <v>0</v>
      </c>
      <c r="R1019" t="inlineStr">
        <is>
          <t>AUD</t>
        </is>
      </c>
      <c r="S1019" t="n">
        <v>0</v>
      </c>
      <c r="T1019" t="inlineStr">
        <is>
          <t>AUD</t>
        </is>
      </c>
      <c r="U1019" t="n">
        <v>0</v>
      </c>
    </row>
    <row r="1020">
      <c r="A1020" s="5" t="inlineStr">
        <is>
          <t>01a152b9-7fc6-72b8-97c7-6c9e36dbff18</t>
        </is>
      </c>
      <c r="C1020" s="5" t="inlineStr">
        <is>
          <t>01a152b9-6e67-75da-8adb-b03e5d07fd21</t>
        </is>
      </c>
      <c r="D1020" s="4" t="n">
        <v>46314.24596081967</v>
      </c>
      <c r="E1020" s="4" t="n">
        <v>46314.24596081977</v>
      </c>
      <c r="F1020" t="b">
        <v>1</v>
      </c>
      <c r="G1020" t="n">
        <v/>
      </c>
      <c r="H1020" t="inlineStr">
        <is>
          <t>BSA</t>
        </is>
      </c>
      <c r="I1020" t="inlineStr">
        <is>
          <t>BSA Ltd</t>
        </is>
      </c>
      <c r="J1020" t="inlineStr">
        <is>
          <t>AUD</t>
        </is>
      </c>
      <c r="K1020" s="5" t="inlineStr">
        <is>
          <t>01a152b9-6ee2-7577-bddd-382bc3853fde</t>
        </is>
      </c>
      <c r="M1020" t="inlineStr">
        <is>
          <t>UNKNOWN</t>
        </is>
      </c>
      <c r="N1020" t="inlineStr">
        <is>
          <t>DEFAULT</t>
        </is>
      </c>
      <c r="Q1020" t="n">
        <v>0</v>
      </c>
      <c r="R1020" t="inlineStr">
        <is>
          <t>AUD</t>
        </is>
      </c>
      <c r="S1020" t="n">
        <v>0</v>
      </c>
      <c r="T1020" t="inlineStr">
        <is>
          <t>AUD</t>
        </is>
      </c>
      <c r="U1020" t="n">
        <v>0</v>
      </c>
    </row>
    <row r="1021">
      <c r="A1021" s="5" t="inlineStr">
        <is>
          <t>01a152b9-7fc9-759a-b48f-fcdc7b551510</t>
        </is>
      </c>
      <c r="C1021" s="5" t="inlineStr">
        <is>
          <t>01a152b9-6e67-75da-8adb-b03e5d07fd21</t>
        </is>
      </c>
      <c r="D1021" s="4" t="n">
        <v>46314.2459608576</v>
      </c>
      <c r="E1021" s="4" t="n">
        <v>46314.24596085768</v>
      </c>
      <c r="F1021" t="b">
        <v>1</v>
      </c>
      <c r="G1021" t="n">
        <v/>
      </c>
      <c r="H1021" t="inlineStr">
        <is>
          <t>LSX</t>
        </is>
      </c>
      <c r="I1021" t="inlineStr">
        <is>
          <t>Lion Selection Group Ltd</t>
        </is>
      </c>
      <c r="J1021" t="inlineStr">
        <is>
          <t>AUD</t>
        </is>
      </c>
      <c r="K1021" s="5" t="inlineStr">
        <is>
          <t>01a152b9-6ee2-7577-bddd-382bc3853fde</t>
        </is>
      </c>
      <c r="M1021" t="inlineStr">
        <is>
          <t>UNKNOWN</t>
        </is>
      </c>
      <c r="N1021" t="inlineStr">
        <is>
          <t>DEFAULT</t>
        </is>
      </c>
      <c r="Q1021" t="n">
        <v>0</v>
      </c>
      <c r="R1021" t="inlineStr">
        <is>
          <t>AUD</t>
        </is>
      </c>
      <c r="S1021" t="n">
        <v>0</v>
      </c>
      <c r="T1021" t="inlineStr">
        <is>
          <t>AUD</t>
        </is>
      </c>
      <c r="U1021" t="n">
        <v>0</v>
      </c>
    </row>
    <row r="1022">
      <c r="A1022" s="5" t="inlineStr">
        <is>
          <t>01a152b9-7fcd-7245-b2f3-945215b45b16</t>
        </is>
      </c>
      <c r="C1022" s="5" t="inlineStr">
        <is>
          <t>01a152b9-6e67-75da-8adb-b03e5d07fd21</t>
        </is>
      </c>
      <c r="D1022" s="4" t="n">
        <v>46314.24596089801</v>
      </c>
      <c r="E1022" s="4" t="n">
        <v>46314.24596089812</v>
      </c>
      <c r="F1022" t="b">
        <v>1</v>
      </c>
      <c r="G1022" t="n">
        <v/>
      </c>
      <c r="H1022" t="inlineStr">
        <is>
          <t>MYG</t>
        </is>
      </c>
      <c r="I1022" t="inlineStr">
        <is>
          <t>Mayfield Group Holdings Ltd</t>
        </is>
      </c>
      <c r="J1022" t="inlineStr">
        <is>
          <t>AUD</t>
        </is>
      </c>
      <c r="K1022" s="5" t="inlineStr">
        <is>
          <t>01a152b9-6ee2-7577-bddd-382bc3853fde</t>
        </is>
      </c>
      <c r="M1022" t="inlineStr">
        <is>
          <t>UNKNOWN</t>
        </is>
      </c>
      <c r="N1022" t="inlineStr">
        <is>
          <t>DEFAULT</t>
        </is>
      </c>
      <c r="Q1022" t="n">
        <v>0</v>
      </c>
      <c r="R1022" t="inlineStr">
        <is>
          <t>AUD</t>
        </is>
      </c>
      <c r="S1022" t="n">
        <v>0</v>
      </c>
      <c r="T1022" t="inlineStr">
        <is>
          <t>AUD</t>
        </is>
      </c>
      <c r="U1022" t="n">
        <v>0</v>
      </c>
    </row>
    <row r="1023">
      <c r="A1023" s="5" t="inlineStr">
        <is>
          <t>01a152b9-7fd0-7743-9f6b-1a099b1c4aaf</t>
        </is>
      </c>
      <c r="C1023" s="5" t="inlineStr">
        <is>
          <t>01a152b9-6e67-75da-8adb-b03e5d07fd21</t>
        </is>
      </c>
      <c r="D1023" s="4" t="n">
        <v>46314.24596093185</v>
      </c>
      <c r="E1023" s="4" t="n">
        <v>46314.24596093193</v>
      </c>
      <c r="F1023" t="b">
        <v>1</v>
      </c>
      <c r="G1023" t="n">
        <v/>
      </c>
      <c r="H1023" t="inlineStr">
        <is>
          <t>EQR</t>
        </is>
      </c>
      <c r="I1023" t="inlineStr">
        <is>
          <t>EQ Resources Ltd</t>
        </is>
      </c>
      <c r="J1023" t="inlineStr">
        <is>
          <t>AUD</t>
        </is>
      </c>
      <c r="K1023" s="5" t="inlineStr">
        <is>
          <t>01a152b9-6ee2-7577-bddd-382bc3853fde</t>
        </is>
      </c>
      <c r="M1023" t="inlineStr">
        <is>
          <t>UNKNOWN</t>
        </is>
      </c>
      <c r="N1023" t="inlineStr">
        <is>
          <t>DEFAULT</t>
        </is>
      </c>
      <c r="Q1023" t="n">
        <v>0</v>
      </c>
      <c r="R1023" t="inlineStr">
        <is>
          <t>AUD</t>
        </is>
      </c>
      <c r="S1023" t="n">
        <v>0</v>
      </c>
      <c r="T1023" t="inlineStr">
        <is>
          <t>AUD</t>
        </is>
      </c>
      <c r="U1023" t="n">
        <v>0</v>
      </c>
    </row>
    <row r="1024">
      <c r="A1024" s="5" t="inlineStr">
        <is>
          <t>01a152b9-7fd3-724a-82f8-42f67a8e2a41</t>
        </is>
      </c>
      <c r="C1024" s="5" t="inlineStr">
        <is>
          <t>01a152b9-6e67-75da-8adb-b03e5d07fd21</t>
        </is>
      </c>
      <c r="D1024" s="4" t="n">
        <v>46314.24596096809</v>
      </c>
      <c r="E1024" s="4" t="n">
        <v>46314.24596096818</v>
      </c>
      <c r="F1024" t="b">
        <v>1</v>
      </c>
      <c r="G1024" t="n">
        <v/>
      </c>
      <c r="H1024" t="inlineStr">
        <is>
          <t>MAM</t>
        </is>
      </c>
      <c r="I1024" t="inlineStr">
        <is>
          <t>Microequities Asset Management Group Ltd</t>
        </is>
      </c>
      <c r="J1024" t="inlineStr">
        <is>
          <t>AUD</t>
        </is>
      </c>
      <c r="K1024" s="5" t="inlineStr">
        <is>
          <t>01a152b9-6ee2-7577-bddd-382bc3853fde</t>
        </is>
      </c>
      <c r="M1024" t="inlineStr">
        <is>
          <t>UNKNOWN</t>
        </is>
      </c>
      <c r="N1024" t="inlineStr">
        <is>
          <t>DEFAULT</t>
        </is>
      </c>
      <c r="Q1024" t="n">
        <v>0</v>
      </c>
      <c r="R1024" t="inlineStr">
        <is>
          <t>AUD</t>
        </is>
      </c>
      <c r="S1024" t="n">
        <v>0</v>
      </c>
      <c r="T1024" t="inlineStr">
        <is>
          <t>AUD</t>
        </is>
      </c>
      <c r="U1024" t="n">
        <v>0</v>
      </c>
    </row>
    <row r="1025">
      <c r="A1025" s="5" t="inlineStr">
        <is>
          <t>01a152b9-7fd7-76c0-aa43-1acef50d19e0</t>
        </is>
      </c>
      <c r="C1025" s="5" t="inlineStr">
        <is>
          <t>01a152b9-6e67-75da-8adb-b03e5d07fd21</t>
        </is>
      </c>
      <c r="D1025" s="4" t="n">
        <v>46314.24596101052</v>
      </c>
      <c r="E1025" s="4" t="n">
        <v>46314.24596101062</v>
      </c>
      <c r="F1025" t="b">
        <v>1</v>
      </c>
      <c r="G1025" t="n">
        <v/>
      </c>
      <c r="H1025" t="inlineStr">
        <is>
          <t>NMG</t>
        </is>
      </c>
      <c r="I1025" t="inlineStr">
        <is>
          <t>New Murchison Gold Ltd</t>
        </is>
      </c>
      <c r="J1025" t="inlineStr">
        <is>
          <t>AUD</t>
        </is>
      </c>
      <c r="K1025" s="5" t="inlineStr">
        <is>
          <t>01a152b9-6ee2-7577-bddd-382bc3853fde</t>
        </is>
      </c>
      <c r="M1025" t="inlineStr">
        <is>
          <t>UNKNOWN</t>
        </is>
      </c>
      <c r="N1025" t="inlineStr">
        <is>
          <t>DEFAULT</t>
        </is>
      </c>
      <c r="Q1025" t="n">
        <v>0</v>
      </c>
      <c r="R1025" t="inlineStr">
        <is>
          <t>AUD</t>
        </is>
      </c>
      <c r="S1025" t="n">
        <v>0</v>
      </c>
      <c r="T1025" t="inlineStr">
        <is>
          <t>AUD</t>
        </is>
      </c>
      <c r="U1025" t="n">
        <v>0</v>
      </c>
    </row>
    <row r="1026">
      <c r="A1026" s="5" t="inlineStr">
        <is>
          <t>01a152b9-7fdb-77bb-b6a4-ccfffa8d5a55</t>
        </is>
      </c>
      <c r="C1026" s="5" t="inlineStr">
        <is>
          <t>01a152b9-6e67-75da-8adb-b03e5d07fd21</t>
        </is>
      </c>
      <c r="D1026" s="4" t="n">
        <v>46314.24596105682</v>
      </c>
      <c r="E1026" s="4" t="n">
        <v>46314.24596105694</v>
      </c>
      <c r="F1026" t="b">
        <v>1</v>
      </c>
      <c r="G1026" t="n">
        <v/>
      </c>
      <c r="H1026" t="inlineStr">
        <is>
          <t>ZYAU</t>
        </is>
      </c>
      <c r="I1026" t="inlineStr">
        <is>
          <t>Global X S&amp;P/ASX 200 High Dividend ETF</t>
        </is>
      </c>
      <c r="J1026" t="inlineStr">
        <is>
          <t>AUD</t>
        </is>
      </c>
      <c r="K1026" s="5" t="inlineStr">
        <is>
          <t>01a152b9-6ee2-7577-bddd-382bc3853fde</t>
        </is>
      </c>
      <c r="M1026" t="inlineStr">
        <is>
          <t>UNKNOWN</t>
        </is>
      </c>
      <c r="N1026" t="inlineStr">
        <is>
          <t>DEFAULT</t>
        </is>
      </c>
      <c r="Q1026" t="n">
        <v>0</v>
      </c>
      <c r="R1026" t="inlineStr">
        <is>
          <t>AUD</t>
        </is>
      </c>
      <c r="S1026" t="n">
        <v>0</v>
      </c>
      <c r="T1026" t="inlineStr">
        <is>
          <t>AUD</t>
        </is>
      </c>
      <c r="U1026" t="n">
        <v>0</v>
      </c>
    </row>
    <row r="1027">
      <c r="A1027" s="5" t="inlineStr">
        <is>
          <t>01a152b9-7fde-7585-a0d5-4338f9c396b3</t>
        </is>
      </c>
      <c r="C1027" s="5" t="inlineStr">
        <is>
          <t>01a152b9-6e67-75da-8adb-b03e5d07fd21</t>
        </is>
      </c>
      <c r="D1027" s="4" t="n">
        <v>46314.24596109526</v>
      </c>
      <c r="E1027" s="4" t="n">
        <v>46314.24596109537</v>
      </c>
      <c r="F1027" t="b">
        <v>1</v>
      </c>
      <c r="G1027" t="n">
        <v/>
      </c>
      <c r="H1027" t="inlineStr">
        <is>
          <t>3DP</t>
        </is>
      </c>
      <c r="I1027" t="inlineStr">
        <is>
          <t>Pointerra Ltd</t>
        </is>
      </c>
      <c r="J1027" t="inlineStr">
        <is>
          <t>AUD</t>
        </is>
      </c>
      <c r="K1027" s="5" t="inlineStr">
        <is>
          <t>01a152b9-6ee2-7577-bddd-382bc3853fde</t>
        </is>
      </c>
      <c r="M1027" t="inlineStr">
        <is>
          <t>UNKNOWN</t>
        </is>
      </c>
      <c r="N1027" t="inlineStr">
        <is>
          <t>DEFAULT</t>
        </is>
      </c>
      <c r="Q1027" t="n">
        <v>0</v>
      </c>
      <c r="R1027" t="inlineStr">
        <is>
          <t>AUD</t>
        </is>
      </c>
      <c r="S1027" t="n">
        <v>0</v>
      </c>
      <c r="T1027" t="inlineStr">
        <is>
          <t>AUD</t>
        </is>
      </c>
      <c r="U1027" t="n">
        <v>0</v>
      </c>
    </row>
    <row r="1028">
      <c r="A1028" s="5" t="inlineStr">
        <is>
          <t>01a152b9-7fe1-7045-8fdf-a56ebc603e16</t>
        </is>
      </c>
      <c r="C1028" s="5" t="inlineStr">
        <is>
          <t>01a152b9-6e67-75da-8adb-b03e5d07fd21</t>
        </is>
      </c>
      <c r="D1028" s="4" t="n">
        <v>46314.24596113106</v>
      </c>
      <c r="E1028" s="4" t="n">
        <v>46314.24596113117</v>
      </c>
      <c r="F1028" t="b">
        <v>1</v>
      </c>
      <c r="G1028" t="n">
        <v/>
      </c>
      <c r="H1028" t="inlineStr">
        <is>
          <t>BCB</t>
        </is>
      </c>
      <c r="I1028" t="inlineStr">
        <is>
          <t>Bowen Coking Coal Ltd</t>
        </is>
      </c>
      <c r="J1028" t="inlineStr">
        <is>
          <t>AUD</t>
        </is>
      </c>
      <c r="K1028" s="5" t="inlineStr">
        <is>
          <t>01a152b9-6ee2-7577-bddd-382bc3853fde</t>
        </is>
      </c>
      <c r="M1028" t="inlineStr">
        <is>
          <t>UNKNOWN</t>
        </is>
      </c>
      <c r="N1028" t="inlineStr">
        <is>
          <t>DEFAULT</t>
        </is>
      </c>
      <c r="Q1028" t="n">
        <v>0</v>
      </c>
      <c r="R1028" t="inlineStr">
        <is>
          <t>AUD</t>
        </is>
      </c>
      <c r="S1028" t="n">
        <v>0</v>
      </c>
      <c r="T1028" t="inlineStr">
        <is>
          <t>AUD</t>
        </is>
      </c>
      <c r="U1028" t="n">
        <v>0</v>
      </c>
    </row>
    <row r="1029">
      <c r="A1029" s="5" t="inlineStr">
        <is>
          <t>01a152b9-7fe5-7544-9af6-83ee000070aa</t>
        </is>
      </c>
      <c r="C1029" s="5" t="inlineStr">
        <is>
          <t>01a152b9-6e67-75da-8adb-b03e5d07fd21</t>
        </is>
      </c>
      <c r="D1029" s="4" t="n">
        <v>46314.24596117104</v>
      </c>
      <c r="E1029" s="4" t="n">
        <v>46314.24596117115</v>
      </c>
      <c r="F1029" t="b">
        <v>1</v>
      </c>
      <c r="G1029" t="n">
        <v/>
      </c>
      <c r="H1029" t="inlineStr">
        <is>
          <t>ZYUS</t>
        </is>
      </c>
      <c r="I1029" t="inlineStr">
        <is>
          <t>Global X S&amp;P 500 High Yield Low Volatility ETF</t>
        </is>
      </c>
      <c r="J1029" t="inlineStr">
        <is>
          <t>AUD</t>
        </is>
      </c>
      <c r="K1029" s="5" t="inlineStr">
        <is>
          <t>01a152b9-6ee2-7577-bddd-382bc3853fde</t>
        </is>
      </c>
      <c r="M1029" t="inlineStr">
        <is>
          <t>UNKNOWN</t>
        </is>
      </c>
      <c r="N1029" t="inlineStr">
        <is>
          <t>DEFAULT</t>
        </is>
      </c>
      <c r="Q1029" t="n">
        <v>0</v>
      </c>
      <c r="R1029" t="inlineStr">
        <is>
          <t>AUD</t>
        </is>
      </c>
      <c r="S1029" t="n">
        <v>0</v>
      </c>
      <c r="T1029" t="inlineStr">
        <is>
          <t>AUD</t>
        </is>
      </c>
      <c r="U1029" t="n">
        <v>0</v>
      </c>
    </row>
    <row r="1030">
      <c r="A1030" s="5" t="inlineStr">
        <is>
          <t>01a152b9-7fe9-7596-a151-cfebc083a241</t>
        </is>
      </c>
      <c r="C1030" s="5" t="inlineStr">
        <is>
          <t>01a152b9-6e67-75da-8adb-b03e5d07fd21</t>
        </is>
      </c>
      <c r="D1030" s="4" t="n">
        <v>46314.2459612173</v>
      </c>
      <c r="E1030" s="4" t="n">
        <v>46314.24596121742</v>
      </c>
      <c r="F1030" t="b">
        <v>1</v>
      </c>
      <c r="G1030" t="n">
        <v/>
      </c>
      <c r="H1030" t="inlineStr">
        <is>
          <t>HRN</t>
        </is>
      </c>
      <c r="I1030" t="inlineStr">
        <is>
          <t>Horizon Gold Ltd</t>
        </is>
      </c>
      <c r="J1030" t="inlineStr">
        <is>
          <t>AUD</t>
        </is>
      </c>
      <c r="K1030" s="5" t="inlineStr">
        <is>
          <t>01a152b9-6ee2-7577-bddd-382bc3853fde</t>
        </is>
      </c>
      <c r="M1030" t="inlineStr">
        <is>
          <t>UNKNOWN</t>
        </is>
      </c>
      <c r="N1030" t="inlineStr">
        <is>
          <t>DEFAULT</t>
        </is>
      </c>
      <c r="Q1030" t="n">
        <v>0</v>
      </c>
      <c r="R1030" t="inlineStr">
        <is>
          <t>AUD</t>
        </is>
      </c>
      <c r="S1030" t="n">
        <v>0</v>
      </c>
      <c r="T1030" t="inlineStr">
        <is>
          <t>AUD</t>
        </is>
      </c>
      <c r="U1030" t="n">
        <v>0</v>
      </c>
    </row>
    <row r="1031">
      <c r="A1031" s="5" t="inlineStr">
        <is>
          <t>01a152b9-7fec-7079-a194-eeec0232d582</t>
        </is>
      </c>
      <c r="C1031" s="5" t="inlineStr">
        <is>
          <t>01a152b9-6e67-75da-8adb-b03e5d07fd21</t>
        </is>
      </c>
      <c r="D1031" s="4" t="n">
        <v>46314.24596126059</v>
      </c>
      <c r="E1031" s="4" t="n">
        <v>46314.24596126072</v>
      </c>
      <c r="F1031" t="b">
        <v>1</v>
      </c>
      <c r="G1031" t="n">
        <v/>
      </c>
      <c r="H1031" t="inlineStr">
        <is>
          <t>SHM</t>
        </is>
      </c>
      <c r="I1031" t="inlineStr">
        <is>
          <t>Shriro Holdings Ltd</t>
        </is>
      </c>
      <c r="J1031" t="inlineStr">
        <is>
          <t>AUD</t>
        </is>
      </c>
      <c r="K1031" s="5" t="inlineStr">
        <is>
          <t>01a152b9-6ee2-7577-bddd-382bc3853fde</t>
        </is>
      </c>
      <c r="M1031" t="inlineStr">
        <is>
          <t>UNKNOWN</t>
        </is>
      </c>
      <c r="N1031" t="inlineStr">
        <is>
          <t>DEFAULT</t>
        </is>
      </c>
      <c r="Q1031" t="n">
        <v>0</v>
      </c>
      <c r="R1031" t="inlineStr">
        <is>
          <t>AUD</t>
        </is>
      </c>
      <c r="S1031" t="n">
        <v>0</v>
      </c>
      <c r="T1031" t="inlineStr">
        <is>
          <t>AUD</t>
        </is>
      </c>
      <c r="U1031" t="n">
        <v>0</v>
      </c>
    </row>
    <row r="1032">
      <c r="A1032" s="5" t="inlineStr">
        <is>
          <t>01a152b9-7ff0-7125-aaa3-6f53513aac2f</t>
        </is>
      </c>
      <c r="C1032" s="5" t="inlineStr">
        <is>
          <t>01a152b9-6e67-75da-8adb-b03e5d07fd21</t>
        </is>
      </c>
      <c r="D1032" s="4" t="n">
        <v>46314.24596130571</v>
      </c>
      <c r="E1032" s="4" t="n">
        <v>46314.24596130586</v>
      </c>
      <c r="F1032" t="b">
        <v>1</v>
      </c>
      <c r="G1032" t="n">
        <v/>
      </c>
      <c r="H1032" t="inlineStr">
        <is>
          <t>AHX</t>
        </is>
      </c>
      <c r="I1032" t="inlineStr">
        <is>
          <t>Apiam Animal Health Ltd</t>
        </is>
      </c>
      <c r="J1032" t="inlineStr">
        <is>
          <t>AUD</t>
        </is>
      </c>
      <c r="K1032" s="5" t="inlineStr">
        <is>
          <t>01a152b9-6ee2-7577-bddd-382bc3853fde</t>
        </is>
      </c>
      <c r="M1032" t="inlineStr">
        <is>
          <t>UNKNOWN</t>
        </is>
      </c>
      <c r="N1032" t="inlineStr">
        <is>
          <t>DEFAULT</t>
        </is>
      </c>
      <c r="Q1032" t="n">
        <v>0</v>
      </c>
      <c r="R1032" t="inlineStr">
        <is>
          <t>AUD</t>
        </is>
      </c>
      <c r="S1032" t="n">
        <v>0</v>
      </c>
      <c r="T1032" t="inlineStr">
        <is>
          <t>AUD</t>
        </is>
      </c>
      <c r="U1032" t="n">
        <v>0</v>
      </c>
    </row>
    <row r="1033">
      <c r="A1033" s="5" t="inlineStr">
        <is>
          <t>01a152b9-7ff4-7109-95af-80371c96769c</t>
        </is>
      </c>
      <c r="C1033" s="5" t="inlineStr">
        <is>
          <t>01a152b9-6e67-75da-8adb-b03e5d07fd21</t>
        </is>
      </c>
      <c r="D1033" s="4" t="n">
        <v>46314.24596135083</v>
      </c>
      <c r="E1033" s="4" t="n">
        <v>46314.24596135097</v>
      </c>
      <c r="F1033" t="b">
        <v>1</v>
      </c>
      <c r="G1033" t="n">
        <v/>
      </c>
      <c r="H1033" t="inlineStr">
        <is>
          <t>VHM</t>
        </is>
      </c>
      <c r="I1033" t="inlineStr">
        <is>
          <t>VHM Ltd</t>
        </is>
      </c>
      <c r="J1033" t="inlineStr">
        <is>
          <t>AUD</t>
        </is>
      </c>
      <c r="K1033" s="5" t="inlineStr">
        <is>
          <t>01a152b9-6ee2-7577-bddd-382bc3853fde</t>
        </is>
      </c>
      <c r="M1033" t="inlineStr">
        <is>
          <t>UNKNOWN</t>
        </is>
      </c>
      <c r="N1033" t="inlineStr">
        <is>
          <t>DEFAULT</t>
        </is>
      </c>
      <c r="Q1033" t="n">
        <v>0</v>
      </c>
      <c r="R1033" t="inlineStr">
        <is>
          <t>AUD</t>
        </is>
      </c>
      <c r="S1033" t="n">
        <v>0</v>
      </c>
      <c r="T1033" t="inlineStr">
        <is>
          <t>AUD</t>
        </is>
      </c>
      <c r="U1033" t="n">
        <v>0</v>
      </c>
    </row>
    <row r="1034">
      <c r="A1034" s="5" t="inlineStr">
        <is>
          <t>01a152b9-7ff8-7741-9d79-f620bf057828</t>
        </is>
      </c>
      <c r="C1034" s="5" t="inlineStr">
        <is>
          <t>01a152b9-6e67-75da-8adb-b03e5d07fd21</t>
        </is>
      </c>
      <c r="D1034" s="4" t="n">
        <v>46314.24596139989</v>
      </c>
      <c r="E1034" s="4" t="n">
        <v>46314.24596140003</v>
      </c>
      <c r="F1034" t="b">
        <v>1</v>
      </c>
      <c r="G1034" t="n">
        <v/>
      </c>
      <c r="H1034" t="inlineStr">
        <is>
          <t>FLC</t>
        </is>
      </c>
      <c r="I1034" t="inlineStr">
        <is>
          <t>Fluence Corporation Ltd</t>
        </is>
      </c>
      <c r="J1034" t="inlineStr">
        <is>
          <t>AUD</t>
        </is>
      </c>
      <c r="K1034" s="5" t="inlineStr">
        <is>
          <t>01a152b9-6ee2-7577-bddd-382bc3853fde</t>
        </is>
      </c>
      <c r="M1034" t="inlineStr">
        <is>
          <t>UNKNOWN</t>
        </is>
      </c>
      <c r="N1034" t="inlineStr">
        <is>
          <t>DEFAULT</t>
        </is>
      </c>
      <c r="Q1034" t="n">
        <v>0</v>
      </c>
      <c r="R1034" t="inlineStr">
        <is>
          <t>AUD</t>
        </is>
      </c>
      <c r="S1034" t="n">
        <v>0</v>
      </c>
      <c r="T1034" t="inlineStr">
        <is>
          <t>AUD</t>
        </is>
      </c>
      <c r="U1034" t="n">
        <v>0</v>
      </c>
    </row>
    <row r="1035">
      <c r="A1035" s="5" t="inlineStr">
        <is>
          <t>01a152b9-7ffc-75ae-b2cc-157cae60c3d9</t>
        </is>
      </c>
      <c r="C1035" s="5" t="inlineStr">
        <is>
          <t>01a152b9-6e67-75da-8adb-b03e5d07fd21</t>
        </is>
      </c>
      <c r="D1035" s="4" t="n">
        <v>46314.2459614478</v>
      </c>
      <c r="E1035" s="4" t="n">
        <v>46314.24596144793</v>
      </c>
      <c r="F1035" t="b">
        <v>1</v>
      </c>
      <c r="G1035" t="n">
        <v/>
      </c>
      <c r="H1035" t="inlineStr">
        <is>
          <t>IRI</t>
        </is>
      </c>
      <c r="I1035" t="inlineStr">
        <is>
          <t>Integrated Research Ltd</t>
        </is>
      </c>
      <c r="J1035" t="inlineStr">
        <is>
          <t>AUD</t>
        </is>
      </c>
      <c r="K1035" s="5" t="inlineStr">
        <is>
          <t>01a152b9-6ee2-7577-bddd-382bc3853fde</t>
        </is>
      </c>
      <c r="M1035" t="inlineStr">
        <is>
          <t>UNKNOWN</t>
        </is>
      </c>
      <c r="N1035" t="inlineStr">
        <is>
          <t>DEFAULT</t>
        </is>
      </c>
      <c r="Q1035" t="n">
        <v>0</v>
      </c>
      <c r="R1035" t="inlineStr">
        <is>
          <t>AUD</t>
        </is>
      </c>
      <c r="S1035" t="n">
        <v>0</v>
      </c>
      <c r="T1035" t="inlineStr">
        <is>
          <t>AUD</t>
        </is>
      </c>
      <c r="U1035" t="n">
        <v>0</v>
      </c>
    </row>
    <row r="1036">
      <c r="A1036" s="5" t="inlineStr">
        <is>
          <t>01a152b9-8000-762d-8f19-ca0abb25c2b8</t>
        </is>
      </c>
      <c r="C1036" s="5" t="inlineStr">
        <is>
          <t>01a152b9-6e67-75da-8adb-b03e5d07fd21</t>
        </is>
      </c>
      <c r="D1036" s="4" t="n">
        <v>46314.24596148729</v>
      </c>
      <c r="E1036" s="4" t="n">
        <v>46314.24596148741</v>
      </c>
      <c r="F1036" t="b">
        <v>1</v>
      </c>
      <c r="G1036" t="n">
        <v/>
      </c>
      <c r="H1036" t="inlineStr">
        <is>
          <t>FLN</t>
        </is>
      </c>
      <c r="I1036" t="inlineStr">
        <is>
          <t>Freelancer Ltd</t>
        </is>
      </c>
      <c r="J1036" t="inlineStr">
        <is>
          <t>AUD</t>
        </is>
      </c>
      <c r="K1036" s="5" t="inlineStr">
        <is>
          <t>01a152b9-6ee2-7577-bddd-382bc3853fde</t>
        </is>
      </c>
      <c r="M1036" t="inlineStr">
        <is>
          <t>UNKNOWN</t>
        </is>
      </c>
      <c r="N1036" t="inlineStr">
        <is>
          <t>DEFAULT</t>
        </is>
      </c>
      <c r="Q1036" t="n">
        <v>0</v>
      </c>
      <c r="R1036" t="inlineStr">
        <is>
          <t>AUD</t>
        </is>
      </c>
      <c r="S1036" t="n">
        <v>0</v>
      </c>
      <c r="T1036" t="inlineStr">
        <is>
          <t>AUD</t>
        </is>
      </c>
      <c r="U1036" t="n">
        <v>0</v>
      </c>
    </row>
    <row r="1037">
      <c r="A1037" s="5" t="inlineStr">
        <is>
          <t>01a152b9-8003-7448-b186-c57f06fbdbb3</t>
        </is>
      </c>
      <c r="C1037" s="5" t="inlineStr">
        <is>
          <t>01a152b9-6e67-75da-8adb-b03e5d07fd21</t>
        </is>
      </c>
      <c r="D1037" s="4" t="n">
        <v>46314.24596152404</v>
      </c>
      <c r="E1037" s="4" t="n">
        <v>46314.24596152417</v>
      </c>
      <c r="F1037" t="b">
        <v>1</v>
      </c>
      <c r="G1037" t="n">
        <v/>
      </c>
      <c r="H1037" t="inlineStr">
        <is>
          <t>CNB</t>
        </is>
      </c>
      <c r="I1037" t="inlineStr">
        <is>
          <t>Carnaby Resources Ltd</t>
        </is>
      </c>
      <c r="J1037" t="inlineStr">
        <is>
          <t>AUD</t>
        </is>
      </c>
      <c r="K1037" s="5" t="inlineStr">
        <is>
          <t>01a152b9-6ee2-7577-bddd-382bc3853fde</t>
        </is>
      </c>
      <c r="M1037" t="inlineStr">
        <is>
          <t>UNKNOWN</t>
        </is>
      </c>
      <c r="N1037" t="inlineStr">
        <is>
          <t>DEFAULT</t>
        </is>
      </c>
      <c r="Q1037" t="n">
        <v>0</v>
      </c>
      <c r="R1037" t="inlineStr">
        <is>
          <t>AUD</t>
        </is>
      </c>
      <c r="S1037" t="n">
        <v>0</v>
      </c>
      <c r="T1037" t="inlineStr">
        <is>
          <t>AUD</t>
        </is>
      </c>
      <c r="U1037" t="n">
        <v>0</v>
      </c>
    </row>
    <row r="1038">
      <c r="A1038" s="5" t="inlineStr">
        <is>
          <t>01a152b9-8007-72e8-8211-180ddae25743</t>
        </is>
      </c>
      <c r="C1038" s="5" t="inlineStr">
        <is>
          <t>01a152b9-6e67-75da-8adb-b03e5d07fd21</t>
        </is>
      </c>
      <c r="D1038" s="4" t="n">
        <v>46314.24596156845</v>
      </c>
      <c r="E1038" s="4" t="n">
        <v>46314.24596156857</v>
      </c>
      <c r="F1038" t="b">
        <v>1</v>
      </c>
      <c r="G1038" t="n">
        <v/>
      </c>
      <c r="H1038" t="inlineStr">
        <is>
          <t>VEFI</t>
        </is>
      </c>
      <c r="I1038" t="inlineStr">
        <is>
          <t>Vanguard Ethically Conscious GLB Agg Bond INDEX (Hedged) ETF</t>
        </is>
      </c>
      <c r="J1038" t="inlineStr">
        <is>
          <t>AUD</t>
        </is>
      </c>
      <c r="K1038" s="5" t="inlineStr">
        <is>
          <t>01a152b9-6ee2-7577-bddd-382bc3853fde</t>
        </is>
      </c>
      <c r="M1038" t="inlineStr">
        <is>
          <t>UNKNOWN</t>
        </is>
      </c>
      <c r="N1038" t="inlineStr">
        <is>
          <t>DEFAULT</t>
        </is>
      </c>
      <c r="Q1038" t="n">
        <v>0</v>
      </c>
      <c r="R1038" t="inlineStr">
        <is>
          <t>AUD</t>
        </is>
      </c>
      <c r="S1038" t="n">
        <v>0</v>
      </c>
      <c r="T1038" t="inlineStr">
        <is>
          <t>AUD</t>
        </is>
      </c>
      <c r="U1038" t="n">
        <v>0</v>
      </c>
    </row>
    <row r="1039">
      <c r="A1039" s="5" t="inlineStr">
        <is>
          <t>01a152b9-800a-7428-a2f6-d6d4b8ce32f3</t>
        </is>
      </c>
      <c r="C1039" s="5" t="inlineStr">
        <is>
          <t>01a152b9-6e67-75da-8adb-b03e5d07fd21</t>
        </is>
      </c>
      <c r="D1039" s="4" t="n">
        <v>46314.24596160904</v>
      </c>
      <c r="E1039" s="4" t="n">
        <v>46314.24596160916</v>
      </c>
      <c r="F1039" t="b">
        <v>1</v>
      </c>
      <c r="G1039" t="n">
        <v/>
      </c>
      <c r="H1039" t="inlineStr">
        <is>
          <t>INIF</t>
        </is>
      </c>
      <c r="I1039" t="inlineStr">
        <is>
          <t>Intelligent Investor Aus EQ Inc Fund - Active ETF</t>
        </is>
      </c>
      <c r="J1039" t="inlineStr">
        <is>
          <t>AUD</t>
        </is>
      </c>
      <c r="K1039" s="5" t="inlineStr">
        <is>
          <t>01a152b9-6ee2-7577-bddd-382bc3853fde</t>
        </is>
      </c>
      <c r="M1039" t="inlineStr">
        <is>
          <t>UNKNOWN</t>
        </is>
      </c>
      <c r="N1039" t="inlineStr">
        <is>
          <t>DEFAULT</t>
        </is>
      </c>
      <c r="Q1039" t="n">
        <v>0</v>
      </c>
      <c r="R1039" t="inlineStr">
        <is>
          <t>AUD</t>
        </is>
      </c>
      <c r="S1039" t="n">
        <v>0</v>
      </c>
      <c r="T1039" t="inlineStr">
        <is>
          <t>AUD</t>
        </is>
      </c>
      <c r="U1039" t="n">
        <v>0</v>
      </c>
    </row>
    <row r="1040">
      <c r="A1040" s="5" t="inlineStr">
        <is>
          <t>01a152b9-800e-7742-aa1f-ee24259256f4</t>
        </is>
      </c>
      <c r="C1040" s="5" t="inlineStr">
        <is>
          <t>01a152b9-6e67-75da-8adb-b03e5d07fd21</t>
        </is>
      </c>
      <c r="D1040" s="4" t="n">
        <v>46314.24596165227</v>
      </c>
      <c r="E1040" s="4" t="n">
        <v>46314.24596165242</v>
      </c>
      <c r="F1040" t="b">
        <v>1</v>
      </c>
      <c r="G1040" t="n">
        <v/>
      </c>
      <c r="H1040" t="inlineStr">
        <is>
          <t>AI1</t>
        </is>
      </c>
      <c r="I1040" t="inlineStr">
        <is>
          <t>Adisyn Ltd</t>
        </is>
      </c>
      <c r="J1040" t="inlineStr">
        <is>
          <t>AUD</t>
        </is>
      </c>
      <c r="K1040" s="5" t="inlineStr">
        <is>
          <t>01a152b9-6ee2-7577-bddd-382bc3853fde</t>
        </is>
      </c>
      <c r="M1040" t="inlineStr">
        <is>
          <t>UNKNOWN</t>
        </is>
      </c>
      <c r="N1040" t="inlineStr">
        <is>
          <t>DEFAULT</t>
        </is>
      </c>
      <c r="Q1040" t="n">
        <v>0</v>
      </c>
      <c r="R1040" t="inlineStr">
        <is>
          <t>AUD</t>
        </is>
      </c>
      <c r="S1040" t="n">
        <v>0</v>
      </c>
      <c r="T1040" t="inlineStr">
        <is>
          <t>AUD</t>
        </is>
      </c>
      <c r="U1040" t="n">
        <v>0</v>
      </c>
    </row>
    <row r="1041">
      <c r="A1041" s="5" t="inlineStr">
        <is>
          <t>01a152b9-8012-74ef-9496-95b69cc0ac34</t>
        </is>
      </c>
      <c r="C1041" s="5" t="inlineStr">
        <is>
          <t>01a152b9-6e67-75da-8adb-b03e5d07fd21</t>
        </is>
      </c>
      <c r="D1041" s="4" t="n">
        <v>46314.24596169502</v>
      </c>
      <c r="E1041" s="4" t="n">
        <v>46314.24596169516</v>
      </c>
      <c r="F1041" t="b">
        <v>1</v>
      </c>
      <c r="G1041" t="n">
        <v/>
      </c>
      <c r="H1041" t="inlineStr">
        <is>
          <t>ACQ</t>
        </is>
      </c>
      <c r="I1041" t="inlineStr">
        <is>
          <t>Acorn Capital Investment Fund Ltd</t>
        </is>
      </c>
      <c r="J1041" t="inlineStr">
        <is>
          <t>AUD</t>
        </is>
      </c>
      <c r="K1041" s="5" t="inlineStr">
        <is>
          <t>01a152b9-6ee2-7577-bddd-382bc3853fde</t>
        </is>
      </c>
      <c r="M1041" t="inlineStr">
        <is>
          <t>UNKNOWN</t>
        </is>
      </c>
      <c r="N1041" t="inlineStr">
        <is>
          <t>DEFAULT</t>
        </is>
      </c>
      <c r="Q1041" t="n">
        <v>0</v>
      </c>
      <c r="R1041" t="inlineStr">
        <is>
          <t>AUD</t>
        </is>
      </c>
      <c r="S1041" t="n">
        <v>0</v>
      </c>
      <c r="T1041" t="inlineStr">
        <is>
          <t>AUD</t>
        </is>
      </c>
      <c r="U1041" t="n">
        <v>0</v>
      </c>
    </row>
    <row r="1042">
      <c r="A1042" s="5" t="inlineStr">
        <is>
          <t>01a152b9-8016-76c7-af3f-5f0813b0c92b</t>
        </is>
      </c>
      <c r="C1042" s="5" t="inlineStr">
        <is>
          <t>01a152b9-6e67-75da-8adb-b03e5d07fd21</t>
        </is>
      </c>
      <c r="D1042" s="4" t="n">
        <v>46314.24596174147</v>
      </c>
      <c r="E1042" s="4" t="n">
        <v>46314.24596174163</v>
      </c>
      <c r="F1042" t="b">
        <v>1</v>
      </c>
      <c r="G1042" t="n">
        <v/>
      </c>
      <c r="H1042" t="inlineStr">
        <is>
          <t>INES</t>
        </is>
      </c>
      <c r="I1042" t="inlineStr">
        <is>
          <t>Intelligent Investor Eth Share Fund - Active ETF</t>
        </is>
      </c>
      <c r="J1042" t="inlineStr">
        <is>
          <t>AUD</t>
        </is>
      </c>
      <c r="K1042" s="5" t="inlineStr">
        <is>
          <t>01a152b9-6ee2-7577-bddd-382bc3853fde</t>
        </is>
      </c>
      <c r="M1042" t="inlineStr">
        <is>
          <t>UNKNOWN</t>
        </is>
      </c>
      <c r="N1042" t="inlineStr">
        <is>
          <t>DEFAULT</t>
        </is>
      </c>
      <c r="Q1042" t="n">
        <v>0</v>
      </c>
      <c r="R1042" t="inlineStr">
        <is>
          <t>AUD</t>
        </is>
      </c>
      <c r="S1042" t="n">
        <v>0</v>
      </c>
      <c r="T1042" t="inlineStr">
        <is>
          <t>AUD</t>
        </is>
      </c>
      <c r="U1042" t="n">
        <v>0</v>
      </c>
    </row>
    <row r="1043">
      <c r="A1043" s="5" t="inlineStr">
        <is>
          <t>01a152b9-801a-7128-96a5-de97181b6c27</t>
        </is>
      </c>
      <c r="C1043" s="5" t="inlineStr">
        <is>
          <t>01a152b9-6e67-75da-8adb-b03e5d07fd21</t>
        </is>
      </c>
      <c r="D1043" s="4" t="n">
        <v>46314.24596178926</v>
      </c>
      <c r="E1043" s="4" t="n">
        <v>46314.24596178938</v>
      </c>
      <c r="F1043" t="b">
        <v>1</v>
      </c>
      <c r="G1043" t="n">
        <v/>
      </c>
      <c r="H1043" t="inlineStr">
        <is>
          <t>PAXX</t>
        </is>
      </c>
      <c r="I1043" t="inlineStr">
        <is>
          <t>Platinum Asia Fund (Quoted Managed Hedge Fund)</t>
        </is>
      </c>
      <c r="J1043" t="inlineStr">
        <is>
          <t>AUD</t>
        </is>
      </c>
      <c r="K1043" s="5" t="inlineStr">
        <is>
          <t>01a152b9-6ee2-7577-bddd-382bc3853fde</t>
        </is>
      </c>
      <c r="M1043" t="inlineStr">
        <is>
          <t>UNKNOWN</t>
        </is>
      </c>
      <c r="N1043" t="inlineStr">
        <is>
          <t>DEFAULT</t>
        </is>
      </c>
      <c r="Q1043" t="n">
        <v>0</v>
      </c>
      <c r="R1043" t="inlineStr">
        <is>
          <t>AUD</t>
        </is>
      </c>
      <c r="S1043" t="n">
        <v>0</v>
      </c>
      <c r="T1043" t="inlineStr">
        <is>
          <t>AUD</t>
        </is>
      </c>
      <c r="U1043" t="n">
        <v>0</v>
      </c>
    </row>
    <row r="1044">
      <c r="A1044" s="5" t="inlineStr">
        <is>
          <t>01a152b9-801e-77ce-ae12-dfd227981ce9</t>
        </is>
      </c>
      <c r="C1044" s="5" t="inlineStr">
        <is>
          <t>01a152b9-6e67-75da-8adb-b03e5d07fd21</t>
        </is>
      </c>
      <c r="D1044" s="4" t="n">
        <v>46314.24596184079</v>
      </c>
      <c r="E1044" s="4" t="n">
        <v>46314.24596184091</v>
      </c>
      <c r="F1044" t="b">
        <v>1</v>
      </c>
      <c r="G1044" t="n">
        <v/>
      </c>
      <c r="H1044" t="inlineStr">
        <is>
          <t>STN</t>
        </is>
      </c>
      <c r="I1044" t="inlineStr">
        <is>
          <t>Saturn Metals Ltd</t>
        </is>
      </c>
      <c r="J1044" t="inlineStr">
        <is>
          <t>AUD</t>
        </is>
      </c>
      <c r="K1044" s="5" t="inlineStr">
        <is>
          <t>01a152b9-6ee2-7577-bddd-382bc3853fde</t>
        </is>
      </c>
      <c r="M1044" t="inlineStr">
        <is>
          <t>UNKNOWN</t>
        </is>
      </c>
      <c r="N1044" t="inlineStr">
        <is>
          <t>DEFAULT</t>
        </is>
      </c>
      <c r="Q1044" t="n">
        <v>0</v>
      </c>
      <c r="R1044" t="inlineStr">
        <is>
          <t>AUD</t>
        </is>
      </c>
      <c r="S1044" t="n">
        <v>0</v>
      </c>
      <c r="T1044" t="inlineStr">
        <is>
          <t>AUD</t>
        </is>
      </c>
      <c r="U1044" t="n">
        <v>0</v>
      </c>
    </row>
    <row r="1045">
      <c r="A1045" s="5" t="inlineStr">
        <is>
          <t>01a152b9-8022-74f5-862f-a28bf29be6cc</t>
        </is>
      </c>
      <c r="C1045" s="5" t="inlineStr">
        <is>
          <t>01a152b9-6e67-75da-8adb-b03e5d07fd21</t>
        </is>
      </c>
      <c r="D1045" s="4" t="n">
        <v>46314.2459618811</v>
      </c>
      <c r="E1045" s="4" t="n">
        <v>46314.24596188121</v>
      </c>
      <c r="F1045" t="b">
        <v>1</v>
      </c>
      <c r="G1045" t="n">
        <v/>
      </c>
      <c r="H1045" t="inlineStr">
        <is>
          <t>CGHE</t>
        </is>
      </c>
      <c r="I1045" t="inlineStr">
        <is>
          <t>Claremont Global Fund (Hedged) (Managed Fund)</t>
        </is>
      </c>
      <c r="J1045" t="inlineStr">
        <is>
          <t>AUD</t>
        </is>
      </c>
      <c r="K1045" s="5" t="inlineStr">
        <is>
          <t>01a152b9-6ee2-7577-bddd-382bc3853fde</t>
        </is>
      </c>
      <c r="M1045" t="inlineStr">
        <is>
          <t>UNKNOWN</t>
        </is>
      </c>
      <c r="N1045" t="inlineStr">
        <is>
          <t>DEFAULT</t>
        </is>
      </c>
      <c r="Q1045" t="n">
        <v>0</v>
      </c>
      <c r="R1045" t="inlineStr">
        <is>
          <t>AUD</t>
        </is>
      </c>
      <c r="S1045" t="n">
        <v>0</v>
      </c>
      <c r="T1045" t="inlineStr">
        <is>
          <t>AUD</t>
        </is>
      </c>
      <c r="U1045" t="n">
        <v>0</v>
      </c>
    </row>
    <row r="1046">
      <c r="A1046" s="5" t="inlineStr">
        <is>
          <t>01a152b9-8026-74f7-88ba-ed6880f685c0</t>
        </is>
      </c>
      <c r="C1046" s="5" t="inlineStr">
        <is>
          <t>01a152b9-6e67-75da-8adb-b03e5d07fd21</t>
        </is>
      </c>
      <c r="D1046" s="4" t="n">
        <v>46314.24596192357</v>
      </c>
      <c r="E1046" s="4" t="n">
        <v>46314.24596192368</v>
      </c>
      <c r="F1046" t="b">
        <v>1</v>
      </c>
      <c r="G1046" t="n">
        <v/>
      </c>
      <c r="H1046" t="inlineStr">
        <is>
          <t>BNKS</t>
        </is>
      </c>
      <c r="I1046" t="inlineStr">
        <is>
          <t>Betashares Global Banks Currency Hedged ETF</t>
        </is>
      </c>
      <c r="J1046" t="inlineStr">
        <is>
          <t>AUD</t>
        </is>
      </c>
      <c r="K1046" s="5" t="inlineStr">
        <is>
          <t>01a152b9-6ee2-7577-bddd-382bc3853fde</t>
        </is>
      </c>
      <c r="M1046" t="inlineStr">
        <is>
          <t>UNKNOWN</t>
        </is>
      </c>
      <c r="N1046" t="inlineStr">
        <is>
          <t>DEFAULT</t>
        </is>
      </c>
      <c r="Q1046" t="n">
        <v>0</v>
      </c>
      <c r="R1046" t="inlineStr">
        <is>
          <t>AUD</t>
        </is>
      </c>
      <c r="S1046" t="n">
        <v>0</v>
      </c>
      <c r="T1046" t="inlineStr">
        <is>
          <t>AUD</t>
        </is>
      </c>
      <c r="U1046" t="n">
        <v>0</v>
      </c>
    </row>
    <row r="1047">
      <c r="A1047" s="5" t="inlineStr">
        <is>
          <t>01a152b9-8029-765b-9973-27273d5013b4</t>
        </is>
      </c>
      <c r="C1047" s="5" t="inlineStr">
        <is>
          <t>01a152b9-6e67-75da-8adb-b03e5d07fd21</t>
        </is>
      </c>
      <c r="D1047" s="4" t="n">
        <v>46314.24596196738</v>
      </c>
      <c r="E1047" s="4" t="n">
        <v>46314.24596196748</v>
      </c>
      <c r="F1047" t="b">
        <v>1</v>
      </c>
      <c r="G1047" t="n">
        <v/>
      </c>
      <c r="H1047" t="inlineStr">
        <is>
          <t>HRZ</t>
        </is>
      </c>
      <c r="I1047" t="inlineStr">
        <is>
          <t>Horizon Minerals Ltd</t>
        </is>
      </c>
      <c r="J1047" t="inlineStr">
        <is>
          <t>AUD</t>
        </is>
      </c>
      <c r="K1047" s="5" t="inlineStr">
        <is>
          <t>01a152b9-6ee2-7577-bddd-382bc3853fde</t>
        </is>
      </c>
      <c r="M1047" t="inlineStr">
        <is>
          <t>UNKNOWN</t>
        </is>
      </c>
      <c r="N1047" t="inlineStr">
        <is>
          <t>DEFAULT</t>
        </is>
      </c>
      <c r="Q1047" t="n">
        <v>0</v>
      </c>
      <c r="R1047" t="inlineStr">
        <is>
          <t>AUD</t>
        </is>
      </c>
      <c r="S1047" t="n">
        <v>0</v>
      </c>
      <c r="T1047" t="inlineStr">
        <is>
          <t>AUD</t>
        </is>
      </c>
      <c r="U1047" t="n">
        <v>0</v>
      </c>
    </row>
    <row r="1048">
      <c r="A1048" s="5" t="inlineStr">
        <is>
          <t>01a152b9-802e-74b0-96f3-074c49ee5220</t>
        </is>
      </c>
      <c r="C1048" s="5" t="inlineStr">
        <is>
          <t>01a152b9-6e67-75da-8adb-b03e5d07fd21</t>
        </is>
      </c>
      <c r="D1048" s="4" t="n">
        <v>46314.24596201605</v>
      </c>
      <c r="E1048" s="4" t="n">
        <v>46314.24596201617</v>
      </c>
      <c r="F1048" t="b">
        <v>1</v>
      </c>
      <c r="G1048" t="n">
        <v/>
      </c>
      <c r="H1048" t="inlineStr">
        <is>
          <t>AV1</t>
        </is>
      </c>
      <c r="I1048" t="inlineStr">
        <is>
          <t>Adveritas Ltd</t>
        </is>
      </c>
      <c r="J1048" t="inlineStr">
        <is>
          <t>AUD</t>
        </is>
      </c>
      <c r="K1048" s="5" t="inlineStr">
        <is>
          <t>01a152b9-6ee2-7577-bddd-382bc3853fde</t>
        </is>
      </c>
      <c r="M1048" t="inlineStr">
        <is>
          <t>UNKNOWN</t>
        </is>
      </c>
      <c r="N1048" t="inlineStr">
        <is>
          <t>DEFAULT</t>
        </is>
      </c>
      <c r="Q1048" t="n">
        <v>0</v>
      </c>
      <c r="R1048" t="inlineStr">
        <is>
          <t>AUD</t>
        </is>
      </c>
      <c r="S1048" t="n">
        <v>0</v>
      </c>
      <c r="T1048" t="inlineStr">
        <is>
          <t>AUD</t>
        </is>
      </c>
      <c r="U1048" t="n">
        <v>0</v>
      </c>
    </row>
    <row r="1049">
      <c r="A1049" s="5" t="inlineStr">
        <is>
          <t>01a152b9-8031-73fe-b226-0a2679167316</t>
        </is>
      </c>
      <c r="C1049" s="5" t="inlineStr">
        <is>
          <t>01a152b9-6e67-75da-8adb-b03e5d07fd21</t>
        </is>
      </c>
      <c r="D1049" s="4" t="n">
        <v>46314.24596206059</v>
      </c>
      <c r="E1049" s="4" t="n">
        <v>46314.2459620607</v>
      </c>
      <c r="F1049" t="b">
        <v>1</v>
      </c>
      <c r="G1049" t="n">
        <v/>
      </c>
      <c r="H1049" t="inlineStr">
        <is>
          <t>SB2</t>
        </is>
      </c>
      <c r="I1049" t="inlineStr">
        <is>
          <t>Salter Brothers Emerging Companies Ltd</t>
        </is>
      </c>
      <c r="J1049" t="inlineStr">
        <is>
          <t>AUD</t>
        </is>
      </c>
      <c r="K1049" s="5" t="inlineStr">
        <is>
          <t>01a152b9-6ee2-7577-bddd-382bc3853fde</t>
        </is>
      </c>
      <c r="M1049" t="inlineStr">
        <is>
          <t>UNKNOWN</t>
        </is>
      </c>
      <c r="N1049" t="inlineStr">
        <is>
          <t>DEFAULT</t>
        </is>
      </c>
      <c r="Q1049" t="n">
        <v>0</v>
      </c>
      <c r="R1049" t="inlineStr">
        <is>
          <t>AUD</t>
        </is>
      </c>
      <c r="S1049" t="n">
        <v>0</v>
      </c>
      <c r="T1049" t="inlineStr">
        <is>
          <t>AUD</t>
        </is>
      </c>
      <c r="U1049" t="n">
        <v>0</v>
      </c>
    </row>
    <row r="1050">
      <c r="A1050" s="5" t="inlineStr">
        <is>
          <t>01a152b9-8035-742d-bc2a-fa7c5e8e501c</t>
        </is>
      </c>
      <c r="C1050" s="5" t="inlineStr">
        <is>
          <t>01a152b9-6e67-75da-8adb-b03e5d07fd21</t>
        </is>
      </c>
      <c r="D1050" s="4" t="n">
        <v>46314.24596210363</v>
      </c>
      <c r="E1050" s="4" t="n">
        <v>46314.24596210374</v>
      </c>
      <c r="F1050" t="b">
        <v>1</v>
      </c>
      <c r="G1050" t="n">
        <v/>
      </c>
      <c r="H1050" t="inlineStr">
        <is>
          <t>MSV</t>
        </is>
      </c>
      <c r="I1050" t="inlineStr">
        <is>
          <t>Mitchell Services Ltd</t>
        </is>
      </c>
      <c r="J1050" t="inlineStr">
        <is>
          <t>AUD</t>
        </is>
      </c>
      <c r="K1050" s="5" t="inlineStr">
        <is>
          <t>01a152b9-6ee2-7577-bddd-382bc3853fde</t>
        </is>
      </c>
      <c r="M1050" t="inlineStr">
        <is>
          <t>UNKNOWN</t>
        </is>
      </c>
      <c r="N1050" t="inlineStr">
        <is>
          <t>DEFAULT</t>
        </is>
      </c>
      <c r="Q1050" t="n">
        <v>0</v>
      </c>
      <c r="R1050" t="inlineStr">
        <is>
          <t>AUD</t>
        </is>
      </c>
      <c r="S1050" t="n">
        <v>0</v>
      </c>
      <c r="T1050" t="inlineStr">
        <is>
          <t>AUD</t>
        </is>
      </c>
      <c r="U1050" t="n">
        <v>0</v>
      </c>
    </row>
    <row r="1051">
      <c r="A1051" s="5" t="inlineStr">
        <is>
          <t>01a152b9-8038-706c-a9b1-181f97f0eabb</t>
        </is>
      </c>
      <c r="C1051" s="5" t="inlineStr">
        <is>
          <t>01a152b9-6e67-75da-8adb-b03e5d07fd21</t>
        </is>
      </c>
      <c r="D1051" s="4" t="n">
        <v>46314.24596213937</v>
      </c>
      <c r="E1051" s="4" t="n">
        <v>46314.24596213948</v>
      </c>
      <c r="F1051" t="b">
        <v>1</v>
      </c>
      <c r="G1051" t="n">
        <v/>
      </c>
      <c r="H1051" t="inlineStr">
        <is>
          <t>KYP</t>
        </is>
      </c>
      <c r="I1051" t="inlineStr">
        <is>
          <t>Kinatico Ltd</t>
        </is>
      </c>
      <c r="J1051" t="inlineStr">
        <is>
          <t>AUD</t>
        </is>
      </c>
      <c r="K1051" s="5" t="inlineStr">
        <is>
          <t>01a152b9-6ee2-7577-bddd-382bc3853fde</t>
        </is>
      </c>
      <c r="M1051" t="inlineStr">
        <is>
          <t>UNKNOWN</t>
        </is>
      </c>
      <c r="N1051" t="inlineStr">
        <is>
          <t>DEFAULT</t>
        </is>
      </c>
      <c r="Q1051" t="n">
        <v>0</v>
      </c>
      <c r="R1051" t="inlineStr">
        <is>
          <t>AUD</t>
        </is>
      </c>
      <c r="S1051" t="n">
        <v>0</v>
      </c>
      <c r="T1051" t="inlineStr">
        <is>
          <t>AUD</t>
        </is>
      </c>
      <c r="U1051" t="n">
        <v>0</v>
      </c>
    </row>
    <row r="1052">
      <c r="A1052" s="5" t="inlineStr">
        <is>
          <t>01a152b9-803c-7770-925f-72bbb174b3ff</t>
        </is>
      </c>
      <c r="C1052" s="5" t="inlineStr">
        <is>
          <t>01a152b9-6e67-75da-8adb-b03e5d07fd21</t>
        </is>
      </c>
      <c r="D1052" s="4" t="n">
        <v>46314.24596217806</v>
      </c>
      <c r="E1052" s="4" t="n">
        <v>46314.24596217816</v>
      </c>
      <c r="F1052" t="b">
        <v>1</v>
      </c>
      <c r="G1052" t="n">
        <v/>
      </c>
      <c r="H1052" t="inlineStr">
        <is>
          <t>HAV</t>
        </is>
      </c>
      <c r="I1052" t="inlineStr">
        <is>
          <t>Havilah Resources Ltd</t>
        </is>
      </c>
      <c r="J1052" t="inlineStr">
        <is>
          <t>AUD</t>
        </is>
      </c>
      <c r="K1052" s="5" t="inlineStr">
        <is>
          <t>01a152b9-6ee2-7577-bddd-382bc3853fde</t>
        </is>
      </c>
      <c r="M1052" t="inlineStr">
        <is>
          <t>UNKNOWN</t>
        </is>
      </c>
      <c r="N1052" t="inlineStr">
        <is>
          <t>DEFAULT</t>
        </is>
      </c>
      <c r="Q1052" t="n">
        <v>0</v>
      </c>
      <c r="R1052" t="inlineStr">
        <is>
          <t>AUD</t>
        </is>
      </c>
      <c r="S1052" t="n">
        <v>0</v>
      </c>
      <c r="T1052" t="inlineStr">
        <is>
          <t>AUD</t>
        </is>
      </c>
      <c r="U1052" t="n">
        <v>0</v>
      </c>
    </row>
    <row r="1053">
      <c r="A1053" s="5" t="inlineStr">
        <is>
          <t>01a152b9-803f-7032-8500-c861c43cd6f8</t>
        </is>
      </c>
      <c r="C1053" s="5" t="inlineStr">
        <is>
          <t>01a152b9-6e67-75da-8adb-b03e5d07fd21</t>
        </is>
      </c>
      <c r="D1053" s="4" t="n">
        <v>46314.24596221948</v>
      </c>
      <c r="E1053" s="4" t="n">
        <v>46314.24596221957</v>
      </c>
      <c r="F1053" t="b">
        <v>1</v>
      </c>
      <c r="G1053" t="n">
        <v/>
      </c>
      <c r="H1053" t="inlineStr">
        <is>
          <t>BWF</t>
        </is>
      </c>
      <c r="I1053" t="inlineStr">
        <is>
          <t>Blackwall Ltd</t>
        </is>
      </c>
      <c r="J1053" t="inlineStr">
        <is>
          <t>AUD</t>
        </is>
      </c>
      <c r="K1053" s="5" t="inlineStr">
        <is>
          <t>01a152b9-6ee2-7577-bddd-382bc3853fde</t>
        </is>
      </c>
      <c r="M1053" t="inlineStr">
        <is>
          <t>UNKNOWN</t>
        </is>
      </c>
      <c r="N1053" t="inlineStr">
        <is>
          <t>DEFAULT</t>
        </is>
      </c>
      <c r="Q1053" t="n">
        <v>0</v>
      </c>
      <c r="R1053" t="inlineStr">
        <is>
          <t>AUD</t>
        </is>
      </c>
      <c r="S1053" t="n">
        <v>0</v>
      </c>
      <c r="T1053" t="inlineStr">
        <is>
          <t>AUD</t>
        </is>
      </c>
      <c r="U1053" t="n">
        <v>0</v>
      </c>
    </row>
    <row r="1054">
      <c r="A1054" s="5" t="inlineStr">
        <is>
          <t>01a152b9-8042-70f5-936c-879b75e92e47</t>
        </is>
      </c>
      <c r="C1054" s="5" t="inlineStr">
        <is>
          <t>01a152b9-6e67-75da-8adb-b03e5d07fd21</t>
        </is>
      </c>
      <c r="D1054" s="4" t="n">
        <v>46314.24596225809</v>
      </c>
      <c r="E1054" s="4" t="n">
        <v>46314.2459622582</v>
      </c>
      <c r="F1054" t="b">
        <v>1</v>
      </c>
      <c r="G1054" t="n">
        <v/>
      </c>
      <c r="H1054" t="inlineStr">
        <is>
          <t>IHEB</t>
        </is>
      </c>
      <c r="I1054" t="inlineStr">
        <is>
          <t>Ishares J.P. Morgan Usd Emerging Markets (Aud Hedged) ETF</t>
        </is>
      </c>
      <c r="J1054" t="inlineStr">
        <is>
          <t>AUD</t>
        </is>
      </c>
      <c r="K1054" s="5" t="inlineStr">
        <is>
          <t>01a152b9-6ee2-7577-bddd-382bc3853fde</t>
        </is>
      </c>
      <c r="M1054" t="inlineStr">
        <is>
          <t>UNKNOWN</t>
        </is>
      </c>
      <c r="N1054" t="inlineStr">
        <is>
          <t>DEFAULT</t>
        </is>
      </c>
      <c r="Q1054" t="n">
        <v>0</v>
      </c>
      <c r="R1054" t="inlineStr">
        <is>
          <t>AUD</t>
        </is>
      </c>
      <c r="S1054" t="n">
        <v>0</v>
      </c>
      <c r="T1054" t="inlineStr">
        <is>
          <t>AUD</t>
        </is>
      </c>
      <c r="U1054" t="n">
        <v>0</v>
      </c>
    </row>
    <row r="1055">
      <c r="A1055" s="5" t="inlineStr">
        <is>
          <t>01a152b9-8046-77a2-8504-1a34b0159f00</t>
        </is>
      </c>
      <c r="C1055" s="5" t="inlineStr">
        <is>
          <t>01a152b9-6e67-75da-8adb-b03e5d07fd21</t>
        </is>
      </c>
      <c r="D1055" s="4" t="n">
        <v>46314.24596229631</v>
      </c>
      <c r="E1055" s="4" t="n">
        <v>46314.24596229641</v>
      </c>
      <c r="F1055" t="b">
        <v>1</v>
      </c>
      <c r="G1055" t="n">
        <v/>
      </c>
      <c r="H1055" t="inlineStr">
        <is>
          <t>CUE</t>
        </is>
      </c>
      <c r="I1055" t="inlineStr">
        <is>
          <t>CUE Energy Resources Ltd</t>
        </is>
      </c>
      <c r="J1055" t="inlineStr">
        <is>
          <t>AUD</t>
        </is>
      </c>
      <c r="K1055" s="5" t="inlineStr">
        <is>
          <t>01a152b9-6ee2-7577-bddd-382bc3853fde</t>
        </is>
      </c>
      <c r="M1055" t="inlineStr">
        <is>
          <t>UNKNOWN</t>
        </is>
      </c>
      <c r="N1055" t="inlineStr">
        <is>
          <t>DEFAULT</t>
        </is>
      </c>
      <c r="Q1055" t="n">
        <v>0</v>
      </c>
      <c r="R1055" t="inlineStr">
        <is>
          <t>AUD</t>
        </is>
      </c>
      <c r="S1055" t="n">
        <v>0</v>
      </c>
      <c r="T1055" t="inlineStr">
        <is>
          <t>AUD</t>
        </is>
      </c>
      <c r="U1055" t="n">
        <v>0</v>
      </c>
    </row>
    <row r="1056">
      <c r="A1056" s="5" t="inlineStr">
        <is>
          <t>01a152b9-8049-75c0-8e36-d55173ee01da</t>
        </is>
      </c>
      <c r="C1056" s="5" t="inlineStr">
        <is>
          <t>01a152b9-6e67-75da-8adb-b03e5d07fd21</t>
        </is>
      </c>
      <c r="D1056" s="4" t="n">
        <v>46314.2459623383</v>
      </c>
      <c r="E1056" s="4" t="n">
        <v>46314.24596233841</v>
      </c>
      <c r="F1056" t="b">
        <v>1</v>
      </c>
      <c r="G1056" t="n">
        <v/>
      </c>
      <c r="H1056" t="inlineStr">
        <is>
          <t>LKE</t>
        </is>
      </c>
      <c r="I1056" t="inlineStr">
        <is>
          <t>Lake Resources N.L.</t>
        </is>
      </c>
      <c r="J1056" t="inlineStr">
        <is>
          <t>AUD</t>
        </is>
      </c>
      <c r="K1056" s="5" t="inlineStr">
        <is>
          <t>01a152b9-6ee2-7577-bddd-382bc3853fde</t>
        </is>
      </c>
      <c r="M1056" t="inlineStr">
        <is>
          <t>UNKNOWN</t>
        </is>
      </c>
      <c r="N1056" t="inlineStr">
        <is>
          <t>DEFAULT</t>
        </is>
      </c>
      <c r="Q1056" t="n">
        <v>0</v>
      </c>
      <c r="R1056" t="inlineStr">
        <is>
          <t>AUD</t>
        </is>
      </c>
      <c r="S1056" t="n">
        <v>0</v>
      </c>
      <c r="T1056" t="inlineStr">
        <is>
          <t>AUD</t>
        </is>
      </c>
      <c r="U1056" t="n">
        <v>0</v>
      </c>
    </row>
    <row r="1057">
      <c r="A1057" s="5" t="inlineStr">
        <is>
          <t>01a152b9-804d-7561-9aec-e11f22ee9e3f</t>
        </is>
      </c>
      <c r="C1057" s="5" t="inlineStr">
        <is>
          <t>01a152b9-6e67-75da-8adb-b03e5d07fd21</t>
        </is>
      </c>
      <c r="D1057" s="4" t="n">
        <v>46314.24596237487</v>
      </c>
      <c r="E1057" s="4" t="n">
        <v>46314.24596237497</v>
      </c>
      <c r="F1057" t="b">
        <v>1</v>
      </c>
      <c r="G1057" t="n">
        <v/>
      </c>
      <c r="H1057" t="inlineStr">
        <is>
          <t>DME</t>
        </is>
      </c>
      <c r="I1057" t="inlineStr">
        <is>
          <t>Dome Gold Mines Ltd</t>
        </is>
      </c>
      <c r="J1057" t="inlineStr">
        <is>
          <t>AUD</t>
        </is>
      </c>
      <c r="K1057" s="5" t="inlineStr">
        <is>
          <t>01a152b9-6ee2-7577-bddd-382bc3853fde</t>
        </is>
      </c>
      <c r="M1057" t="inlineStr">
        <is>
          <t>UNKNOWN</t>
        </is>
      </c>
      <c r="N1057" t="inlineStr">
        <is>
          <t>DEFAULT</t>
        </is>
      </c>
      <c r="Q1057" t="n">
        <v>0</v>
      </c>
      <c r="R1057" t="inlineStr">
        <is>
          <t>AUD</t>
        </is>
      </c>
      <c r="S1057" t="n">
        <v>0</v>
      </c>
      <c r="T1057" t="inlineStr">
        <is>
          <t>AUD</t>
        </is>
      </c>
      <c r="U1057" t="n">
        <v>0</v>
      </c>
    </row>
    <row r="1058">
      <c r="A1058" s="5" t="inlineStr">
        <is>
          <t>01a152b9-8050-7314-a625-4abe45f9ba5e</t>
        </is>
      </c>
      <c r="C1058" s="5" t="inlineStr">
        <is>
          <t>01a152b9-6e67-75da-8adb-b03e5d07fd21</t>
        </is>
      </c>
      <c r="D1058" s="4" t="n">
        <v>46314.24596241711</v>
      </c>
      <c r="E1058" s="4" t="n">
        <v>46314.2459624172</v>
      </c>
      <c r="F1058" t="b">
        <v>1</v>
      </c>
      <c r="G1058" t="n">
        <v/>
      </c>
      <c r="H1058" t="inlineStr">
        <is>
          <t>VFY</t>
        </is>
      </c>
      <c r="I1058" t="inlineStr">
        <is>
          <t>Vitrafy Life Sciences Ltd</t>
        </is>
      </c>
      <c r="J1058" t="inlineStr">
        <is>
          <t>AUD</t>
        </is>
      </c>
      <c r="K1058" s="5" t="inlineStr">
        <is>
          <t>01a152b9-6ee2-7577-bddd-382bc3853fde</t>
        </is>
      </c>
      <c r="M1058" t="inlineStr">
        <is>
          <t>UNKNOWN</t>
        </is>
      </c>
      <c r="N1058" t="inlineStr">
        <is>
          <t>DEFAULT</t>
        </is>
      </c>
      <c r="Q1058" t="n">
        <v>0</v>
      </c>
      <c r="R1058" t="inlineStr">
        <is>
          <t>AUD</t>
        </is>
      </c>
      <c r="S1058" t="n">
        <v>0</v>
      </c>
      <c r="T1058" t="inlineStr">
        <is>
          <t>AUD</t>
        </is>
      </c>
      <c r="U1058" t="n">
        <v>0</v>
      </c>
    </row>
    <row r="1059">
      <c r="A1059" s="5" t="inlineStr">
        <is>
          <t>01a152b9-8053-7326-b135-b2c5e76200fa</t>
        </is>
      </c>
      <c r="C1059" s="5" t="inlineStr">
        <is>
          <t>01a152b9-6e67-75da-8adb-b03e5d07fd21</t>
        </is>
      </c>
      <c r="D1059" s="4" t="n">
        <v>46314.24596245403</v>
      </c>
      <c r="E1059" s="4" t="n">
        <v>46314.24596245412</v>
      </c>
      <c r="F1059" t="b">
        <v>1</v>
      </c>
      <c r="G1059" t="n">
        <v/>
      </c>
      <c r="H1059" t="inlineStr">
        <is>
          <t>DSK</t>
        </is>
      </c>
      <c r="I1059" t="inlineStr">
        <is>
          <t>Dusk Group Ltd</t>
        </is>
      </c>
      <c r="J1059" t="inlineStr">
        <is>
          <t>AUD</t>
        </is>
      </c>
      <c r="K1059" s="5" t="inlineStr">
        <is>
          <t>01a152b9-6ee2-7577-bddd-382bc3853fde</t>
        </is>
      </c>
      <c r="M1059" t="inlineStr">
        <is>
          <t>UNKNOWN</t>
        </is>
      </c>
      <c r="N1059" t="inlineStr">
        <is>
          <t>DEFAULT</t>
        </is>
      </c>
      <c r="Q1059" t="n">
        <v>0</v>
      </c>
      <c r="R1059" t="inlineStr">
        <is>
          <t>AUD</t>
        </is>
      </c>
      <c r="S1059" t="n">
        <v>0</v>
      </c>
      <c r="T1059" t="inlineStr">
        <is>
          <t>AUD</t>
        </is>
      </c>
      <c r="U1059" t="n">
        <v>0</v>
      </c>
    </row>
    <row r="1060">
      <c r="A1060" s="5" t="inlineStr">
        <is>
          <t>01a152b9-8056-7589-958b-03f2db12f8ba</t>
        </is>
      </c>
      <c r="C1060" s="5" t="inlineStr">
        <is>
          <t>01a152b9-6e67-75da-8adb-b03e5d07fd21</t>
        </is>
      </c>
      <c r="D1060" s="4" t="n">
        <v>46314.24596248969</v>
      </c>
      <c r="E1060" s="4" t="n">
        <v>46314.24596248978</v>
      </c>
      <c r="F1060" t="b">
        <v>1</v>
      </c>
      <c r="G1060" t="n">
        <v/>
      </c>
      <c r="H1060" t="inlineStr">
        <is>
          <t>ARL</t>
        </is>
      </c>
      <c r="I1060" t="inlineStr">
        <is>
          <t>Ardea Resources Ltd</t>
        </is>
      </c>
      <c r="J1060" t="inlineStr">
        <is>
          <t>AUD</t>
        </is>
      </c>
      <c r="K1060" s="5" t="inlineStr">
        <is>
          <t>01a152b9-6ee2-7577-bddd-382bc3853fde</t>
        </is>
      </c>
      <c r="M1060" t="inlineStr">
        <is>
          <t>UNKNOWN</t>
        </is>
      </c>
      <c r="N1060" t="inlineStr">
        <is>
          <t>DEFAULT</t>
        </is>
      </c>
      <c r="Q1060" t="n">
        <v>0</v>
      </c>
      <c r="R1060" t="inlineStr">
        <is>
          <t>AUD</t>
        </is>
      </c>
      <c r="S1060" t="n">
        <v>0</v>
      </c>
      <c r="T1060" t="inlineStr">
        <is>
          <t>AUD</t>
        </is>
      </c>
      <c r="U1060" t="n">
        <v>0</v>
      </c>
    </row>
    <row r="1061">
      <c r="A1061" s="5" t="inlineStr">
        <is>
          <t>01a152b9-805a-72ec-ba83-ce0b440ab486</t>
        </is>
      </c>
      <c r="C1061" s="5" t="inlineStr">
        <is>
          <t>01a152b9-6e67-75da-8adb-b03e5d07fd21</t>
        </is>
      </c>
      <c r="D1061" s="4" t="n">
        <v>46314.2459625253</v>
      </c>
      <c r="E1061" s="4" t="n">
        <v>46314.24596252541</v>
      </c>
      <c r="F1061" t="b">
        <v>1</v>
      </c>
      <c r="G1061" t="n">
        <v/>
      </c>
      <c r="H1061" t="inlineStr">
        <is>
          <t>SS1</t>
        </is>
      </c>
      <c r="I1061" t="inlineStr">
        <is>
          <t>Sun Silver Ltd</t>
        </is>
      </c>
      <c r="J1061" t="inlineStr">
        <is>
          <t>AUD</t>
        </is>
      </c>
      <c r="K1061" s="5" t="inlineStr">
        <is>
          <t>01a152b9-6ee2-7577-bddd-382bc3853fde</t>
        </is>
      </c>
      <c r="M1061" t="inlineStr">
        <is>
          <t>UNKNOWN</t>
        </is>
      </c>
      <c r="N1061" t="inlineStr">
        <is>
          <t>DEFAULT</t>
        </is>
      </c>
      <c r="Q1061" t="n">
        <v>0</v>
      </c>
      <c r="R1061" t="inlineStr">
        <is>
          <t>AUD</t>
        </is>
      </c>
      <c r="S1061" t="n">
        <v>0</v>
      </c>
      <c r="T1061" t="inlineStr">
        <is>
          <t>AUD</t>
        </is>
      </c>
      <c r="U1061" t="n">
        <v>0</v>
      </c>
    </row>
    <row r="1062">
      <c r="A1062" s="5" t="inlineStr">
        <is>
          <t>01a152b9-805d-731e-b033-7c42df0700a8</t>
        </is>
      </c>
      <c r="C1062" s="5" t="inlineStr">
        <is>
          <t>01a152b9-6e67-75da-8adb-b03e5d07fd21</t>
        </is>
      </c>
      <c r="D1062" s="4" t="n">
        <v>46314.24596256428</v>
      </c>
      <c r="E1062" s="4" t="n">
        <v>46314.24596256438</v>
      </c>
      <c r="F1062" t="b">
        <v>1</v>
      </c>
      <c r="G1062" t="n">
        <v/>
      </c>
      <c r="H1062" t="inlineStr">
        <is>
          <t>LBL</t>
        </is>
      </c>
      <c r="I1062" t="inlineStr">
        <is>
          <t>Laserbond Ltd</t>
        </is>
      </c>
      <c r="J1062" t="inlineStr">
        <is>
          <t>AUD</t>
        </is>
      </c>
      <c r="K1062" s="5" t="inlineStr">
        <is>
          <t>01a152b9-6ee2-7577-bddd-382bc3853fde</t>
        </is>
      </c>
      <c r="M1062" t="inlineStr">
        <is>
          <t>UNKNOWN</t>
        </is>
      </c>
      <c r="N1062" t="inlineStr">
        <is>
          <t>DEFAULT</t>
        </is>
      </c>
      <c r="Q1062" t="n">
        <v>0</v>
      </c>
      <c r="R1062" t="inlineStr">
        <is>
          <t>AUD</t>
        </is>
      </c>
      <c r="S1062" t="n">
        <v>0</v>
      </c>
      <c r="T1062" t="inlineStr">
        <is>
          <t>AUD</t>
        </is>
      </c>
      <c r="U1062" t="n">
        <v>0</v>
      </c>
    </row>
    <row r="1063">
      <c r="A1063" s="5" t="inlineStr">
        <is>
          <t>01a152b9-8060-71cb-8761-0cf52c80fcad</t>
        </is>
      </c>
      <c r="C1063" s="5" t="inlineStr">
        <is>
          <t>01a152b9-6e67-75da-8adb-b03e5d07fd21</t>
        </is>
      </c>
      <c r="D1063" s="4" t="n">
        <v>46314.24596260127</v>
      </c>
      <c r="E1063" s="4" t="n">
        <v>46314.24596260137</v>
      </c>
      <c r="F1063" t="b">
        <v>1</v>
      </c>
      <c r="G1063" t="n">
        <v/>
      </c>
      <c r="H1063" t="inlineStr">
        <is>
          <t>BAOR</t>
        </is>
      </c>
      <c r="I1063" t="inlineStr">
        <is>
          <t>Aoris Int Fund (Class B) (Unhedged) Active ETF</t>
        </is>
      </c>
      <c r="J1063" t="inlineStr">
        <is>
          <t>AUD</t>
        </is>
      </c>
      <c r="K1063" s="5" t="inlineStr">
        <is>
          <t>01a152b9-6ee2-7577-bddd-382bc3853fde</t>
        </is>
      </c>
      <c r="M1063" t="inlineStr">
        <is>
          <t>UNKNOWN</t>
        </is>
      </c>
      <c r="N1063" t="inlineStr">
        <is>
          <t>DEFAULT</t>
        </is>
      </c>
      <c r="Q1063" t="n">
        <v>0</v>
      </c>
      <c r="R1063" t="inlineStr">
        <is>
          <t>AUD</t>
        </is>
      </c>
      <c r="S1063" t="n">
        <v>0</v>
      </c>
      <c r="T1063" t="inlineStr">
        <is>
          <t>AUD</t>
        </is>
      </c>
      <c r="U1063" t="n">
        <v>0</v>
      </c>
    </row>
    <row r="1064">
      <c r="A1064" s="5" t="inlineStr">
        <is>
          <t>01a152b9-8067-76e9-a937-908a4d264f9d</t>
        </is>
      </c>
      <c r="C1064" s="5" t="inlineStr">
        <is>
          <t>01a152b9-6e67-75da-8adb-b03e5d07fd21</t>
        </is>
      </c>
      <c r="D1064" s="4" t="n">
        <v>46314.24596268103</v>
      </c>
      <c r="E1064" s="4" t="n">
        <v>46314.24596268123</v>
      </c>
      <c r="F1064" t="b">
        <v>1</v>
      </c>
      <c r="G1064" t="n">
        <v/>
      </c>
      <c r="H1064" t="inlineStr">
        <is>
          <t>EVS</t>
        </is>
      </c>
      <c r="I1064" t="inlineStr">
        <is>
          <t>Envirosuite Ltd</t>
        </is>
      </c>
      <c r="J1064" t="inlineStr">
        <is>
          <t>AUD</t>
        </is>
      </c>
      <c r="K1064" s="5" t="inlineStr">
        <is>
          <t>01a152b9-6ee2-7577-bddd-382bc3853fde</t>
        </is>
      </c>
      <c r="M1064" t="inlineStr">
        <is>
          <t>UNKNOWN</t>
        </is>
      </c>
      <c r="N1064" t="inlineStr">
        <is>
          <t>DEFAULT</t>
        </is>
      </c>
      <c r="Q1064" t="n">
        <v>0</v>
      </c>
      <c r="R1064" t="inlineStr">
        <is>
          <t>AUD</t>
        </is>
      </c>
      <c r="S1064" t="n">
        <v>0</v>
      </c>
      <c r="T1064" t="inlineStr">
        <is>
          <t>AUD</t>
        </is>
      </c>
      <c r="U1064" t="n">
        <v>0</v>
      </c>
    </row>
    <row r="1065">
      <c r="A1065" s="5" t="inlineStr">
        <is>
          <t>01a152b9-806c-70cd-8677-06a9d6bd0d7a</t>
        </is>
      </c>
      <c r="C1065" s="5" t="inlineStr">
        <is>
          <t>01a152b9-6e67-75da-8adb-b03e5d07fd21</t>
        </is>
      </c>
      <c r="D1065" s="4" t="n">
        <v>46314.2459627449</v>
      </c>
      <c r="E1065" s="4" t="n">
        <v>46314.2459627451</v>
      </c>
      <c r="F1065" t="b">
        <v>1</v>
      </c>
      <c r="G1065" t="n">
        <v/>
      </c>
      <c r="H1065" t="inlineStr">
        <is>
          <t>4DS</t>
        </is>
      </c>
      <c r="I1065" t="inlineStr">
        <is>
          <t>4DS Memory Ltd</t>
        </is>
      </c>
      <c r="J1065" t="inlineStr">
        <is>
          <t>AUD</t>
        </is>
      </c>
      <c r="K1065" s="5" t="inlineStr">
        <is>
          <t>01a152b9-6ee2-7577-bddd-382bc3853fde</t>
        </is>
      </c>
      <c r="M1065" t="inlineStr">
        <is>
          <t>UNKNOWN</t>
        </is>
      </c>
      <c r="N1065" t="inlineStr">
        <is>
          <t>DEFAULT</t>
        </is>
      </c>
      <c r="Q1065" t="n">
        <v>0</v>
      </c>
      <c r="R1065" t="inlineStr">
        <is>
          <t>AUD</t>
        </is>
      </c>
      <c r="S1065" t="n">
        <v>0</v>
      </c>
      <c r="T1065" t="inlineStr">
        <is>
          <t>AUD</t>
        </is>
      </c>
      <c r="U1065" t="n">
        <v>0</v>
      </c>
    </row>
    <row r="1066">
      <c r="A1066" s="5" t="inlineStr">
        <is>
          <t>01a152b9-8073-7412-bed1-9e930ad9bfb1</t>
        </is>
      </c>
      <c r="C1066" s="5" t="inlineStr">
        <is>
          <t>01a152b9-6e67-75da-8adb-b03e5d07fd21</t>
        </is>
      </c>
      <c r="D1066" s="4" t="n">
        <v>46314.2459628195</v>
      </c>
      <c r="E1066" s="4" t="n">
        <v>46314.24596281967</v>
      </c>
      <c r="F1066" t="b">
        <v>1</v>
      </c>
      <c r="G1066" t="n">
        <v/>
      </c>
      <c r="H1066" t="inlineStr">
        <is>
          <t>FHE</t>
        </is>
      </c>
      <c r="I1066" t="inlineStr">
        <is>
          <t>Frontier Energy Ltd</t>
        </is>
      </c>
      <c r="J1066" t="inlineStr">
        <is>
          <t>AUD</t>
        </is>
      </c>
      <c r="K1066" s="5" t="inlineStr">
        <is>
          <t>01a152b9-6ee2-7577-bddd-382bc3853fde</t>
        </is>
      </c>
      <c r="M1066" t="inlineStr">
        <is>
          <t>UNKNOWN</t>
        </is>
      </c>
      <c r="N1066" t="inlineStr">
        <is>
          <t>DEFAULT</t>
        </is>
      </c>
      <c r="Q1066" t="n">
        <v>0</v>
      </c>
      <c r="R1066" t="inlineStr">
        <is>
          <t>AUD</t>
        </is>
      </c>
      <c r="S1066" t="n">
        <v>0</v>
      </c>
      <c r="T1066" t="inlineStr">
        <is>
          <t>AUD</t>
        </is>
      </c>
      <c r="U1066" t="n">
        <v>0</v>
      </c>
    </row>
    <row r="1067">
      <c r="A1067" s="5" t="inlineStr">
        <is>
          <t>01a152b9-8079-713b-9166-05208b319c54</t>
        </is>
      </c>
      <c r="C1067" s="5" t="inlineStr">
        <is>
          <t>01a152b9-6e67-75da-8adb-b03e5d07fd21</t>
        </is>
      </c>
      <c r="D1067" s="4" t="n">
        <v>46314.24596289555</v>
      </c>
      <c r="E1067" s="4" t="n">
        <v>46314.24596289577</v>
      </c>
      <c r="F1067" t="b">
        <v>1</v>
      </c>
      <c r="G1067" t="n">
        <v/>
      </c>
      <c r="H1067" t="inlineStr">
        <is>
          <t>DCC</t>
        </is>
      </c>
      <c r="I1067" t="inlineStr">
        <is>
          <t>Digitalx Ltd</t>
        </is>
      </c>
      <c r="J1067" t="inlineStr">
        <is>
          <t>AUD</t>
        </is>
      </c>
      <c r="K1067" s="5" t="inlineStr">
        <is>
          <t>01a152b9-6ee2-7577-bddd-382bc3853fde</t>
        </is>
      </c>
      <c r="M1067" t="inlineStr">
        <is>
          <t>UNKNOWN</t>
        </is>
      </c>
      <c r="N1067" t="inlineStr">
        <is>
          <t>DEFAULT</t>
        </is>
      </c>
      <c r="Q1067" t="n">
        <v>0</v>
      </c>
      <c r="R1067" t="inlineStr">
        <is>
          <t>AUD</t>
        </is>
      </c>
      <c r="S1067" t="n">
        <v>0</v>
      </c>
      <c r="T1067" t="inlineStr">
        <is>
          <t>AUD</t>
        </is>
      </c>
      <c r="U1067" t="n">
        <v>0</v>
      </c>
    </row>
    <row r="1068">
      <c r="A1068" s="5" t="inlineStr">
        <is>
          <t>01a152b9-807e-72d2-9ea4-1cbdd7e204bd</t>
        </is>
      </c>
      <c r="C1068" s="5" t="inlineStr">
        <is>
          <t>01a152b9-6e67-75da-8adb-b03e5d07fd21</t>
        </is>
      </c>
      <c r="D1068" s="4" t="n">
        <v>46314.24596294781</v>
      </c>
      <c r="E1068" s="4" t="n">
        <v>46314.24596294796</v>
      </c>
      <c r="F1068" t="b">
        <v>1</v>
      </c>
      <c r="G1068" t="n">
        <v/>
      </c>
      <c r="H1068" t="inlineStr">
        <is>
          <t>DVDY</t>
        </is>
      </c>
      <c r="I1068" t="inlineStr">
        <is>
          <t>Vaneck Morningstar Australian Moat Income ETF</t>
        </is>
      </c>
      <c r="J1068" t="inlineStr">
        <is>
          <t>AUD</t>
        </is>
      </c>
      <c r="K1068" s="5" t="inlineStr">
        <is>
          <t>01a152b9-6ee2-7577-bddd-382bc3853fde</t>
        </is>
      </c>
      <c r="M1068" t="inlineStr">
        <is>
          <t>UNKNOWN</t>
        </is>
      </c>
      <c r="N1068" t="inlineStr">
        <is>
          <t>DEFAULT</t>
        </is>
      </c>
      <c r="Q1068" t="n">
        <v>0</v>
      </c>
      <c r="R1068" t="inlineStr">
        <is>
          <t>AUD</t>
        </is>
      </c>
      <c r="S1068" t="n">
        <v>0</v>
      </c>
      <c r="T1068" t="inlineStr">
        <is>
          <t>AUD</t>
        </is>
      </c>
      <c r="U1068" t="n">
        <v>0</v>
      </c>
    </row>
    <row r="1069">
      <c r="A1069" s="5" t="inlineStr">
        <is>
          <t>01a152b9-8082-750a-9eab-f8956a90ad34</t>
        </is>
      </c>
      <c r="C1069" s="5" t="inlineStr">
        <is>
          <t>01a152b9-6e67-75da-8adb-b03e5d07fd21</t>
        </is>
      </c>
      <c r="D1069" s="4" t="n">
        <v>46314.24596299764</v>
      </c>
      <c r="E1069" s="4" t="n">
        <v>46314.24596299783</v>
      </c>
      <c r="F1069" t="b">
        <v>1</v>
      </c>
      <c r="G1069" t="n">
        <v/>
      </c>
      <c r="H1069" t="inlineStr">
        <is>
          <t>B4P</t>
        </is>
      </c>
      <c r="I1069" t="inlineStr">
        <is>
          <t>Beforepay Group Ltd</t>
        </is>
      </c>
      <c r="J1069" t="inlineStr">
        <is>
          <t>AUD</t>
        </is>
      </c>
      <c r="K1069" s="5" t="inlineStr">
        <is>
          <t>01a152b9-6ee2-7577-bddd-382bc3853fde</t>
        </is>
      </c>
      <c r="M1069" t="inlineStr">
        <is>
          <t>UNKNOWN</t>
        </is>
      </c>
      <c r="N1069" t="inlineStr">
        <is>
          <t>DEFAULT</t>
        </is>
      </c>
      <c r="Q1069" t="n">
        <v>0</v>
      </c>
      <c r="R1069" t="inlineStr">
        <is>
          <t>AUD</t>
        </is>
      </c>
      <c r="S1069" t="n">
        <v>0</v>
      </c>
      <c r="T1069" t="inlineStr">
        <is>
          <t>AUD</t>
        </is>
      </c>
      <c r="U1069" t="n">
        <v>0</v>
      </c>
    </row>
    <row r="1070">
      <c r="A1070" s="5" t="inlineStr">
        <is>
          <t>01a152b9-8088-7100-a689-00a45e45dea8</t>
        </is>
      </c>
      <c r="C1070" s="5" t="inlineStr">
        <is>
          <t>01a152b9-6e67-75da-8adb-b03e5d07fd21</t>
        </is>
      </c>
      <c r="D1070" s="4" t="n">
        <v>46314.24596305852</v>
      </c>
      <c r="E1070" s="4" t="n">
        <v>46314.24596305867</v>
      </c>
      <c r="F1070" t="b">
        <v>1</v>
      </c>
      <c r="G1070" t="n">
        <v/>
      </c>
      <c r="H1070" t="inlineStr">
        <is>
          <t>NUZ</t>
        </is>
      </c>
      <c r="I1070" t="inlineStr">
        <is>
          <t>Neurizon Therapeutics Ltd</t>
        </is>
      </c>
      <c r="J1070" t="inlineStr">
        <is>
          <t>AUD</t>
        </is>
      </c>
      <c r="K1070" s="5" t="inlineStr">
        <is>
          <t>01a152b9-6ee2-7577-bddd-382bc3853fde</t>
        </is>
      </c>
      <c r="M1070" t="inlineStr">
        <is>
          <t>UNKNOWN</t>
        </is>
      </c>
      <c r="N1070" t="inlineStr">
        <is>
          <t>DEFAULT</t>
        </is>
      </c>
      <c r="Q1070" t="n">
        <v>0</v>
      </c>
      <c r="R1070" t="inlineStr">
        <is>
          <t>AUD</t>
        </is>
      </c>
      <c r="S1070" t="n">
        <v>0</v>
      </c>
      <c r="T1070" t="inlineStr">
        <is>
          <t>AUD</t>
        </is>
      </c>
      <c r="U1070" t="n">
        <v>0</v>
      </c>
    </row>
    <row r="1071">
      <c r="A1071" s="5" t="inlineStr">
        <is>
          <t>01a152b9-808c-71aa-8447-e914444c7e67</t>
        </is>
      </c>
      <c r="C1071" s="5" t="inlineStr">
        <is>
          <t>01a152b9-6e67-75da-8adb-b03e5d07fd21</t>
        </is>
      </c>
      <c r="D1071" s="4" t="n">
        <v>46314.24596310608</v>
      </c>
      <c r="E1071" s="4" t="n">
        <v>46314.24596310618</v>
      </c>
      <c r="F1071" t="b">
        <v>1</v>
      </c>
      <c r="G1071" t="n">
        <v/>
      </c>
      <c r="H1071" t="inlineStr">
        <is>
          <t>RZI</t>
        </is>
      </c>
      <c r="I1071" t="inlineStr">
        <is>
          <t>RAIZ Invest Ltd</t>
        </is>
      </c>
      <c r="J1071" t="inlineStr">
        <is>
          <t>AUD</t>
        </is>
      </c>
      <c r="K1071" s="5" t="inlineStr">
        <is>
          <t>01a152b9-6ee2-7577-bddd-382bc3853fde</t>
        </is>
      </c>
      <c r="M1071" t="inlineStr">
        <is>
          <t>UNKNOWN</t>
        </is>
      </c>
      <c r="N1071" t="inlineStr">
        <is>
          <t>DEFAULT</t>
        </is>
      </c>
      <c r="Q1071" t="n">
        <v>0</v>
      </c>
      <c r="R1071" t="inlineStr">
        <is>
          <t>AUD</t>
        </is>
      </c>
      <c r="S1071" t="n">
        <v>0</v>
      </c>
      <c r="T1071" t="inlineStr">
        <is>
          <t>AUD</t>
        </is>
      </c>
      <c r="U1071" t="n">
        <v>0</v>
      </c>
    </row>
    <row r="1072">
      <c r="A1072" s="5" t="inlineStr">
        <is>
          <t>01a152b9-808f-70f1-a918-825938b50860</t>
        </is>
      </c>
      <c r="C1072" s="5" t="inlineStr">
        <is>
          <t>01a152b9-6e67-75da-8adb-b03e5d07fd21</t>
        </is>
      </c>
      <c r="D1072" s="4" t="n">
        <v>46314.24596315023</v>
      </c>
      <c r="E1072" s="4" t="n">
        <v>46314.24596315037</v>
      </c>
      <c r="F1072" t="b">
        <v>1</v>
      </c>
      <c r="G1072" t="n">
        <v/>
      </c>
      <c r="H1072" t="inlineStr">
        <is>
          <t>MEU</t>
        </is>
      </c>
      <c r="I1072" t="inlineStr">
        <is>
          <t>Marmota Ltd</t>
        </is>
      </c>
      <c r="J1072" t="inlineStr">
        <is>
          <t>AUD</t>
        </is>
      </c>
      <c r="K1072" s="5" t="inlineStr">
        <is>
          <t>01a152b9-6ee2-7577-bddd-382bc3853fde</t>
        </is>
      </c>
      <c r="M1072" t="inlineStr">
        <is>
          <t>UNKNOWN</t>
        </is>
      </c>
      <c r="N1072" t="inlineStr">
        <is>
          <t>DEFAULT</t>
        </is>
      </c>
      <c r="Q1072" t="n">
        <v>0</v>
      </c>
      <c r="R1072" t="inlineStr">
        <is>
          <t>AUD</t>
        </is>
      </c>
      <c r="S1072" t="n">
        <v>0</v>
      </c>
      <c r="T1072" t="inlineStr">
        <is>
          <t>AUD</t>
        </is>
      </c>
      <c r="U1072" t="n">
        <v>0</v>
      </c>
    </row>
    <row r="1073">
      <c r="A1073" s="5" t="inlineStr">
        <is>
          <t>01a152b9-8094-731a-b9ab-577b9638a41d</t>
        </is>
      </c>
      <c r="C1073" s="5" t="inlineStr">
        <is>
          <t>01a152b9-6e67-75da-8adb-b03e5d07fd21</t>
        </is>
      </c>
      <c r="D1073" s="4" t="n">
        <v>46314.24596319829</v>
      </c>
      <c r="E1073" s="4" t="n">
        <v>46314.24596319842</v>
      </c>
      <c r="F1073" t="b">
        <v>1</v>
      </c>
      <c r="G1073" t="n">
        <v/>
      </c>
      <c r="H1073" t="inlineStr">
        <is>
          <t>RKN</t>
        </is>
      </c>
      <c r="I1073" t="inlineStr">
        <is>
          <t>Reckon Ltd</t>
        </is>
      </c>
      <c r="J1073" t="inlineStr">
        <is>
          <t>AUD</t>
        </is>
      </c>
      <c r="K1073" s="5" t="inlineStr">
        <is>
          <t>01a152b9-6ee2-7577-bddd-382bc3853fde</t>
        </is>
      </c>
      <c r="M1073" t="inlineStr">
        <is>
          <t>UNKNOWN</t>
        </is>
      </c>
      <c r="N1073" t="inlineStr">
        <is>
          <t>DEFAULT</t>
        </is>
      </c>
      <c r="Q1073" t="n">
        <v>0</v>
      </c>
      <c r="R1073" t="inlineStr">
        <is>
          <t>AUD</t>
        </is>
      </c>
      <c r="S1073" t="n">
        <v>0</v>
      </c>
      <c r="T1073" t="inlineStr">
        <is>
          <t>AUD</t>
        </is>
      </c>
      <c r="U1073" t="n">
        <v>0</v>
      </c>
    </row>
    <row r="1074">
      <c r="A1074" s="5" t="inlineStr">
        <is>
          <t>01a152b9-8098-764c-909c-58a7e16f9aaf</t>
        </is>
      </c>
      <c r="C1074" s="5" t="inlineStr">
        <is>
          <t>01a152b9-6e67-75da-8adb-b03e5d07fd21</t>
        </is>
      </c>
      <c r="D1074" s="4" t="n">
        <v>46314.24596324783</v>
      </c>
      <c r="E1074" s="4" t="n">
        <v>46314.24596324807</v>
      </c>
      <c r="F1074" t="b">
        <v>1</v>
      </c>
      <c r="G1074" t="n">
        <v/>
      </c>
      <c r="H1074" t="inlineStr">
        <is>
          <t>WAA</t>
        </is>
      </c>
      <c r="I1074" t="inlineStr">
        <is>
          <t>Wam Active Ltd</t>
        </is>
      </c>
      <c r="J1074" t="inlineStr">
        <is>
          <t>AUD</t>
        </is>
      </c>
      <c r="K1074" s="5" t="inlineStr">
        <is>
          <t>01a152b9-6ee2-7577-bddd-382bc3853fde</t>
        </is>
      </c>
      <c r="M1074" t="inlineStr">
        <is>
          <t>COMPANY</t>
        </is>
      </c>
      <c r="N1074" t="inlineStr">
        <is>
          <t>SUGGESTED</t>
        </is>
      </c>
      <c r="Q1074" t="n">
        <v>0</v>
      </c>
      <c r="R1074" t="inlineStr">
        <is>
          <t>AUD</t>
        </is>
      </c>
      <c r="S1074" t="n">
        <v>0</v>
      </c>
      <c r="T1074" t="inlineStr">
        <is>
          <t>AUD</t>
        </is>
      </c>
      <c r="U1074" t="n">
        <v>0</v>
      </c>
    </row>
    <row r="1075">
      <c r="A1075" s="5" t="inlineStr">
        <is>
          <t>01a152b9-809d-7436-8b62-5ae94871f002</t>
        </is>
      </c>
      <c r="C1075" s="5" t="inlineStr">
        <is>
          <t>01a152b9-6e67-75da-8adb-b03e5d07fd21</t>
        </is>
      </c>
      <c r="D1075" s="4" t="n">
        <v>46314.24596330309</v>
      </c>
      <c r="E1075" s="4" t="n">
        <v>46314.24596330324</v>
      </c>
      <c r="F1075" t="b">
        <v>1</v>
      </c>
      <c r="G1075" t="n">
        <v/>
      </c>
      <c r="H1075" t="inlineStr">
        <is>
          <t>CAF</t>
        </is>
      </c>
      <c r="I1075" t="inlineStr">
        <is>
          <t>Centrepoint Alliance Ltd</t>
        </is>
      </c>
      <c r="J1075" t="inlineStr">
        <is>
          <t>AUD</t>
        </is>
      </c>
      <c r="K1075" s="5" t="inlineStr">
        <is>
          <t>01a152b9-6ee2-7577-bddd-382bc3853fde</t>
        </is>
      </c>
      <c r="M1075" t="inlineStr">
        <is>
          <t>UNKNOWN</t>
        </is>
      </c>
      <c r="N1075" t="inlineStr">
        <is>
          <t>DEFAULT</t>
        </is>
      </c>
      <c r="Q1075" t="n">
        <v>0</v>
      </c>
      <c r="R1075" t="inlineStr">
        <is>
          <t>AUD</t>
        </is>
      </c>
      <c r="S1075" t="n">
        <v>0</v>
      </c>
      <c r="T1075" t="inlineStr">
        <is>
          <t>AUD</t>
        </is>
      </c>
      <c r="U1075" t="n">
        <v>0</v>
      </c>
    </row>
    <row r="1076">
      <c r="A1076" s="5" t="inlineStr">
        <is>
          <t>01a152b9-80a0-74dc-af0a-ebed93c1726f</t>
        </is>
      </c>
      <c r="C1076" s="5" t="inlineStr">
        <is>
          <t>01a152b9-6e67-75da-8adb-b03e5d07fd21</t>
        </is>
      </c>
      <c r="D1076" s="4" t="n">
        <v>46314.24596334488</v>
      </c>
      <c r="E1076" s="4" t="n">
        <v>46314.24596334499</v>
      </c>
      <c r="F1076" t="b">
        <v>1</v>
      </c>
      <c r="G1076" t="n">
        <v/>
      </c>
      <c r="H1076" t="inlineStr">
        <is>
          <t>FOOD</t>
        </is>
      </c>
      <c r="I1076" t="inlineStr">
        <is>
          <t>Betashares GLB Agriculture Comp Currency HDGD ETF</t>
        </is>
      </c>
      <c r="J1076" t="inlineStr">
        <is>
          <t>AUD</t>
        </is>
      </c>
      <c r="K1076" s="5" t="inlineStr">
        <is>
          <t>01a152b9-6ee2-7577-bddd-382bc3853fde</t>
        </is>
      </c>
      <c r="M1076" t="inlineStr">
        <is>
          <t>UNKNOWN</t>
        </is>
      </c>
      <c r="N1076" t="inlineStr">
        <is>
          <t>DEFAULT</t>
        </is>
      </c>
      <c r="Q1076" t="n">
        <v>0</v>
      </c>
      <c r="R1076" t="inlineStr">
        <is>
          <t>AUD</t>
        </is>
      </c>
      <c r="S1076" t="n">
        <v>0</v>
      </c>
      <c r="T1076" t="inlineStr">
        <is>
          <t>AUD</t>
        </is>
      </c>
      <c r="U1076" t="n">
        <v>0</v>
      </c>
    </row>
    <row r="1077">
      <c r="A1077" s="5" t="inlineStr">
        <is>
          <t>01a152b9-80a4-74ed-adc7-96f12233db14</t>
        </is>
      </c>
      <c r="C1077" s="5" t="inlineStr">
        <is>
          <t>01a152b9-6e67-75da-8adb-b03e5d07fd21</t>
        </is>
      </c>
      <c r="D1077" s="4" t="n">
        <v>46314.2459633926</v>
      </c>
      <c r="E1077" s="4" t="n">
        <v>46314.24596339272</v>
      </c>
      <c r="F1077" t="b">
        <v>1</v>
      </c>
      <c r="G1077" t="n">
        <v/>
      </c>
      <c r="H1077" t="inlineStr">
        <is>
          <t>AUE</t>
        </is>
      </c>
      <c r="I1077" t="inlineStr">
        <is>
          <t>Aurum Resources Ltd</t>
        </is>
      </c>
      <c r="J1077" t="inlineStr">
        <is>
          <t>AUD</t>
        </is>
      </c>
      <c r="K1077" s="5" t="inlineStr">
        <is>
          <t>01a152b9-6ee2-7577-bddd-382bc3853fde</t>
        </is>
      </c>
      <c r="M1077" t="inlineStr">
        <is>
          <t>UNKNOWN</t>
        </is>
      </c>
      <c r="N1077" t="inlineStr">
        <is>
          <t>DEFAULT</t>
        </is>
      </c>
      <c r="Q1077" t="n">
        <v>0</v>
      </c>
      <c r="R1077" t="inlineStr">
        <is>
          <t>AUD</t>
        </is>
      </c>
      <c r="S1077" t="n">
        <v>0</v>
      </c>
      <c r="T1077" t="inlineStr">
        <is>
          <t>AUD</t>
        </is>
      </c>
      <c r="U1077" t="n">
        <v>0</v>
      </c>
    </row>
    <row r="1078">
      <c r="A1078" s="5" t="inlineStr">
        <is>
          <t>01a152b9-80a8-7596-b7bf-b0c8d376d696</t>
        </is>
      </c>
      <c r="C1078" s="5" t="inlineStr">
        <is>
          <t>01a152b9-6e67-75da-8adb-b03e5d07fd21</t>
        </is>
      </c>
      <c r="D1078" s="4" t="n">
        <v>46314.24596343795</v>
      </c>
      <c r="E1078" s="4" t="n">
        <v>46314.2459634381</v>
      </c>
      <c r="F1078" t="b">
        <v>1</v>
      </c>
      <c r="G1078" t="n">
        <v/>
      </c>
      <c r="H1078" t="inlineStr">
        <is>
          <t>ISLM</t>
        </is>
      </c>
      <c r="I1078" t="inlineStr">
        <is>
          <t>HEJAZ Equities Fund (Managed Fund)</t>
        </is>
      </c>
      <c r="J1078" t="inlineStr">
        <is>
          <t>AUD</t>
        </is>
      </c>
      <c r="K1078" s="5" t="inlineStr">
        <is>
          <t>01a152b9-6ee2-7577-bddd-382bc3853fde</t>
        </is>
      </c>
      <c r="M1078" t="inlineStr">
        <is>
          <t>UNKNOWN</t>
        </is>
      </c>
      <c r="N1078" t="inlineStr">
        <is>
          <t>DEFAULT</t>
        </is>
      </c>
      <c r="Q1078" t="n">
        <v>0</v>
      </c>
      <c r="R1078" t="inlineStr">
        <is>
          <t>AUD</t>
        </is>
      </c>
      <c r="S1078" t="n">
        <v>0</v>
      </c>
      <c r="T1078" t="inlineStr">
        <is>
          <t>AUD</t>
        </is>
      </c>
      <c r="U1078" t="n">
        <v>0</v>
      </c>
    </row>
    <row r="1079">
      <c r="A1079" s="5" t="inlineStr">
        <is>
          <t>01a152b9-80ac-72ed-b29f-7a0fb316087a</t>
        </is>
      </c>
      <c r="C1079" s="5" t="inlineStr">
        <is>
          <t>01a152b9-6e67-75da-8adb-b03e5d07fd21</t>
        </is>
      </c>
      <c r="D1079" s="4" t="n">
        <v>46314.24596348163</v>
      </c>
      <c r="E1079" s="4" t="n">
        <v>46314.24596348179</v>
      </c>
      <c r="F1079" t="b">
        <v>1</v>
      </c>
      <c r="G1079" t="n">
        <v/>
      </c>
      <c r="H1079" t="inlineStr">
        <is>
          <t>REX</t>
        </is>
      </c>
      <c r="I1079" t="inlineStr">
        <is>
          <t>Regional Express Holdings Ltd</t>
        </is>
      </c>
      <c r="J1079" t="inlineStr">
        <is>
          <t>AUD</t>
        </is>
      </c>
      <c r="K1079" s="5" t="inlineStr">
        <is>
          <t>01a152b9-6ee2-7577-bddd-382bc3853fde</t>
        </is>
      </c>
      <c r="M1079" t="inlineStr">
        <is>
          <t>UNKNOWN</t>
        </is>
      </c>
      <c r="N1079" t="inlineStr">
        <is>
          <t>DEFAULT</t>
        </is>
      </c>
      <c r="Q1079" t="n">
        <v>0</v>
      </c>
      <c r="R1079" t="inlineStr">
        <is>
          <t>AUD</t>
        </is>
      </c>
      <c r="S1079" t="n">
        <v>0</v>
      </c>
      <c r="T1079" t="inlineStr">
        <is>
          <t>AUD</t>
        </is>
      </c>
      <c r="U1079" t="n">
        <v>0</v>
      </c>
    </row>
    <row r="1080">
      <c r="A1080" s="5" t="inlineStr">
        <is>
          <t>01a152b9-80b1-71c8-baf8-b45c9f0275d8</t>
        </is>
      </c>
      <c r="C1080" s="5" t="inlineStr">
        <is>
          <t>01a152b9-6e67-75da-8adb-b03e5d07fd21</t>
        </is>
      </c>
      <c r="D1080" s="4" t="n">
        <v>46314.24596353211</v>
      </c>
      <c r="E1080" s="4" t="n">
        <v>46314.24596353223</v>
      </c>
      <c r="F1080" t="b">
        <v>1</v>
      </c>
      <c r="G1080" t="n">
        <v/>
      </c>
      <c r="H1080" t="inlineStr">
        <is>
          <t>WKT</t>
        </is>
      </c>
      <c r="I1080" t="inlineStr">
        <is>
          <t>Walkabout Resources Ltd</t>
        </is>
      </c>
      <c r="J1080" t="inlineStr">
        <is>
          <t>AUD</t>
        </is>
      </c>
      <c r="K1080" s="5" t="inlineStr">
        <is>
          <t>01a152b9-6ee2-7577-bddd-382bc3853fde</t>
        </is>
      </c>
      <c r="M1080" t="inlineStr">
        <is>
          <t>UNKNOWN</t>
        </is>
      </c>
      <c r="N1080" t="inlineStr">
        <is>
          <t>DEFAULT</t>
        </is>
      </c>
      <c r="Q1080" t="n">
        <v>0</v>
      </c>
      <c r="R1080" t="inlineStr">
        <is>
          <t>AUD</t>
        </is>
      </c>
      <c r="S1080" t="n">
        <v>0</v>
      </c>
      <c r="T1080" t="inlineStr">
        <is>
          <t>AUD</t>
        </is>
      </c>
      <c r="U1080" t="n">
        <v>0</v>
      </c>
    </row>
    <row r="1081">
      <c r="A1081" s="5" t="inlineStr">
        <is>
          <t>01a152b9-80b5-7464-8c42-ff6a725469c1</t>
        </is>
      </c>
      <c r="C1081" s="5" t="inlineStr">
        <is>
          <t>01a152b9-6e67-75da-8adb-b03e5d07fd21</t>
        </is>
      </c>
      <c r="D1081" s="4" t="n">
        <v>46314.24596357824</v>
      </c>
      <c r="E1081" s="4" t="n">
        <v>46314.24596357838</v>
      </c>
      <c r="F1081" t="b">
        <v>1</v>
      </c>
      <c r="G1081" t="n">
        <v/>
      </c>
      <c r="H1081" t="inlineStr">
        <is>
          <t>CKA</t>
        </is>
      </c>
      <c r="I1081" t="inlineStr">
        <is>
          <t>Cokal Ltd</t>
        </is>
      </c>
      <c r="J1081" t="inlineStr">
        <is>
          <t>AUD</t>
        </is>
      </c>
      <c r="K1081" s="5" t="inlineStr">
        <is>
          <t>01a152b9-6ee2-7577-bddd-382bc3853fde</t>
        </is>
      </c>
      <c r="M1081" t="inlineStr">
        <is>
          <t>UNKNOWN</t>
        </is>
      </c>
      <c r="N1081" t="inlineStr">
        <is>
          <t>DEFAULT</t>
        </is>
      </c>
      <c r="Q1081" t="n">
        <v>0</v>
      </c>
      <c r="R1081" t="inlineStr">
        <is>
          <t>AUD</t>
        </is>
      </c>
      <c r="S1081" t="n">
        <v>0</v>
      </c>
      <c r="T1081" t="inlineStr">
        <is>
          <t>AUD</t>
        </is>
      </c>
      <c r="U1081" t="n">
        <v>0</v>
      </c>
    </row>
    <row r="1082">
      <c r="A1082" s="5" t="inlineStr">
        <is>
          <t>01a152b9-80b8-76da-b1f8-cc206557f443</t>
        </is>
      </c>
      <c r="C1082" s="5" t="inlineStr">
        <is>
          <t>01a152b9-6e67-75da-8adb-b03e5d07fd21</t>
        </is>
      </c>
      <c r="D1082" s="4" t="n">
        <v>46314.24596362164</v>
      </c>
      <c r="E1082" s="4" t="n">
        <v>46314.24596362177</v>
      </c>
      <c r="F1082" t="b">
        <v>1</v>
      </c>
      <c r="G1082" t="n">
        <v/>
      </c>
      <c r="H1082" t="inlineStr">
        <is>
          <t>ATP</t>
        </is>
      </c>
      <c r="I1082" t="inlineStr">
        <is>
          <t>Atlas Pearls Ltd</t>
        </is>
      </c>
      <c r="J1082" t="inlineStr">
        <is>
          <t>AUD</t>
        </is>
      </c>
      <c r="K1082" s="5" t="inlineStr">
        <is>
          <t>01a152b9-6ee2-7577-bddd-382bc3853fde</t>
        </is>
      </c>
      <c r="M1082" t="inlineStr">
        <is>
          <t>UNKNOWN</t>
        </is>
      </c>
      <c r="N1082" t="inlineStr">
        <is>
          <t>DEFAULT</t>
        </is>
      </c>
      <c r="Q1082" t="n">
        <v>0</v>
      </c>
      <c r="R1082" t="inlineStr">
        <is>
          <t>AUD</t>
        </is>
      </c>
      <c r="S1082" t="n">
        <v>0</v>
      </c>
      <c r="T1082" t="inlineStr">
        <is>
          <t>AUD</t>
        </is>
      </c>
      <c r="U1082" t="n">
        <v>0</v>
      </c>
    </row>
    <row r="1083">
      <c r="A1083" s="5" t="inlineStr">
        <is>
          <t>01a152b9-80bc-76a2-9730-b3258752387d</t>
        </is>
      </c>
      <c r="C1083" s="5" t="inlineStr">
        <is>
          <t>01a152b9-6e67-75da-8adb-b03e5d07fd21</t>
        </is>
      </c>
      <c r="D1083" s="4" t="n">
        <v>46314.24596366836</v>
      </c>
      <c r="E1083" s="4" t="n">
        <v>46314.24596366849</v>
      </c>
      <c r="F1083" t="b">
        <v>1</v>
      </c>
      <c r="G1083" t="n">
        <v/>
      </c>
      <c r="H1083" t="inlineStr">
        <is>
          <t>CLV</t>
        </is>
      </c>
      <c r="I1083" t="inlineStr">
        <is>
          <t>Clover Corporation Ltd</t>
        </is>
      </c>
      <c r="J1083" t="inlineStr">
        <is>
          <t>AUD</t>
        </is>
      </c>
      <c r="K1083" s="5" t="inlineStr">
        <is>
          <t>01a152b9-6ee2-7577-bddd-382bc3853fde</t>
        </is>
      </c>
      <c r="M1083" t="inlineStr">
        <is>
          <t>UNKNOWN</t>
        </is>
      </c>
      <c r="N1083" t="inlineStr">
        <is>
          <t>DEFAULT</t>
        </is>
      </c>
      <c r="Q1083" t="n">
        <v>0</v>
      </c>
      <c r="R1083" t="inlineStr">
        <is>
          <t>AUD</t>
        </is>
      </c>
      <c r="S1083" t="n">
        <v>0</v>
      </c>
      <c r="T1083" t="inlineStr">
        <is>
          <t>AUD</t>
        </is>
      </c>
      <c r="U1083" t="n">
        <v>0</v>
      </c>
    </row>
    <row r="1084">
      <c r="A1084" s="5" t="inlineStr">
        <is>
          <t>01a152b9-80c0-713a-a967-ede8c32405ac</t>
        </is>
      </c>
      <c r="C1084" s="5" t="inlineStr">
        <is>
          <t>01a152b9-6e67-75da-8adb-b03e5d07fd21</t>
        </is>
      </c>
      <c r="D1084" s="4" t="n">
        <v>46314.24596371216</v>
      </c>
      <c r="E1084" s="4" t="n">
        <v>46314.24596371235</v>
      </c>
      <c r="F1084" t="b">
        <v>1</v>
      </c>
      <c r="G1084" t="n">
        <v/>
      </c>
      <c r="H1084" t="inlineStr">
        <is>
          <t>FML</t>
        </is>
      </c>
      <c r="I1084" t="inlineStr">
        <is>
          <t>Focus Minerals Ltd</t>
        </is>
      </c>
      <c r="J1084" t="inlineStr">
        <is>
          <t>AUD</t>
        </is>
      </c>
      <c r="K1084" s="5" t="inlineStr">
        <is>
          <t>01a152b9-6ee2-7577-bddd-382bc3853fde</t>
        </is>
      </c>
      <c r="M1084" t="inlineStr">
        <is>
          <t>UNKNOWN</t>
        </is>
      </c>
      <c r="N1084" t="inlineStr">
        <is>
          <t>DEFAULT</t>
        </is>
      </c>
      <c r="Q1084" t="n">
        <v>0</v>
      </c>
      <c r="R1084" t="inlineStr">
        <is>
          <t>AUD</t>
        </is>
      </c>
      <c r="S1084" t="n">
        <v>0</v>
      </c>
      <c r="T1084" t="inlineStr">
        <is>
          <t>AUD</t>
        </is>
      </c>
      <c r="U1084" t="n">
        <v>0</v>
      </c>
    </row>
    <row r="1085">
      <c r="A1085" s="5" t="inlineStr">
        <is>
          <t>01a152b9-80c4-72b7-b7d1-d0ea8e50bf23</t>
        </is>
      </c>
      <c r="C1085" s="5" t="inlineStr">
        <is>
          <t>01a152b9-6e67-75da-8adb-b03e5d07fd21</t>
        </is>
      </c>
      <c r="D1085" s="4" t="n">
        <v>46314.24596375689</v>
      </c>
      <c r="E1085" s="4" t="n">
        <v>46314.24596375704</v>
      </c>
      <c r="F1085" t="b">
        <v>1</v>
      </c>
      <c r="G1085" t="n">
        <v/>
      </c>
      <c r="H1085" t="inlineStr">
        <is>
          <t>CPV</t>
        </is>
      </c>
      <c r="I1085" t="inlineStr">
        <is>
          <t>Clearvue Technologies Ltd</t>
        </is>
      </c>
      <c r="J1085" t="inlineStr">
        <is>
          <t>AUD</t>
        </is>
      </c>
      <c r="K1085" s="5" t="inlineStr">
        <is>
          <t>01a152b9-6ee2-7577-bddd-382bc3853fde</t>
        </is>
      </c>
      <c r="M1085" t="inlineStr">
        <is>
          <t>UNKNOWN</t>
        </is>
      </c>
      <c r="N1085" t="inlineStr">
        <is>
          <t>DEFAULT</t>
        </is>
      </c>
      <c r="Q1085" t="n">
        <v>0</v>
      </c>
      <c r="R1085" t="inlineStr">
        <is>
          <t>AUD</t>
        </is>
      </c>
      <c r="S1085" t="n">
        <v>0</v>
      </c>
      <c r="T1085" t="inlineStr">
        <is>
          <t>AUD</t>
        </is>
      </c>
      <c r="U1085" t="n">
        <v>0</v>
      </c>
    </row>
    <row r="1086">
      <c r="A1086" s="5" t="inlineStr">
        <is>
          <t>01a152b9-80c7-714c-a7f8-b4916ec6078a</t>
        </is>
      </c>
      <c r="C1086" s="5" t="inlineStr">
        <is>
          <t>01a152b9-6e67-75da-8adb-b03e5d07fd21</t>
        </is>
      </c>
      <c r="D1086" s="4" t="n">
        <v>46314.24596379557</v>
      </c>
      <c r="E1086" s="4" t="n">
        <v>46314.24596379569</v>
      </c>
      <c r="F1086" t="b">
        <v>1</v>
      </c>
      <c r="G1086" t="n">
        <v/>
      </c>
      <c r="H1086" t="inlineStr">
        <is>
          <t>RAD</t>
        </is>
      </c>
      <c r="I1086" t="inlineStr">
        <is>
          <t>Radiopharm Theranostics Ltd</t>
        </is>
      </c>
      <c r="J1086" t="inlineStr">
        <is>
          <t>AUD</t>
        </is>
      </c>
      <c r="K1086" s="5" t="inlineStr">
        <is>
          <t>01a152b9-6ee2-7577-bddd-382bc3853fde</t>
        </is>
      </c>
      <c r="M1086" t="inlineStr">
        <is>
          <t>UNKNOWN</t>
        </is>
      </c>
      <c r="N1086" t="inlineStr">
        <is>
          <t>DEFAULT</t>
        </is>
      </c>
      <c r="Q1086" t="n">
        <v>0</v>
      </c>
      <c r="R1086" t="inlineStr">
        <is>
          <t>AUD</t>
        </is>
      </c>
      <c r="S1086" t="n">
        <v>0</v>
      </c>
      <c r="T1086" t="inlineStr">
        <is>
          <t>AUD</t>
        </is>
      </c>
      <c r="U1086" t="n">
        <v>0</v>
      </c>
    </row>
    <row r="1087">
      <c r="A1087" s="5" t="inlineStr">
        <is>
          <t>01a152b9-80cb-775b-84ea-00a9856cc93b</t>
        </is>
      </c>
      <c r="C1087" s="5" t="inlineStr">
        <is>
          <t>01a152b9-6e67-75da-8adb-b03e5d07fd21</t>
        </is>
      </c>
      <c r="D1087" s="4" t="n">
        <v>46314.24596383463</v>
      </c>
      <c r="E1087" s="4" t="n">
        <v>46314.24596383478</v>
      </c>
      <c r="F1087" t="b">
        <v>1</v>
      </c>
      <c r="G1087" t="n">
        <v/>
      </c>
      <c r="H1087" t="inlineStr">
        <is>
          <t>SHG</t>
        </is>
      </c>
      <c r="I1087" t="inlineStr">
        <is>
          <t>Singular Health Group Ltd</t>
        </is>
      </c>
      <c r="J1087" t="inlineStr">
        <is>
          <t>AUD</t>
        </is>
      </c>
      <c r="K1087" s="5" t="inlineStr">
        <is>
          <t>01a152b9-6ee2-7577-bddd-382bc3853fde</t>
        </is>
      </c>
      <c r="M1087" t="inlineStr">
        <is>
          <t>UNKNOWN</t>
        </is>
      </c>
      <c r="N1087" t="inlineStr">
        <is>
          <t>DEFAULT</t>
        </is>
      </c>
      <c r="Q1087" t="n">
        <v>0</v>
      </c>
      <c r="R1087" t="inlineStr">
        <is>
          <t>AUD</t>
        </is>
      </c>
      <c r="S1087" t="n">
        <v>0</v>
      </c>
      <c r="T1087" t="inlineStr">
        <is>
          <t>AUD</t>
        </is>
      </c>
      <c r="U1087" t="n">
        <v>0</v>
      </c>
    </row>
    <row r="1088">
      <c r="A1088" s="5" t="inlineStr">
        <is>
          <t>01a152b9-80cf-7701-a25e-cf8410b8fbea</t>
        </is>
      </c>
      <c r="C1088" s="5" t="inlineStr">
        <is>
          <t>01a152b9-6e67-75da-8adb-b03e5d07fd21</t>
        </is>
      </c>
      <c r="D1088" s="4" t="n">
        <v>46314.2459638799</v>
      </c>
      <c r="E1088" s="4" t="n">
        <v>46314.24596388004</v>
      </c>
      <c r="F1088" t="b">
        <v>1</v>
      </c>
      <c r="G1088" t="n">
        <v/>
      </c>
      <c r="H1088" t="inlineStr">
        <is>
          <t>JGH</t>
        </is>
      </c>
      <c r="I1088" t="inlineStr">
        <is>
          <t>Jade Gas Holdings Ltd</t>
        </is>
      </c>
      <c r="J1088" t="inlineStr">
        <is>
          <t>AUD</t>
        </is>
      </c>
      <c r="K1088" s="5" t="inlineStr">
        <is>
          <t>01a152b9-6ee2-7577-bddd-382bc3853fde</t>
        </is>
      </c>
      <c r="M1088" t="inlineStr">
        <is>
          <t>UNKNOWN</t>
        </is>
      </c>
      <c r="N1088" t="inlineStr">
        <is>
          <t>DEFAULT</t>
        </is>
      </c>
      <c r="Q1088" t="n">
        <v>0</v>
      </c>
      <c r="R1088" t="inlineStr">
        <is>
          <t>AUD</t>
        </is>
      </c>
      <c r="S1088" t="n">
        <v>0</v>
      </c>
      <c r="T1088" t="inlineStr">
        <is>
          <t>AUD</t>
        </is>
      </c>
      <c r="U1088" t="n">
        <v>0</v>
      </c>
    </row>
    <row r="1089">
      <c r="A1089" s="5" t="inlineStr">
        <is>
          <t>01a152b9-80d3-710e-99af-4ea3046d85f3</t>
        </is>
      </c>
      <c r="C1089" s="5" t="inlineStr">
        <is>
          <t>01a152b9-6e67-75da-8adb-b03e5d07fd21</t>
        </is>
      </c>
      <c r="D1089" s="4" t="n">
        <v>46314.24596393168</v>
      </c>
      <c r="E1089" s="4" t="n">
        <v>46314.24596393182</v>
      </c>
      <c r="F1089" t="b">
        <v>1</v>
      </c>
      <c r="G1089" t="n">
        <v/>
      </c>
      <c r="H1089" t="inlineStr">
        <is>
          <t>CHL</t>
        </is>
      </c>
      <c r="I1089" t="inlineStr">
        <is>
          <t>Camplify Holdings Ltd</t>
        </is>
      </c>
      <c r="J1089" t="inlineStr">
        <is>
          <t>AUD</t>
        </is>
      </c>
      <c r="K1089" s="5" t="inlineStr">
        <is>
          <t>01a152b9-6ee2-7577-bddd-382bc3853fde</t>
        </is>
      </c>
      <c r="M1089" t="inlineStr">
        <is>
          <t>UNKNOWN</t>
        </is>
      </c>
      <c r="N1089" t="inlineStr">
        <is>
          <t>DEFAULT</t>
        </is>
      </c>
      <c r="Q1089" t="n">
        <v>0</v>
      </c>
      <c r="R1089" t="inlineStr">
        <is>
          <t>AUD</t>
        </is>
      </c>
      <c r="S1089" t="n">
        <v>0</v>
      </c>
      <c r="T1089" t="inlineStr">
        <is>
          <t>AUD</t>
        </is>
      </c>
      <c r="U1089" t="n">
        <v>0</v>
      </c>
    </row>
    <row r="1090">
      <c r="A1090" s="5" t="inlineStr">
        <is>
          <t>01a152b9-80d8-718a-9af8-a4e30cc57ac0</t>
        </is>
      </c>
      <c r="C1090" s="5" t="inlineStr">
        <is>
          <t>01a152b9-6e67-75da-8adb-b03e5d07fd21</t>
        </is>
      </c>
      <c r="D1090" s="4" t="n">
        <v>46314.24596398469</v>
      </c>
      <c r="E1090" s="4" t="n">
        <v>46314.24596398482</v>
      </c>
      <c r="F1090" t="b">
        <v>1</v>
      </c>
      <c r="G1090" t="n">
        <v/>
      </c>
      <c r="H1090" t="inlineStr">
        <is>
          <t>HYT</t>
        </is>
      </c>
      <c r="I1090" t="inlineStr">
        <is>
          <t>Hyterra Ltd</t>
        </is>
      </c>
      <c r="J1090" t="inlineStr">
        <is>
          <t>AUD</t>
        </is>
      </c>
      <c r="K1090" s="5" t="inlineStr">
        <is>
          <t>01a152b9-6ee2-7577-bddd-382bc3853fde</t>
        </is>
      </c>
      <c r="M1090" t="inlineStr">
        <is>
          <t>UNKNOWN</t>
        </is>
      </c>
      <c r="N1090" t="inlineStr">
        <is>
          <t>DEFAULT</t>
        </is>
      </c>
      <c r="Q1090" t="n">
        <v>0</v>
      </c>
      <c r="R1090" t="inlineStr">
        <is>
          <t>AUD</t>
        </is>
      </c>
      <c r="S1090" t="n">
        <v>0</v>
      </c>
      <c r="T1090" t="inlineStr">
        <is>
          <t>AUD</t>
        </is>
      </c>
      <c r="U1090" t="n">
        <v>0</v>
      </c>
    </row>
    <row r="1091">
      <c r="A1091" s="5" t="inlineStr">
        <is>
          <t>01a152b9-80dc-71b8-bd4f-a4ce384894eb</t>
        </is>
      </c>
      <c r="C1091" s="5" t="inlineStr">
        <is>
          <t>01a152b9-6e67-75da-8adb-b03e5d07fd21</t>
        </is>
      </c>
      <c r="D1091" s="4" t="n">
        <v>46314.24596402956</v>
      </c>
      <c r="E1091" s="4" t="n">
        <v>46314.2459640297</v>
      </c>
      <c r="F1091" t="b">
        <v>1</v>
      </c>
      <c r="G1091" t="n">
        <v/>
      </c>
      <c r="H1091" t="inlineStr">
        <is>
          <t>MHOT</t>
        </is>
      </c>
      <c r="I1091" t="inlineStr">
        <is>
          <t>Vaneck Morningstar Wide Moat (Aud Hedged) ETF</t>
        </is>
      </c>
      <c r="J1091" t="inlineStr">
        <is>
          <t>AUD</t>
        </is>
      </c>
      <c r="K1091" s="5" t="inlineStr">
        <is>
          <t>01a152b9-6ee2-7577-bddd-382bc3853fde</t>
        </is>
      </c>
      <c r="M1091" t="inlineStr">
        <is>
          <t>UNKNOWN</t>
        </is>
      </c>
      <c r="N1091" t="inlineStr">
        <is>
          <t>DEFAULT</t>
        </is>
      </c>
      <c r="Q1091" t="n">
        <v>0</v>
      </c>
      <c r="R1091" t="inlineStr">
        <is>
          <t>AUD</t>
        </is>
      </c>
      <c r="S1091" t="n">
        <v>0</v>
      </c>
      <c r="T1091" t="inlineStr">
        <is>
          <t>AUD</t>
        </is>
      </c>
      <c r="U1091" t="n">
        <v>0</v>
      </c>
    </row>
    <row r="1092">
      <c r="A1092" s="5" t="inlineStr">
        <is>
          <t>01a152b9-80df-750f-8369-dc9f10ef7172</t>
        </is>
      </c>
      <c r="C1092" s="5" t="inlineStr">
        <is>
          <t>01a152b9-6e67-75da-8adb-b03e5d07fd21</t>
        </is>
      </c>
      <c r="D1092" s="4" t="n">
        <v>46314.2459640681</v>
      </c>
      <c r="E1092" s="4" t="n">
        <v>46314.24596406822</v>
      </c>
      <c r="F1092" t="b">
        <v>1</v>
      </c>
      <c r="G1092" t="n">
        <v/>
      </c>
      <c r="H1092" t="inlineStr">
        <is>
          <t>FEG</t>
        </is>
      </c>
      <c r="I1092" t="inlineStr">
        <is>
          <t>Far East Gold Ltd</t>
        </is>
      </c>
      <c r="J1092" t="inlineStr">
        <is>
          <t>AUD</t>
        </is>
      </c>
      <c r="K1092" s="5" t="inlineStr">
        <is>
          <t>01a152b9-6ee2-7577-bddd-382bc3853fde</t>
        </is>
      </c>
      <c r="M1092" t="inlineStr">
        <is>
          <t>UNKNOWN</t>
        </is>
      </c>
      <c r="N1092" t="inlineStr">
        <is>
          <t>DEFAULT</t>
        </is>
      </c>
      <c r="Q1092" t="n">
        <v>0</v>
      </c>
      <c r="R1092" t="inlineStr">
        <is>
          <t>AUD</t>
        </is>
      </c>
      <c r="S1092" t="n">
        <v>0</v>
      </c>
      <c r="T1092" t="inlineStr">
        <is>
          <t>AUD</t>
        </is>
      </c>
      <c r="U1092" t="n">
        <v>0</v>
      </c>
    </row>
    <row r="1093">
      <c r="A1093" s="5" t="inlineStr">
        <is>
          <t>01a152b9-80e3-778e-a91b-75914829f9f0</t>
        </is>
      </c>
      <c r="C1093" s="5" t="inlineStr">
        <is>
          <t>01a152b9-6e67-75da-8adb-b03e5d07fd21</t>
        </is>
      </c>
      <c r="D1093" s="4" t="n">
        <v>46314.24596411425</v>
      </c>
      <c r="E1093" s="4" t="n">
        <v>46314.24596411437</v>
      </c>
      <c r="F1093" t="b">
        <v>1</v>
      </c>
      <c r="G1093" t="n">
        <v/>
      </c>
      <c r="H1093" t="inlineStr">
        <is>
          <t>RSM</t>
        </is>
      </c>
      <c r="I1093" t="inlineStr">
        <is>
          <t>Russell Investments Australian Semi-Government Bond ETF</t>
        </is>
      </c>
      <c r="J1093" t="inlineStr">
        <is>
          <t>AUD</t>
        </is>
      </c>
      <c r="K1093" s="5" t="inlineStr">
        <is>
          <t>01a152b9-6ee2-7577-bddd-382bc3853fde</t>
        </is>
      </c>
      <c r="M1093" t="inlineStr">
        <is>
          <t>UNKNOWN</t>
        </is>
      </c>
      <c r="N1093" t="inlineStr">
        <is>
          <t>DEFAULT</t>
        </is>
      </c>
      <c r="Q1093" t="n">
        <v>0</v>
      </c>
      <c r="R1093" t="inlineStr">
        <is>
          <t>AUD</t>
        </is>
      </c>
      <c r="S1093" t="n">
        <v>0</v>
      </c>
      <c r="T1093" t="inlineStr">
        <is>
          <t>AUD</t>
        </is>
      </c>
      <c r="U1093" t="n">
        <v>0</v>
      </c>
    </row>
    <row r="1094">
      <c r="A1094" s="5" t="inlineStr">
        <is>
          <t>01a152b9-80e7-70eb-8be5-5d76ddfe06ea</t>
        </is>
      </c>
      <c r="C1094" s="5" t="inlineStr">
        <is>
          <t>01a152b9-6e67-75da-8adb-b03e5d07fd21</t>
        </is>
      </c>
      <c r="D1094" s="4" t="n">
        <v>46314.24596415886</v>
      </c>
      <c r="E1094" s="4" t="n">
        <v>46314.24596415896</v>
      </c>
      <c r="F1094" t="b">
        <v>1</v>
      </c>
      <c r="G1094" t="n">
        <v/>
      </c>
      <c r="H1094" t="inlineStr">
        <is>
          <t>EWC</t>
        </is>
      </c>
      <c r="I1094" t="inlineStr">
        <is>
          <t>Energy World Corporation Ltd</t>
        </is>
      </c>
      <c r="J1094" t="inlineStr">
        <is>
          <t>AUD</t>
        </is>
      </c>
      <c r="K1094" s="5" t="inlineStr">
        <is>
          <t>01a152b9-6ee2-7577-bddd-382bc3853fde</t>
        </is>
      </c>
      <c r="M1094" t="inlineStr">
        <is>
          <t>UNKNOWN</t>
        </is>
      </c>
      <c r="N1094" t="inlineStr">
        <is>
          <t>DEFAULT</t>
        </is>
      </c>
      <c r="Q1094" t="n">
        <v>0</v>
      </c>
      <c r="R1094" t="inlineStr">
        <is>
          <t>AUD</t>
        </is>
      </c>
      <c r="S1094" t="n">
        <v>0</v>
      </c>
      <c r="T1094" t="inlineStr">
        <is>
          <t>AUD</t>
        </is>
      </c>
      <c r="U1094" t="n">
        <v>0</v>
      </c>
    </row>
    <row r="1095">
      <c r="A1095" s="5" t="inlineStr">
        <is>
          <t>01a152b9-80eb-7723-b2f0-3d495b9a8476</t>
        </is>
      </c>
      <c r="C1095" s="5" t="inlineStr">
        <is>
          <t>01a152b9-6e67-75da-8adb-b03e5d07fd21</t>
        </is>
      </c>
      <c r="D1095" s="4" t="n">
        <v>46314.24596420301</v>
      </c>
      <c r="E1095" s="4" t="n">
        <v>46314.24596420312</v>
      </c>
      <c r="F1095" t="b">
        <v>1</v>
      </c>
      <c r="G1095" t="n">
        <v/>
      </c>
      <c r="H1095" t="inlineStr">
        <is>
          <t>BXN</t>
        </is>
      </c>
      <c r="I1095" t="inlineStr">
        <is>
          <t>Bioxyne Ltd</t>
        </is>
      </c>
      <c r="J1095" t="inlineStr">
        <is>
          <t>AUD</t>
        </is>
      </c>
      <c r="K1095" s="5" t="inlineStr">
        <is>
          <t>01a152b9-6ee2-7577-bddd-382bc3853fde</t>
        </is>
      </c>
      <c r="M1095" t="inlineStr">
        <is>
          <t>UNKNOWN</t>
        </is>
      </c>
      <c r="N1095" t="inlineStr">
        <is>
          <t>DEFAULT</t>
        </is>
      </c>
      <c r="Q1095" t="n">
        <v>0</v>
      </c>
      <c r="R1095" t="inlineStr">
        <is>
          <t>AUD</t>
        </is>
      </c>
      <c r="S1095" t="n">
        <v>0</v>
      </c>
      <c r="T1095" t="inlineStr">
        <is>
          <t>AUD</t>
        </is>
      </c>
      <c r="U1095" t="n">
        <v>0</v>
      </c>
    </row>
    <row r="1096">
      <c r="A1096" s="5" t="inlineStr">
        <is>
          <t>01a152b9-80ee-75aa-ab53-6ac325b4a8f4</t>
        </is>
      </c>
      <c r="C1096" s="5" t="inlineStr">
        <is>
          <t>01a152b9-6e67-75da-8adb-b03e5d07fd21</t>
        </is>
      </c>
      <c r="D1096" s="4" t="n">
        <v>46314.24596424139</v>
      </c>
      <c r="E1096" s="4" t="n">
        <v>46314.24596424151</v>
      </c>
      <c r="F1096" t="b">
        <v>1</v>
      </c>
      <c r="G1096" t="n">
        <v/>
      </c>
      <c r="H1096" t="inlineStr">
        <is>
          <t>EPY</t>
        </is>
      </c>
      <c r="I1096" t="inlineStr">
        <is>
          <t>Earlypay Ltd</t>
        </is>
      </c>
      <c r="J1096" t="inlineStr">
        <is>
          <t>AUD</t>
        </is>
      </c>
      <c r="K1096" s="5" t="inlineStr">
        <is>
          <t>01a152b9-6ee2-7577-bddd-382bc3853fde</t>
        </is>
      </c>
      <c r="M1096" t="inlineStr">
        <is>
          <t>UNKNOWN</t>
        </is>
      </c>
      <c r="N1096" t="inlineStr">
        <is>
          <t>DEFAULT</t>
        </is>
      </c>
      <c r="Q1096" t="n">
        <v>0</v>
      </c>
      <c r="R1096" t="inlineStr">
        <is>
          <t>AUD</t>
        </is>
      </c>
      <c r="S1096" t="n">
        <v>0</v>
      </c>
      <c r="T1096" t="inlineStr">
        <is>
          <t>AUD</t>
        </is>
      </c>
      <c r="U1096" t="n">
        <v>0</v>
      </c>
    </row>
    <row r="1097">
      <c r="A1097" s="5" t="inlineStr">
        <is>
          <t>01a152b9-80f1-7451-8a6f-319d8708c30b</t>
        </is>
      </c>
      <c r="C1097" s="5" t="inlineStr">
        <is>
          <t>01a152b9-6e67-75da-8adb-b03e5d07fd21</t>
        </is>
      </c>
      <c r="D1097" s="4" t="n">
        <v>46314.24596427916</v>
      </c>
      <c r="E1097" s="4" t="n">
        <v>46314.24596427926</v>
      </c>
      <c r="F1097" t="b">
        <v>1</v>
      </c>
      <c r="G1097" t="n">
        <v/>
      </c>
      <c r="H1097" t="inlineStr">
        <is>
          <t>PEX</t>
        </is>
      </c>
      <c r="I1097" t="inlineStr">
        <is>
          <t>Peel Mining Ltd</t>
        </is>
      </c>
      <c r="J1097" t="inlineStr">
        <is>
          <t>AUD</t>
        </is>
      </c>
      <c r="K1097" s="5" t="inlineStr">
        <is>
          <t>01a152b9-6ee2-7577-bddd-382bc3853fde</t>
        </is>
      </c>
      <c r="M1097" t="inlineStr">
        <is>
          <t>UNKNOWN</t>
        </is>
      </c>
      <c r="N1097" t="inlineStr">
        <is>
          <t>DEFAULT</t>
        </is>
      </c>
      <c r="Q1097" t="n">
        <v>0</v>
      </c>
      <c r="R1097" t="inlineStr">
        <is>
          <t>AUD</t>
        </is>
      </c>
      <c r="S1097" t="n">
        <v>0</v>
      </c>
      <c r="T1097" t="inlineStr">
        <is>
          <t>AUD</t>
        </is>
      </c>
      <c r="U1097" t="n">
        <v>0</v>
      </c>
    </row>
    <row r="1098">
      <c r="A1098" s="5" t="inlineStr">
        <is>
          <t>01a152b9-80f5-7556-bb8a-ded67eeb1324</t>
        </is>
      </c>
      <c r="C1098" s="5" t="inlineStr">
        <is>
          <t>01a152b9-6e67-75da-8adb-b03e5d07fd21</t>
        </is>
      </c>
      <c r="D1098" s="4" t="n">
        <v>46314.24596431968</v>
      </c>
      <c r="E1098" s="4" t="n">
        <v>46314.24596431978</v>
      </c>
      <c r="F1098" t="b">
        <v>1</v>
      </c>
      <c r="G1098" t="n">
        <v/>
      </c>
      <c r="H1098" t="inlineStr">
        <is>
          <t>NMT</t>
        </is>
      </c>
      <c r="I1098" t="inlineStr">
        <is>
          <t>Neometals Ltd</t>
        </is>
      </c>
      <c r="J1098" t="inlineStr">
        <is>
          <t>AUD</t>
        </is>
      </c>
      <c r="K1098" s="5" t="inlineStr">
        <is>
          <t>01a152b9-6ee2-7577-bddd-382bc3853fde</t>
        </is>
      </c>
      <c r="M1098" t="inlineStr">
        <is>
          <t>UNKNOWN</t>
        </is>
      </c>
      <c r="N1098" t="inlineStr">
        <is>
          <t>DEFAULT</t>
        </is>
      </c>
      <c r="Q1098" t="n">
        <v>0</v>
      </c>
      <c r="R1098" t="inlineStr">
        <is>
          <t>AUD</t>
        </is>
      </c>
      <c r="S1098" t="n">
        <v>0</v>
      </c>
      <c r="T1098" t="inlineStr">
        <is>
          <t>AUD</t>
        </is>
      </c>
      <c r="U1098" t="n">
        <v>0</v>
      </c>
    </row>
    <row r="1099">
      <c r="A1099" s="5" t="inlineStr">
        <is>
          <t>01a152b9-80f8-71c3-b197-15f099607824</t>
        </is>
      </c>
      <c r="C1099" s="5" t="inlineStr">
        <is>
          <t>01a152b9-6e67-75da-8adb-b03e5d07fd21</t>
        </is>
      </c>
      <c r="D1099" s="4" t="n">
        <v>46314.245964358</v>
      </c>
      <c r="E1099" s="4" t="n">
        <v>46314.2459643581</v>
      </c>
      <c r="F1099" t="b">
        <v>1</v>
      </c>
      <c r="G1099" t="n">
        <v/>
      </c>
      <c r="H1099" t="inlineStr">
        <is>
          <t>BNZ</t>
        </is>
      </c>
      <c r="I1099" t="inlineStr">
        <is>
          <t>BENZ Mining Corp</t>
        </is>
      </c>
      <c r="J1099" t="inlineStr">
        <is>
          <t>AUD</t>
        </is>
      </c>
      <c r="K1099" s="5" t="inlineStr">
        <is>
          <t>01a152b9-6ee2-7577-bddd-382bc3853fde</t>
        </is>
      </c>
      <c r="M1099" t="inlineStr">
        <is>
          <t>UNKNOWN</t>
        </is>
      </c>
      <c r="N1099" t="inlineStr">
        <is>
          <t>DEFAULT</t>
        </is>
      </c>
      <c r="Q1099" t="n">
        <v>0</v>
      </c>
      <c r="R1099" t="inlineStr">
        <is>
          <t>AUD</t>
        </is>
      </c>
      <c r="S1099" t="n">
        <v>0</v>
      </c>
      <c r="T1099" t="inlineStr">
        <is>
          <t>AUD</t>
        </is>
      </c>
      <c r="U1099" t="n">
        <v>0</v>
      </c>
    </row>
    <row r="1100">
      <c r="A1100" s="5" t="inlineStr">
        <is>
          <t>01a152b9-80fb-753a-998b-a0a6bf232113</t>
        </is>
      </c>
      <c r="C1100" s="5" t="inlineStr">
        <is>
          <t>01a152b9-6e67-75da-8adb-b03e5d07fd21</t>
        </is>
      </c>
      <c r="D1100" s="4" t="n">
        <v>46314.2459643945</v>
      </c>
      <c r="E1100" s="4" t="n">
        <v>46314.24596439461</v>
      </c>
      <c r="F1100" t="b">
        <v>1</v>
      </c>
      <c r="G1100" t="n">
        <v/>
      </c>
      <c r="H1100" t="inlineStr">
        <is>
          <t>KSN</t>
        </is>
      </c>
      <c r="I1100" t="inlineStr">
        <is>
          <t>Kingston Resources Ltd</t>
        </is>
      </c>
      <c r="J1100" t="inlineStr">
        <is>
          <t>AUD</t>
        </is>
      </c>
      <c r="K1100" s="5" t="inlineStr">
        <is>
          <t>01a152b9-6ee2-7577-bddd-382bc3853fde</t>
        </is>
      </c>
      <c r="M1100" t="inlineStr">
        <is>
          <t>UNKNOWN</t>
        </is>
      </c>
      <c r="N1100" t="inlineStr">
        <is>
          <t>DEFAULT</t>
        </is>
      </c>
      <c r="Q1100" t="n">
        <v>0</v>
      </c>
      <c r="R1100" t="inlineStr">
        <is>
          <t>AUD</t>
        </is>
      </c>
      <c r="S1100" t="n">
        <v>0</v>
      </c>
      <c r="T1100" t="inlineStr">
        <is>
          <t>AUD</t>
        </is>
      </c>
      <c r="U1100" t="n">
        <v>0</v>
      </c>
    </row>
    <row r="1101">
      <c r="A1101" s="5" t="inlineStr">
        <is>
          <t>01a152b9-80ff-7063-b426-d739983d83b9</t>
        </is>
      </c>
      <c r="C1101" s="5" t="inlineStr">
        <is>
          <t>01a152b9-6e67-75da-8adb-b03e5d07fd21</t>
        </is>
      </c>
      <c r="D1101" s="4" t="n">
        <v>46314.24596443499</v>
      </c>
      <c r="E1101" s="4" t="n">
        <v>46314.24596443508</v>
      </c>
      <c r="F1101" t="b">
        <v>1</v>
      </c>
      <c r="G1101" t="n">
        <v/>
      </c>
      <c r="H1101" t="inlineStr">
        <is>
          <t>SWTZ</t>
        </is>
      </c>
      <c r="I1101" t="inlineStr">
        <is>
          <t>Switzer Dividend Growth Fund (Managed Fund)</t>
        </is>
      </c>
      <c r="J1101" t="inlineStr">
        <is>
          <t>AUD</t>
        </is>
      </c>
      <c r="K1101" s="5" t="inlineStr">
        <is>
          <t>01a152b9-6ee2-7577-bddd-382bc3853fde</t>
        </is>
      </c>
      <c r="M1101" t="inlineStr">
        <is>
          <t>UNKNOWN</t>
        </is>
      </c>
      <c r="N1101" t="inlineStr">
        <is>
          <t>DEFAULT</t>
        </is>
      </c>
      <c r="Q1101" t="n">
        <v>0</v>
      </c>
      <c r="R1101" t="inlineStr">
        <is>
          <t>AUD</t>
        </is>
      </c>
      <c r="S1101" t="n">
        <v>0</v>
      </c>
      <c r="T1101" t="inlineStr">
        <is>
          <t>AUD</t>
        </is>
      </c>
      <c r="U1101" t="n">
        <v>0</v>
      </c>
    </row>
    <row r="1102">
      <c r="A1102" s="5" t="inlineStr">
        <is>
          <t>01a152b9-8102-73b0-a444-94884c4bbfc0</t>
        </is>
      </c>
      <c r="C1102" s="5" t="inlineStr">
        <is>
          <t>01a152b9-6e67-75da-8adb-b03e5d07fd21</t>
        </is>
      </c>
      <c r="D1102" s="4" t="n">
        <v>46314.24596447754</v>
      </c>
      <c r="E1102" s="4" t="n">
        <v>46314.24596447762</v>
      </c>
      <c r="F1102" t="b">
        <v>1</v>
      </c>
      <c r="G1102" t="n">
        <v/>
      </c>
      <c r="H1102" t="inlineStr">
        <is>
          <t>VR1</t>
        </is>
      </c>
      <c r="I1102" t="inlineStr">
        <is>
          <t>Vection Technologies Ltd</t>
        </is>
      </c>
      <c r="J1102" t="inlineStr">
        <is>
          <t>AUD</t>
        </is>
      </c>
      <c r="K1102" s="5" t="inlineStr">
        <is>
          <t>01a152b9-6ee2-7577-bddd-382bc3853fde</t>
        </is>
      </c>
      <c r="M1102" t="inlineStr">
        <is>
          <t>UNKNOWN</t>
        </is>
      </c>
      <c r="N1102" t="inlineStr">
        <is>
          <t>DEFAULT</t>
        </is>
      </c>
      <c r="Q1102" t="n">
        <v>0</v>
      </c>
      <c r="R1102" t="inlineStr">
        <is>
          <t>AUD</t>
        </is>
      </c>
      <c r="S1102" t="n">
        <v>0</v>
      </c>
      <c r="T1102" t="inlineStr">
        <is>
          <t>AUD</t>
        </is>
      </c>
      <c r="U1102" t="n">
        <v>0</v>
      </c>
    </row>
    <row r="1103">
      <c r="A1103" s="5" t="inlineStr">
        <is>
          <t>01a152b9-8106-73c7-a812-e92ab6339695</t>
        </is>
      </c>
      <c r="C1103" s="5" t="inlineStr">
        <is>
          <t>01a152b9-6e67-75da-8adb-b03e5d07fd21</t>
        </is>
      </c>
      <c r="D1103" s="4" t="n">
        <v>46314.24596452159</v>
      </c>
      <c r="E1103" s="4" t="n">
        <v>46314.2459645217</v>
      </c>
      <c r="F1103" t="b">
        <v>1</v>
      </c>
      <c r="G1103" t="n">
        <v/>
      </c>
      <c r="H1103" t="inlineStr">
        <is>
          <t>OZF</t>
        </is>
      </c>
      <c r="I1103" t="inlineStr">
        <is>
          <t>SPDR S&amp;P/ASX 200 Financials Ex A-REIT Fund</t>
        </is>
      </c>
      <c r="J1103" t="inlineStr">
        <is>
          <t>AUD</t>
        </is>
      </c>
      <c r="K1103" s="5" t="inlineStr">
        <is>
          <t>01a152b9-6ee2-7577-bddd-382bc3853fde</t>
        </is>
      </c>
      <c r="M1103" t="inlineStr">
        <is>
          <t>UNKNOWN</t>
        </is>
      </c>
      <c r="N1103" t="inlineStr">
        <is>
          <t>DEFAULT</t>
        </is>
      </c>
      <c r="Q1103" t="n">
        <v>0</v>
      </c>
      <c r="R1103" t="inlineStr">
        <is>
          <t>AUD</t>
        </is>
      </c>
      <c r="S1103" t="n">
        <v>0</v>
      </c>
      <c r="T1103" t="inlineStr">
        <is>
          <t>AUD</t>
        </is>
      </c>
      <c r="U1103" t="n">
        <v>0</v>
      </c>
    </row>
    <row r="1104">
      <c r="A1104" s="5" t="inlineStr">
        <is>
          <t>01a152b9-8109-70e6-bf44-7e7c58f11ff7</t>
        </is>
      </c>
      <c r="C1104" s="5" t="inlineStr">
        <is>
          <t>01a152b9-6e67-75da-8adb-b03e5d07fd21</t>
        </is>
      </c>
      <c r="D1104" s="4" t="n">
        <v>46314.24596456189</v>
      </c>
      <c r="E1104" s="4" t="n">
        <v>46314.24596456201</v>
      </c>
      <c r="F1104" t="b">
        <v>1</v>
      </c>
      <c r="G1104" t="n">
        <v/>
      </c>
      <c r="H1104" t="inlineStr">
        <is>
          <t>SFX</t>
        </is>
      </c>
      <c r="I1104" t="inlineStr">
        <is>
          <t>Sheffield Resources Ltd</t>
        </is>
      </c>
      <c r="J1104" t="inlineStr">
        <is>
          <t>AUD</t>
        </is>
      </c>
      <c r="K1104" s="5" t="inlineStr">
        <is>
          <t>01a152b9-6ee2-7577-bddd-382bc3853fde</t>
        </is>
      </c>
      <c r="M1104" t="inlineStr">
        <is>
          <t>UNKNOWN</t>
        </is>
      </c>
      <c r="N1104" t="inlineStr">
        <is>
          <t>DEFAULT</t>
        </is>
      </c>
      <c r="Q1104" t="n">
        <v>0</v>
      </c>
      <c r="R1104" t="inlineStr">
        <is>
          <t>AUD</t>
        </is>
      </c>
      <c r="S1104" t="n">
        <v>0</v>
      </c>
      <c r="T1104" t="inlineStr">
        <is>
          <t>AUD</t>
        </is>
      </c>
      <c r="U1104" t="n">
        <v>0</v>
      </c>
    </row>
    <row r="1105">
      <c r="A1105" s="5" t="inlineStr">
        <is>
          <t>01a152b9-810d-74ca-8b74-b4f8708f79d5</t>
        </is>
      </c>
      <c r="C1105" s="5" t="inlineStr">
        <is>
          <t>01a152b9-6e67-75da-8adb-b03e5d07fd21</t>
        </is>
      </c>
      <c r="D1105" s="4" t="n">
        <v>46314.24596460409</v>
      </c>
      <c r="E1105" s="4" t="n">
        <v>46314.24596460419</v>
      </c>
      <c r="F1105" t="b">
        <v>1</v>
      </c>
      <c r="G1105" t="n">
        <v/>
      </c>
      <c r="H1105" t="inlineStr">
        <is>
          <t>CLE</t>
        </is>
      </c>
      <c r="I1105" t="inlineStr">
        <is>
          <t>Cyclone Metals Ltd</t>
        </is>
      </c>
      <c r="J1105" t="inlineStr">
        <is>
          <t>AUD</t>
        </is>
      </c>
      <c r="K1105" s="5" t="inlineStr">
        <is>
          <t>01a152b9-6ee2-7577-bddd-382bc3853fde</t>
        </is>
      </c>
      <c r="M1105" t="inlineStr">
        <is>
          <t>UNKNOWN</t>
        </is>
      </c>
      <c r="N1105" t="inlineStr">
        <is>
          <t>DEFAULT</t>
        </is>
      </c>
      <c r="Q1105" t="n">
        <v>0</v>
      </c>
      <c r="R1105" t="inlineStr">
        <is>
          <t>AUD</t>
        </is>
      </c>
      <c r="S1105" t="n">
        <v>0</v>
      </c>
      <c r="T1105" t="inlineStr">
        <is>
          <t>AUD</t>
        </is>
      </c>
      <c r="U1105" t="n">
        <v>0</v>
      </c>
    </row>
    <row r="1106">
      <c r="A1106" s="5" t="inlineStr">
        <is>
          <t>01a152b9-8110-77ca-b4b2-41772b2a6661</t>
        </is>
      </c>
      <c r="C1106" s="5" t="inlineStr">
        <is>
          <t>01a152b9-6e67-75da-8adb-b03e5d07fd21</t>
        </is>
      </c>
      <c r="D1106" s="4" t="n">
        <v>46314.24596463823</v>
      </c>
      <c r="E1106" s="4" t="n">
        <v>46314.24596463834</v>
      </c>
      <c r="F1106" t="b">
        <v>1</v>
      </c>
      <c r="G1106" t="n">
        <v/>
      </c>
      <c r="H1106" t="inlineStr">
        <is>
          <t>EGN</t>
        </is>
      </c>
      <c r="I1106" t="inlineStr">
        <is>
          <t>Engenco Ltd</t>
        </is>
      </c>
      <c r="J1106" t="inlineStr">
        <is>
          <t>AUD</t>
        </is>
      </c>
      <c r="K1106" s="5" t="inlineStr">
        <is>
          <t>01a152b9-6ee2-7577-bddd-382bc3853fde</t>
        </is>
      </c>
      <c r="M1106" t="inlineStr">
        <is>
          <t>UNKNOWN</t>
        </is>
      </c>
      <c r="N1106" t="inlineStr">
        <is>
          <t>DEFAULT</t>
        </is>
      </c>
      <c r="Q1106" t="n">
        <v>0</v>
      </c>
      <c r="R1106" t="inlineStr">
        <is>
          <t>AUD</t>
        </is>
      </c>
      <c r="S1106" t="n">
        <v>0</v>
      </c>
      <c r="T1106" t="inlineStr">
        <is>
          <t>AUD</t>
        </is>
      </c>
      <c r="U1106" t="n">
        <v>0</v>
      </c>
    </row>
    <row r="1107">
      <c r="A1107" s="5" t="inlineStr">
        <is>
          <t>01a152b9-8114-731e-9440-b41a11ae1825</t>
        </is>
      </c>
      <c r="C1107" s="5" t="inlineStr">
        <is>
          <t>01a152b9-6e67-75da-8adb-b03e5d07fd21</t>
        </is>
      </c>
      <c r="D1107" s="4" t="n">
        <v>46314.24596467966</v>
      </c>
      <c r="E1107" s="4" t="n">
        <v>46314.24596467977</v>
      </c>
      <c r="F1107" t="b">
        <v>1</v>
      </c>
      <c r="G1107" t="n">
        <v/>
      </c>
      <c r="H1107" t="inlineStr">
        <is>
          <t>SEG</t>
        </is>
      </c>
      <c r="I1107" t="inlineStr">
        <is>
          <t>Sports Entertainment Group Ltd</t>
        </is>
      </c>
      <c r="J1107" t="inlineStr">
        <is>
          <t>AUD</t>
        </is>
      </c>
      <c r="K1107" s="5" t="inlineStr">
        <is>
          <t>01a152b9-6ee2-7577-bddd-382bc3853fde</t>
        </is>
      </c>
      <c r="M1107" t="inlineStr">
        <is>
          <t>UNKNOWN</t>
        </is>
      </c>
      <c r="N1107" t="inlineStr">
        <is>
          <t>DEFAULT</t>
        </is>
      </c>
      <c r="Q1107" t="n">
        <v>0</v>
      </c>
      <c r="R1107" t="inlineStr">
        <is>
          <t>AUD</t>
        </is>
      </c>
      <c r="S1107" t="n">
        <v>0</v>
      </c>
      <c r="T1107" t="inlineStr">
        <is>
          <t>AUD</t>
        </is>
      </c>
      <c r="U1107" t="n">
        <v>0</v>
      </c>
    </row>
    <row r="1108">
      <c r="A1108" s="5" t="inlineStr">
        <is>
          <t>01a152b9-8117-7797-aa94-e6435b99a0f7</t>
        </is>
      </c>
      <c r="C1108" s="5" t="inlineStr">
        <is>
          <t>01a152b9-6e67-75da-8adb-b03e5d07fd21</t>
        </is>
      </c>
      <c r="D1108" s="4" t="n">
        <v>46314.24596471523</v>
      </c>
      <c r="E1108" s="4" t="n">
        <v>46314.24596471532</v>
      </c>
      <c r="F1108" t="b">
        <v>1</v>
      </c>
      <c r="G1108" t="n">
        <v/>
      </c>
      <c r="H1108" t="inlineStr">
        <is>
          <t>HAS</t>
        </is>
      </c>
      <c r="I1108" t="inlineStr">
        <is>
          <t>Hastings Technology Metals Ltd</t>
        </is>
      </c>
      <c r="J1108" t="inlineStr">
        <is>
          <t>AUD</t>
        </is>
      </c>
      <c r="K1108" s="5" t="inlineStr">
        <is>
          <t>01a152b9-6ee2-7577-bddd-382bc3853fde</t>
        </is>
      </c>
      <c r="M1108" t="inlineStr">
        <is>
          <t>UNKNOWN</t>
        </is>
      </c>
      <c r="N1108" t="inlineStr">
        <is>
          <t>DEFAULT</t>
        </is>
      </c>
      <c r="Q1108" t="n">
        <v>0</v>
      </c>
      <c r="R1108" t="inlineStr">
        <is>
          <t>AUD</t>
        </is>
      </c>
      <c r="S1108" t="n">
        <v>0</v>
      </c>
      <c r="T1108" t="inlineStr">
        <is>
          <t>AUD</t>
        </is>
      </c>
      <c r="U1108" t="n">
        <v>0</v>
      </c>
    </row>
    <row r="1109">
      <c r="A1109" s="5" t="inlineStr">
        <is>
          <t>01a152b9-811a-7195-95d9-b5ea0d65a9d7</t>
        </is>
      </c>
      <c r="C1109" s="5" t="inlineStr">
        <is>
          <t>01a152b9-6e67-75da-8adb-b03e5d07fd21</t>
        </is>
      </c>
      <c r="D1109" s="4" t="n">
        <v>46314.24596475188</v>
      </c>
      <c r="E1109" s="4" t="n">
        <v>46314.24596475198</v>
      </c>
      <c r="F1109" t="b">
        <v>1</v>
      </c>
      <c r="G1109" t="n">
        <v/>
      </c>
      <c r="H1109" t="inlineStr">
        <is>
          <t>BGD</t>
        </is>
      </c>
      <c r="I1109" t="inlineStr">
        <is>
          <t>Barton Gold Holdings Ltd</t>
        </is>
      </c>
      <c r="J1109" t="inlineStr">
        <is>
          <t>AUD</t>
        </is>
      </c>
      <c r="K1109" s="5" t="inlineStr">
        <is>
          <t>01a152b9-6ee2-7577-bddd-382bc3853fde</t>
        </is>
      </c>
      <c r="M1109" t="inlineStr">
        <is>
          <t>UNKNOWN</t>
        </is>
      </c>
      <c r="N1109" t="inlineStr">
        <is>
          <t>DEFAULT</t>
        </is>
      </c>
      <c r="Q1109" t="n">
        <v>0</v>
      </c>
      <c r="R1109" t="inlineStr">
        <is>
          <t>AUD</t>
        </is>
      </c>
      <c r="S1109" t="n">
        <v>0</v>
      </c>
      <c r="T1109" t="inlineStr">
        <is>
          <t>AUD</t>
        </is>
      </c>
      <c r="U1109" t="n">
        <v>0</v>
      </c>
    </row>
    <row r="1110">
      <c r="A1110" s="5" t="inlineStr">
        <is>
          <t>01a152b9-811d-72d3-921f-57ec2e405622</t>
        </is>
      </c>
      <c r="C1110" s="5" t="inlineStr">
        <is>
          <t>01a152b9-6e67-75da-8adb-b03e5d07fd21</t>
        </is>
      </c>
      <c r="D1110" s="4" t="n">
        <v>46314.24596478807</v>
      </c>
      <c r="E1110" s="4" t="n">
        <v>46314.24596478816</v>
      </c>
      <c r="F1110" t="b">
        <v>1</v>
      </c>
      <c r="G1110" t="n">
        <v/>
      </c>
      <c r="H1110" t="inlineStr">
        <is>
          <t>88E</t>
        </is>
      </c>
      <c r="I1110" t="inlineStr">
        <is>
          <t>88 Energy Ltd</t>
        </is>
      </c>
      <c r="J1110" t="inlineStr">
        <is>
          <t>AUD</t>
        </is>
      </c>
      <c r="K1110" s="5" t="inlineStr">
        <is>
          <t>01a152b9-6ee2-7577-bddd-382bc3853fde</t>
        </is>
      </c>
      <c r="M1110" t="inlineStr">
        <is>
          <t>UNKNOWN</t>
        </is>
      </c>
      <c r="N1110" t="inlineStr">
        <is>
          <t>DEFAULT</t>
        </is>
      </c>
      <c r="Q1110" t="n">
        <v>0</v>
      </c>
      <c r="R1110" t="inlineStr">
        <is>
          <t>AUD</t>
        </is>
      </c>
      <c r="S1110" t="n">
        <v>0</v>
      </c>
      <c r="T1110" t="inlineStr">
        <is>
          <t>AUD</t>
        </is>
      </c>
      <c r="U1110" t="n">
        <v>0</v>
      </c>
    </row>
    <row r="1111">
      <c r="A1111" s="5" t="inlineStr">
        <is>
          <t>01a152b9-8120-77ce-a0bc-22ea551a616f</t>
        </is>
      </c>
      <c r="C1111" s="5" t="inlineStr">
        <is>
          <t>01a152b9-6e67-75da-8adb-b03e5d07fd21</t>
        </is>
      </c>
      <c r="D1111" s="4" t="n">
        <v>46314.2459648272</v>
      </c>
      <c r="E1111" s="4" t="n">
        <v>46314.24596482729</v>
      </c>
      <c r="F1111" t="b">
        <v>1</v>
      </c>
      <c r="G1111" t="n">
        <v/>
      </c>
      <c r="H1111" t="inlineStr">
        <is>
          <t>CMP</t>
        </is>
      </c>
      <c r="I1111" t="inlineStr">
        <is>
          <t>Compumedics Ltd</t>
        </is>
      </c>
      <c r="J1111" t="inlineStr">
        <is>
          <t>AUD</t>
        </is>
      </c>
      <c r="K1111" s="5" t="inlineStr">
        <is>
          <t>01a152b9-6ee2-7577-bddd-382bc3853fde</t>
        </is>
      </c>
      <c r="M1111" t="inlineStr">
        <is>
          <t>UNKNOWN</t>
        </is>
      </c>
      <c r="N1111" t="inlineStr">
        <is>
          <t>DEFAULT</t>
        </is>
      </c>
      <c r="Q1111" t="n">
        <v>0</v>
      </c>
      <c r="R1111" t="inlineStr">
        <is>
          <t>AUD</t>
        </is>
      </c>
      <c r="S1111" t="n">
        <v>0</v>
      </c>
      <c r="T1111" t="inlineStr">
        <is>
          <t>AUD</t>
        </is>
      </c>
      <c r="U1111" t="n">
        <v>0</v>
      </c>
    </row>
    <row r="1112">
      <c r="A1112" s="5" t="inlineStr">
        <is>
          <t>01a152b9-8124-753b-99a2-7db50d8149df</t>
        </is>
      </c>
      <c r="C1112" s="5" t="inlineStr">
        <is>
          <t>01a152b9-6e67-75da-8adb-b03e5d07fd21</t>
        </is>
      </c>
      <c r="D1112" s="4" t="n">
        <v>46314.24596486879</v>
      </c>
      <c r="E1112" s="4" t="n">
        <v>46314.24596486887</v>
      </c>
      <c r="F1112" t="b">
        <v>1</v>
      </c>
      <c r="G1112" t="n">
        <v/>
      </c>
      <c r="H1112" t="inlineStr">
        <is>
          <t>VTX</t>
        </is>
      </c>
      <c r="I1112" t="inlineStr">
        <is>
          <t>Vertex Minerals Ltd</t>
        </is>
      </c>
      <c r="J1112" t="inlineStr">
        <is>
          <t>AUD</t>
        </is>
      </c>
      <c r="K1112" s="5" t="inlineStr">
        <is>
          <t>01a152b9-6ee2-7577-bddd-382bc3853fde</t>
        </is>
      </c>
      <c r="M1112" t="inlineStr">
        <is>
          <t>UNKNOWN</t>
        </is>
      </c>
      <c r="N1112" t="inlineStr">
        <is>
          <t>DEFAULT</t>
        </is>
      </c>
      <c r="Q1112" t="n">
        <v>0</v>
      </c>
      <c r="R1112" t="inlineStr">
        <is>
          <t>AUD</t>
        </is>
      </c>
      <c r="S1112" t="n">
        <v>0</v>
      </c>
      <c r="T1112" t="inlineStr">
        <is>
          <t>AUD</t>
        </is>
      </c>
      <c r="U1112" t="n">
        <v>0</v>
      </c>
    </row>
    <row r="1113">
      <c r="A1113" s="5" t="inlineStr">
        <is>
          <t>01a152b9-8127-71be-9ab0-c42a4b368389</t>
        </is>
      </c>
      <c r="C1113" s="5" t="inlineStr">
        <is>
          <t>01a152b9-6e67-75da-8adb-b03e5d07fd21</t>
        </is>
      </c>
      <c r="D1113" s="4" t="n">
        <v>46314.24596490645</v>
      </c>
      <c r="E1113" s="4" t="n">
        <v>46314.24596490655</v>
      </c>
      <c r="F1113" t="b">
        <v>1</v>
      </c>
      <c r="G1113" t="n">
        <v/>
      </c>
      <c r="H1113" t="inlineStr">
        <is>
          <t>CLNE</t>
        </is>
      </c>
      <c r="I1113" t="inlineStr">
        <is>
          <t>Vaneck Global Clean Energy ETF</t>
        </is>
      </c>
      <c r="J1113" t="inlineStr">
        <is>
          <t>AUD</t>
        </is>
      </c>
      <c r="K1113" s="5" t="inlineStr">
        <is>
          <t>01a152b9-6ee2-7577-bddd-382bc3853fde</t>
        </is>
      </c>
      <c r="M1113" t="inlineStr">
        <is>
          <t>UNKNOWN</t>
        </is>
      </c>
      <c r="N1113" t="inlineStr">
        <is>
          <t>DEFAULT</t>
        </is>
      </c>
      <c r="Q1113" t="n">
        <v>0</v>
      </c>
      <c r="R1113" t="inlineStr">
        <is>
          <t>AUD</t>
        </is>
      </c>
      <c r="S1113" t="n">
        <v>0</v>
      </c>
      <c r="T1113" t="inlineStr">
        <is>
          <t>AUD</t>
        </is>
      </c>
      <c r="U1113" t="n">
        <v>0</v>
      </c>
    </row>
    <row r="1114">
      <c r="A1114" s="5" t="inlineStr">
        <is>
          <t>01a152b9-812a-77eb-b7a4-23210edcb7e3</t>
        </is>
      </c>
      <c r="C1114" s="5" t="inlineStr">
        <is>
          <t>01a152b9-6e67-75da-8adb-b03e5d07fd21</t>
        </is>
      </c>
      <c r="D1114" s="4" t="n">
        <v>46314.24596494144</v>
      </c>
      <c r="E1114" s="4" t="n">
        <v>46314.24596494153</v>
      </c>
      <c r="F1114" t="b">
        <v>1</v>
      </c>
      <c r="G1114" t="n">
        <v/>
      </c>
      <c r="H1114" t="inlineStr">
        <is>
          <t>5GOV</t>
        </is>
      </c>
      <c r="I1114" t="inlineStr">
        <is>
          <t>Vaneck 5-10 Year Australian Government Bond ETF</t>
        </is>
      </c>
      <c r="J1114" t="inlineStr">
        <is>
          <t>AUD</t>
        </is>
      </c>
      <c r="K1114" s="5" t="inlineStr">
        <is>
          <t>01a152b9-6ee2-7577-bddd-382bc3853fde</t>
        </is>
      </c>
      <c r="M1114" t="inlineStr">
        <is>
          <t>UNKNOWN</t>
        </is>
      </c>
      <c r="N1114" t="inlineStr">
        <is>
          <t>DEFAULT</t>
        </is>
      </c>
      <c r="Q1114" t="n">
        <v>0</v>
      </c>
      <c r="R1114" t="inlineStr">
        <is>
          <t>AUD</t>
        </is>
      </c>
      <c r="S1114" t="n">
        <v>0</v>
      </c>
      <c r="T1114" t="inlineStr">
        <is>
          <t>AUD</t>
        </is>
      </c>
      <c r="U1114" t="n">
        <v>0</v>
      </c>
    </row>
    <row r="1115">
      <c r="A1115" s="5" t="inlineStr">
        <is>
          <t>01a152b9-812d-76ec-892d-14b8a78d20d0</t>
        </is>
      </c>
      <c r="C1115" s="5" t="inlineStr">
        <is>
          <t>01a152b9-6e67-75da-8adb-b03e5d07fd21</t>
        </is>
      </c>
      <c r="D1115" s="4" t="n">
        <v>46314.24596497704</v>
      </c>
      <c r="E1115" s="4" t="n">
        <v>46314.24596497716</v>
      </c>
      <c r="F1115" t="b">
        <v>1</v>
      </c>
      <c r="G1115" t="n">
        <v/>
      </c>
      <c r="H1115" t="inlineStr">
        <is>
          <t>OEL</t>
        </is>
      </c>
      <c r="I1115" t="inlineStr">
        <is>
          <t>Otto Energy Ltd</t>
        </is>
      </c>
      <c r="J1115" t="inlineStr">
        <is>
          <t>AUD</t>
        </is>
      </c>
      <c r="K1115" s="5" t="inlineStr">
        <is>
          <t>01a152b9-6ee2-7577-bddd-382bc3853fde</t>
        </is>
      </c>
      <c r="M1115" t="inlineStr">
        <is>
          <t>UNKNOWN</t>
        </is>
      </c>
      <c r="N1115" t="inlineStr">
        <is>
          <t>DEFAULT</t>
        </is>
      </c>
      <c r="Q1115" t="n">
        <v>0</v>
      </c>
      <c r="R1115" t="inlineStr">
        <is>
          <t>AUD</t>
        </is>
      </c>
      <c r="S1115" t="n">
        <v>0</v>
      </c>
      <c r="T1115" t="inlineStr">
        <is>
          <t>AUD</t>
        </is>
      </c>
      <c r="U1115" t="n">
        <v>0</v>
      </c>
    </row>
    <row r="1116">
      <c r="A1116" s="5" t="inlineStr">
        <is>
          <t>01a152b9-8131-701f-9237-4f38476dd89c</t>
        </is>
      </c>
      <c r="C1116" s="5" t="inlineStr">
        <is>
          <t>01a152b9-6e67-75da-8adb-b03e5d07fd21</t>
        </is>
      </c>
      <c r="D1116" s="4" t="n">
        <v>46314.24596501715</v>
      </c>
      <c r="E1116" s="4" t="n">
        <v>46314.24596501727</v>
      </c>
      <c r="F1116" t="b">
        <v>1</v>
      </c>
      <c r="G1116" t="n">
        <v/>
      </c>
      <c r="H1116" t="inlineStr">
        <is>
          <t>NSC</t>
        </is>
      </c>
      <c r="I1116" t="inlineStr">
        <is>
          <t>Naos Small Cap Opportunities Company Ltd</t>
        </is>
      </c>
      <c r="J1116" t="inlineStr">
        <is>
          <t>AUD</t>
        </is>
      </c>
      <c r="K1116" s="5" t="inlineStr">
        <is>
          <t>01a152b9-6ee2-7577-bddd-382bc3853fde</t>
        </is>
      </c>
      <c r="M1116" t="inlineStr">
        <is>
          <t>UNKNOWN</t>
        </is>
      </c>
      <c r="N1116" t="inlineStr">
        <is>
          <t>DEFAULT</t>
        </is>
      </c>
      <c r="Q1116" t="n">
        <v>0</v>
      </c>
      <c r="R1116" t="inlineStr">
        <is>
          <t>AUD</t>
        </is>
      </c>
      <c r="S1116" t="n">
        <v>0</v>
      </c>
      <c r="T1116" t="inlineStr">
        <is>
          <t>AUD</t>
        </is>
      </c>
      <c r="U1116" t="n">
        <v>0</v>
      </c>
    </row>
    <row r="1117">
      <c r="A1117" s="5" t="inlineStr">
        <is>
          <t>01a152b9-8134-7195-864a-0f0c567b295b</t>
        </is>
      </c>
      <c r="C1117" s="5" t="inlineStr">
        <is>
          <t>01a152b9-6e67-75da-8adb-b03e5d07fd21</t>
        </is>
      </c>
      <c r="D1117" s="4" t="n">
        <v>46314.2459650578</v>
      </c>
      <c r="E1117" s="4" t="n">
        <v>46314.2459650579</v>
      </c>
      <c r="F1117" t="b">
        <v>1</v>
      </c>
      <c r="G1117" t="n">
        <v/>
      </c>
      <c r="H1117" t="inlineStr">
        <is>
          <t>E25</t>
        </is>
      </c>
      <c r="I1117" t="inlineStr">
        <is>
          <t>Element 25 Ltd</t>
        </is>
      </c>
      <c r="J1117" t="inlineStr">
        <is>
          <t>AUD</t>
        </is>
      </c>
      <c r="K1117" s="5" t="inlineStr">
        <is>
          <t>01a152b9-6ee2-7577-bddd-382bc3853fde</t>
        </is>
      </c>
      <c r="M1117" t="inlineStr">
        <is>
          <t>UNKNOWN</t>
        </is>
      </c>
      <c r="N1117" t="inlineStr">
        <is>
          <t>DEFAULT</t>
        </is>
      </c>
      <c r="Q1117" t="n">
        <v>0</v>
      </c>
      <c r="R1117" t="inlineStr">
        <is>
          <t>AUD</t>
        </is>
      </c>
      <c r="S1117" t="n">
        <v>0</v>
      </c>
      <c r="T1117" t="inlineStr">
        <is>
          <t>AUD</t>
        </is>
      </c>
      <c r="U1117" t="n">
        <v>0</v>
      </c>
    </row>
    <row r="1118">
      <c r="A1118" s="5" t="inlineStr">
        <is>
          <t>01a152b9-8138-75a8-bf6c-88487ae28a18</t>
        </is>
      </c>
      <c r="C1118" s="5" t="inlineStr">
        <is>
          <t>01a152b9-6e67-75da-8adb-b03e5d07fd21</t>
        </is>
      </c>
      <c r="D1118" s="4" t="n">
        <v>46314.2459650947</v>
      </c>
      <c r="E1118" s="4" t="n">
        <v>46314.24596509479</v>
      </c>
      <c r="F1118" t="b">
        <v>1</v>
      </c>
      <c r="G1118" t="n">
        <v/>
      </c>
      <c r="H1118" t="inlineStr">
        <is>
          <t>MCM</t>
        </is>
      </c>
      <c r="I1118" t="inlineStr">
        <is>
          <t>MC Mining Ltd</t>
        </is>
      </c>
      <c r="J1118" t="inlineStr">
        <is>
          <t>AUD</t>
        </is>
      </c>
      <c r="K1118" s="5" t="inlineStr">
        <is>
          <t>01a152b9-6ee2-7577-bddd-382bc3853fde</t>
        </is>
      </c>
      <c r="M1118" t="inlineStr">
        <is>
          <t>UNKNOWN</t>
        </is>
      </c>
      <c r="N1118" t="inlineStr">
        <is>
          <t>DEFAULT</t>
        </is>
      </c>
      <c r="Q1118" t="n">
        <v>0</v>
      </c>
      <c r="R1118" t="inlineStr">
        <is>
          <t>AUD</t>
        </is>
      </c>
      <c r="S1118" t="n">
        <v>0</v>
      </c>
      <c r="T1118" t="inlineStr">
        <is>
          <t>AUD</t>
        </is>
      </c>
      <c r="U1118" t="n">
        <v>0</v>
      </c>
    </row>
    <row r="1119">
      <c r="A1119" s="5" t="inlineStr">
        <is>
          <t>01a152b9-813b-71c1-8a90-0f1b5c562590</t>
        </is>
      </c>
      <c r="C1119" s="5" t="inlineStr">
        <is>
          <t>01a152b9-6e67-75da-8adb-b03e5d07fd21</t>
        </is>
      </c>
      <c r="D1119" s="4" t="n">
        <v>46314.24596512986</v>
      </c>
      <c r="E1119" s="4" t="n">
        <v>46314.24596512995</v>
      </c>
      <c r="F1119" t="b">
        <v>1</v>
      </c>
      <c r="G1119" t="n">
        <v/>
      </c>
      <c r="H1119" t="inlineStr">
        <is>
          <t>GROW</t>
        </is>
      </c>
      <c r="I1119" t="inlineStr">
        <is>
          <t>Schroder Real Return Active ETF</t>
        </is>
      </c>
      <c r="J1119" t="inlineStr">
        <is>
          <t>AUD</t>
        </is>
      </c>
      <c r="K1119" s="5" t="inlineStr">
        <is>
          <t>01a152b9-6ee2-7577-bddd-382bc3853fde</t>
        </is>
      </c>
      <c r="M1119" t="inlineStr">
        <is>
          <t>UNKNOWN</t>
        </is>
      </c>
      <c r="N1119" t="inlineStr">
        <is>
          <t>DEFAULT</t>
        </is>
      </c>
      <c r="Q1119" t="n">
        <v>0</v>
      </c>
      <c r="R1119" t="inlineStr">
        <is>
          <t>AUD</t>
        </is>
      </c>
      <c r="S1119" t="n">
        <v>0</v>
      </c>
      <c r="T1119" t="inlineStr">
        <is>
          <t>AUD</t>
        </is>
      </c>
      <c r="U1119" t="n">
        <v>0</v>
      </c>
    </row>
    <row r="1120">
      <c r="A1120" s="5" t="inlineStr">
        <is>
          <t>01a152b9-813e-736e-b04a-35adbe7a2438</t>
        </is>
      </c>
      <c r="C1120" s="5" t="inlineStr">
        <is>
          <t>01a152b9-6e67-75da-8adb-b03e5d07fd21</t>
        </is>
      </c>
      <c r="D1120" s="4" t="n">
        <v>46314.24596516631</v>
      </c>
      <c r="E1120" s="4" t="n">
        <v>46314.2459651664</v>
      </c>
      <c r="F1120" t="b">
        <v>1</v>
      </c>
      <c r="G1120" t="n">
        <v/>
      </c>
      <c r="H1120" t="inlineStr">
        <is>
          <t>AHL</t>
        </is>
      </c>
      <c r="I1120" t="inlineStr">
        <is>
          <t>Adrad Holdings Ltd</t>
        </is>
      </c>
      <c r="J1120" t="inlineStr">
        <is>
          <t>AUD</t>
        </is>
      </c>
      <c r="K1120" s="5" t="inlineStr">
        <is>
          <t>01a152b9-6ee2-7577-bddd-382bc3853fde</t>
        </is>
      </c>
      <c r="M1120" t="inlineStr">
        <is>
          <t>UNKNOWN</t>
        </is>
      </c>
      <c r="N1120" t="inlineStr">
        <is>
          <t>DEFAULT</t>
        </is>
      </c>
      <c r="Q1120" t="n">
        <v>0</v>
      </c>
      <c r="R1120" t="inlineStr">
        <is>
          <t>AUD</t>
        </is>
      </c>
      <c r="S1120" t="n">
        <v>0</v>
      </c>
      <c r="T1120" t="inlineStr">
        <is>
          <t>AUD</t>
        </is>
      </c>
      <c r="U1120" t="n">
        <v>0</v>
      </c>
    </row>
    <row r="1121">
      <c r="A1121" s="5" t="inlineStr">
        <is>
          <t>01a152b9-8141-711a-b996-90686d632b20</t>
        </is>
      </c>
      <c r="C1121" s="5" t="inlineStr">
        <is>
          <t>01a152b9-6e67-75da-8adb-b03e5d07fd21</t>
        </is>
      </c>
      <c r="D1121" s="4" t="n">
        <v>46314.2459652067</v>
      </c>
      <c r="E1121" s="4" t="n">
        <v>46314.24596520681</v>
      </c>
      <c r="F1121" t="b">
        <v>1</v>
      </c>
      <c r="G1121" t="n">
        <v/>
      </c>
      <c r="H1121" t="inlineStr">
        <is>
          <t>U100</t>
        </is>
      </c>
      <c r="I1121" t="inlineStr">
        <is>
          <t>Global X US 100 ETF</t>
        </is>
      </c>
      <c r="J1121" t="inlineStr">
        <is>
          <t>AUD</t>
        </is>
      </c>
      <c r="K1121" s="5" t="inlineStr">
        <is>
          <t>01a152b9-6ee2-7577-bddd-382bc3853fde</t>
        </is>
      </c>
      <c r="M1121" t="inlineStr">
        <is>
          <t>UNKNOWN</t>
        </is>
      </c>
      <c r="N1121" t="inlineStr">
        <is>
          <t>DEFAULT</t>
        </is>
      </c>
      <c r="Q1121" t="n">
        <v>0</v>
      </c>
      <c r="R1121" t="inlineStr">
        <is>
          <t>AUD</t>
        </is>
      </c>
      <c r="S1121" t="n">
        <v>0</v>
      </c>
      <c r="T1121" t="inlineStr">
        <is>
          <t>AUD</t>
        </is>
      </c>
      <c r="U1121" t="n">
        <v>0</v>
      </c>
    </row>
    <row r="1122">
      <c r="A1122" s="5" t="inlineStr">
        <is>
          <t>01a152b9-8145-77be-817f-4ef2b577d4ec</t>
        </is>
      </c>
      <c r="C1122" s="5" t="inlineStr">
        <is>
          <t>01a152b9-6e67-75da-8adb-b03e5d07fd21</t>
        </is>
      </c>
      <c r="D1122" s="4" t="n">
        <v>46314.24596524885</v>
      </c>
      <c r="E1122" s="4" t="n">
        <v>46314.24596524896</v>
      </c>
      <c r="F1122" t="b">
        <v>1</v>
      </c>
      <c r="G1122" t="n">
        <v/>
      </c>
      <c r="H1122" t="inlineStr">
        <is>
          <t>PEK</t>
        </is>
      </c>
      <c r="I1122" t="inlineStr">
        <is>
          <t>Peak Rare EARTHS Ltd</t>
        </is>
      </c>
      <c r="J1122" t="inlineStr">
        <is>
          <t>AUD</t>
        </is>
      </c>
      <c r="K1122" s="5" t="inlineStr">
        <is>
          <t>01a152b9-6ee2-7577-bddd-382bc3853fde</t>
        </is>
      </c>
      <c r="M1122" t="inlineStr">
        <is>
          <t>UNKNOWN</t>
        </is>
      </c>
      <c r="N1122" t="inlineStr">
        <is>
          <t>DEFAULT</t>
        </is>
      </c>
      <c r="Q1122" t="n">
        <v>0</v>
      </c>
      <c r="R1122" t="inlineStr">
        <is>
          <t>AUD</t>
        </is>
      </c>
      <c r="S1122" t="n">
        <v>0</v>
      </c>
      <c r="T1122" t="inlineStr">
        <is>
          <t>AUD</t>
        </is>
      </c>
      <c r="U1122" t="n">
        <v>0</v>
      </c>
    </row>
    <row r="1123">
      <c r="A1123" s="5" t="inlineStr">
        <is>
          <t>01a152b9-8148-7272-a272-948afddd2682</t>
        </is>
      </c>
      <c r="C1123" s="5" t="inlineStr">
        <is>
          <t>01a152b9-6e67-75da-8adb-b03e5d07fd21</t>
        </is>
      </c>
      <c r="D1123" s="4" t="n">
        <v>46314.24596528707</v>
      </c>
      <c r="E1123" s="4" t="n">
        <v>46314.2459652872</v>
      </c>
      <c r="F1123" t="b">
        <v>1</v>
      </c>
      <c r="G1123" t="n">
        <v/>
      </c>
      <c r="H1123" t="inlineStr">
        <is>
          <t>EXR</t>
        </is>
      </c>
      <c r="I1123" t="inlineStr">
        <is>
          <t>Elixir Energy Ltd</t>
        </is>
      </c>
      <c r="J1123" t="inlineStr">
        <is>
          <t>AUD</t>
        </is>
      </c>
      <c r="K1123" s="5" t="inlineStr">
        <is>
          <t>01a152b9-6ee2-7577-bddd-382bc3853fde</t>
        </is>
      </c>
      <c r="M1123" t="inlineStr">
        <is>
          <t>UNKNOWN</t>
        </is>
      </c>
      <c r="N1123" t="inlineStr">
        <is>
          <t>DEFAULT</t>
        </is>
      </c>
      <c r="Q1123" t="n">
        <v>0</v>
      </c>
      <c r="R1123" t="inlineStr">
        <is>
          <t>AUD</t>
        </is>
      </c>
      <c r="S1123" t="n">
        <v>0</v>
      </c>
      <c r="T1123" t="inlineStr">
        <is>
          <t>AUD</t>
        </is>
      </c>
      <c r="U1123" t="n">
        <v>0</v>
      </c>
    </row>
    <row r="1124">
      <c r="A1124" s="5" t="inlineStr">
        <is>
          <t>01a152b9-814c-7283-93df-c94d3274fd1c</t>
        </is>
      </c>
      <c r="C1124" s="5" t="inlineStr">
        <is>
          <t>01a152b9-6e67-75da-8adb-b03e5d07fd21</t>
        </is>
      </c>
      <c r="D1124" s="4" t="n">
        <v>46314.24596533058</v>
      </c>
      <c r="E1124" s="4" t="n">
        <v>46314.24596533068</v>
      </c>
      <c r="F1124" t="b">
        <v>1</v>
      </c>
      <c r="G1124" t="n">
        <v/>
      </c>
      <c r="H1124" t="inlineStr">
        <is>
          <t>TIP</t>
        </is>
      </c>
      <c r="I1124" t="inlineStr">
        <is>
          <t>Teaminvest Private Group Ltd</t>
        </is>
      </c>
      <c r="J1124" t="inlineStr">
        <is>
          <t>AUD</t>
        </is>
      </c>
      <c r="K1124" s="5" t="inlineStr">
        <is>
          <t>01a152b9-6ee2-7577-bddd-382bc3853fde</t>
        </is>
      </c>
      <c r="M1124" t="inlineStr">
        <is>
          <t>UNKNOWN</t>
        </is>
      </c>
      <c r="N1124" t="inlineStr">
        <is>
          <t>DEFAULT</t>
        </is>
      </c>
      <c r="Q1124" t="n">
        <v>0</v>
      </c>
      <c r="R1124" t="inlineStr">
        <is>
          <t>AUD</t>
        </is>
      </c>
      <c r="S1124" t="n">
        <v>0</v>
      </c>
      <c r="T1124" t="inlineStr">
        <is>
          <t>AUD</t>
        </is>
      </c>
      <c r="U1124" t="n">
        <v>0</v>
      </c>
    </row>
    <row r="1125">
      <c r="A1125" s="5" t="inlineStr">
        <is>
          <t>01a152b9-814f-7092-888a-ae731ce1eefa</t>
        </is>
      </c>
      <c r="C1125" s="5" t="inlineStr">
        <is>
          <t>01a152b9-6e67-75da-8adb-b03e5d07fd21</t>
        </is>
      </c>
      <c r="D1125" s="4" t="n">
        <v>46314.24596537206</v>
      </c>
      <c r="E1125" s="4" t="n">
        <v>46314.24596537217</v>
      </c>
      <c r="F1125" t="b">
        <v>1</v>
      </c>
      <c r="G1125" t="n">
        <v/>
      </c>
      <c r="H1125" t="inlineStr">
        <is>
          <t>ELS</t>
        </is>
      </c>
      <c r="I1125" t="inlineStr">
        <is>
          <t>Elsight Ltd</t>
        </is>
      </c>
      <c r="J1125" t="inlineStr">
        <is>
          <t>AUD</t>
        </is>
      </c>
      <c r="K1125" s="5" t="inlineStr">
        <is>
          <t>01a152b9-6ee2-7577-bddd-382bc3853fde</t>
        </is>
      </c>
      <c r="M1125" t="inlineStr">
        <is>
          <t>UNKNOWN</t>
        </is>
      </c>
      <c r="N1125" t="inlineStr">
        <is>
          <t>DEFAULT</t>
        </is>
      </c>
      <c r="Q1125" t="n">
        <v>0</v>
      </c>
      <c r="R1125" t="inlineStr">
        <is>
          <t>AUD</t>
        </is>
      </c>
      <c r="S1125" t="n">
        <v>0</v>
      </c>
      <c r="T1125" t="inlineStr">
        <is>
          <t>AUD</t>
        </is>
      </c>
      <c r="U1125" t="n">
        <v>0</v>
      </c>
    </row>
    <row r="1126">
      <c r="A1126" s="5" t="inlineStr">
        <is>
          <t>01a152b9-8153-7719-82d2-25f31f7b0d83</t>
        </is>
      </c>
      <c r="C1126" s="5" t="inlineStr">
        <is>
          <t>01a152b9-6e67-75da-8adb-b03e5d07fd21</t>
        </is>
      </c>
      <c r="D1126" s="4" t="n">
        <v>46314.24596541185</v>
      </c>
      <c r="E1126" s="4" t="n">
        <v>46314.24596541197</v>
      </c>
      <c r="F1126" t="b">
        <v>1</v>
      </c>
      <c r="G1126" t="n">
        <v/>
      </c>
      <c r="H1126" t="inlineStr">
        <is>
          <t>RDG</t>
        </is>
      </c>
      <c r="I1126" t="inlineStr">
        <is>
          <t>Resource Development Group Ltd</t>
        </is>
      </c>
      <c r="J1126" t="inlineStr">
        <is>
          <t>AUD</t>
        </is>
      </c>
      <c r="K1126" s="5" t="inlineStr">
        <is>
          <t>01a152b9-6ee2-7577-bddd-382bc3853fde</t>
        </is>
      </c>
      <c r="M1126" t="inlineStr">
        <is>
          <t>UNKNOWN</t>
        </is>
      </c>
      <c r="N1126" t="inlineStr">
        <is>
          <t>DEFAULT</t>
        </is>
      </c>
      <c r="Q1126" t="n">
        <v>0</v>
      </c>
      <c r="R1126" t="inlineStr">
        <is>
          <t>AUD</t>
        </is>
      </c>
      <c r="S1126" t="n">
        <v>0</v>
      </c>
      <c r="T1126" t="inlineStr">
        <is>
          <t>AUD</t>
        </is>
      </c>
      <c r="U1126" t="n">
        <v>0</v>
      </c>
    </row>
    <row r="1127">
      <c r="A1127" s="5" t="inlineStr">
        <is>
          <t>01a152b9-8156-7402-aa12-5af79071ad87</t>
        </is>
      </c>
      <c r="C1127" s="5" t="inlineStr">
        <is>
          <t>01a152b9-6e67-75da-8adb-b03e5d07fd21</t>
        </is>
      </c>
      <c r="D1127" s="4" t="n">
        <v>46314.24596545217</v>
      </c>
      <c r="E1127" s="4" t="n">
        <v>46314.24596545227</v>
      </c>
      <c r="F1127" t="b">
        <v>1</v>
      </c>
      <c r="G1127" t="n">
        <v/>
      </c>
      <c r="H1127" t="inlineStr">
        <is>
          <t>IISV</t>
        </is>
      </c>
      <c r="I1127" t="inlineStr">
        <is>
          <t>Intell Investor Select Value SHR Fund - Active ETF</t>
        </is>
      </c>
      <c r="J1127" t="inlineStr">
        <is>
          <t>AUD</t>
        </is>
      </c>
      <c r="K1127" s="5" t="inlineStr">
        <is>
          <t>01a152b9-6ee2-7577-bddd-382bc3853fde</t>
        </is>
      </c>
      <c r="M1127" t="inlineStr">
        <is>
          <t>UNKNOWN</t>
        </is>
      </c>
      <c r="N1127" t="inlineStr">
        <is>
          <t>DEFAULT</t>
        </is>
      </c>
      <c r="Q1127" t="n">
        <v>0</v>
      </c>
      <c r="R1127" t="inlineStr">
        <is>
          <t>AUD</t>
        </is>
      </c>
      <c r="S1127" t="n">
        <v>0</v>
      </c>
      <c r="T1127" t="inlineStr">
        <is>
          <t>AUD</t>
        </is>
      </c>
      <c r="U1127" t="n">
        <v>0</v>
      </c>
    </row>
    <row r="1128">
      <c r="A1128" s="5" t="inlineStr">
        <is>
          <t>01a152b9-815a-72ac-944c-1f2552d2a10b</t>
        </is>
      </c>
      <c r="C1128" s="5" t="inlineStr">
        <is>
          <t>01a152b9-6e67-75da-8adb-b03e5d07fd21</t>
        </is>
      </c>
      <c r="D1128" s="4" t="n">
        <v>46314.24596548815</v>
      </c>
      <c r="E1128" s="4" t="n">
        <v>46314.24596548824</v>
      </c>
      <c r="F1128" t="b">
        <v>1</v>
      </c>
      <c r="G1128" t="n">
        <v/>
      </c>
      <c r="H1128" t="inlineStr">
        <is>
          <t>WRLD</t>
        </is>
      </c>
      <c r="I1128" t="inlineStr">
        <is>
          <t>Betashares Managed Risk Global Share Fund (Managed Fund)</t>
        </is>
      </c>
      <c r="J1128" t="inlineStr">
        <is>
          <t>AUD</t>
        </is>
      </c>
      <c r="K1128" s="5" t="inlineStr">
        <is>
          <t>01a152b9-6ee2-7577-bddd-382bc3853fde</t>
        </is>
      </c>
      <c r="M1128" t="inlineStr">
        <is>
          <t>UNKNOWN</t>
        </is>
      </c>
      <c r="N1128" t="inlineStr">
        <is>
          <t>DEFAULT</t>
        </is>
      </c>
      <c r="Q1128" t="n">
        <v>0</v>
      </c>
      <c r="R1128" t="inlineStr">
        <is>
          <t>AUD</t>
        </is>
      </c>
      <c r="S1128" t="n">
        <v>0</v>
      </c>
      <c r="T1128" t="inlineStr">
        <is>
          <t>AUD</t>
        </is>
      </c>
      <c r="U1128" t="n">
        <v>0</v>
      </c>
    </row>
    <row r="1129">
      <c r="A1129" s="5" t="inlineStr">
        <is>
          <t>01a152b9-815c-75e3-a80a-baa87d96252f</t>
        </is>
      </c>
      <c r="C1129" s="5" t="inlineStr">
        <is>
          <t>01a152b9-6e67-75da-8adb-b03e5d07fd21</t>
        </is>
      </c>
      <c r="D1129" s="4" t="n">
        <v>46314.24596552157</v>
      </c>
      <c r="E1129" s="4" t="n">
        <v>46314.24596552167</v>
      </c>
      <c r="F1129" t="b">
        <v>1</v>
      </c>
      <c r="G1129" t="n">
        <v/>
      </c>
      <c r="H1129" t="inlineStr">
        <is>
          <t>DBF</t>
        </is>
      </c>
      <c r="I1129" t="inlineStr">
        <is>
          <t>Duxton Farms Ltd</t>
        </is>
      </c>
      <c r="J1129" t="inlineStr">
        <is>
          <t>AUD</t>
        </is>
      </c>
      <c r="K1129" s="5" t="inlineStr">
        <is>
          <t>01a152b9-6ee2-7577-bddd-382bc3853fde</t>
        </is>
      </c>
      <c r="M1129" t="inlineStr">
        <is>
          <t>UNKNOWN</t>
        </is>
      </c>
      <c r="N1129" t="inlineStr">
        <is>
          <t>DEFAULT</t>
        </is>
      </c>
      <c r="Q1129" t="n">
        <v>0</v>
      </c>
      <c r="R1129" t="inlineStr">
        <is>
          <t>AUD</t>
        </is>
      </c>
      <c r="S1129" t="n">
        <v>0</v>
      </c>
      <c r="T1129" t="inlineStr">
        <is>
          <t>AUD</t>
        </is>
      </c>
      <c r="U1129" t="n">
        <v>0</v>
      </c>
    </row>
    <row r="1130">
      <c r="A1130" s="5" t="inlineStr">
        <is>
          <t>01a152b9-8160-73da-801f-4ea851e6cba2</t>
        </is>
      </c>
      <c r="C1130" s="5" t="inlineStr">
        <is>
          <t>01a152b9-6e67-75da-8adb-b03e5d07fd21</t>
        </is>
      </c>
      <c r="D1130" s="4" t="n">
        <v>46314.24596556085</v>
      </c>
      <c r="E1130" s="4" t="n">
        <v>46314.24596556095</v>
      </c>
      <c r="F1130" t="b">
        <v>1</v>
      </c>
      <c r="G1130" t="n">
        <v/>
      </c>
      <c r="H1130" t="inlineStr">
        <is>
          <t>PSC</t>
        </is>
      </c>
      <c r="I1130" t="inlineStr">
        <is>
          <t>Prospect Resources Ltd</t>
        </is>
      </c>
      <c r="J1130" t="inlineStr">
        <is>
          <t>AUD</t>
        </is>
      </c>
      <c r="K1130" s="5" t="inlineStr">
        <is>
          <t>01a152b9-6ee2-7577-bddd-382bc3853fde</t>
        </is>
      </c>
      <c r="M1130" t="inlineStr">
        <is>
          <t>UNKNOWN</t>
        </is>
      </c>
      <c r="N1130" t="inlineStr">
        <is>
          <t>DEFAULT</t>
        </is>
      </c>
      <c r="Q1130" t="n">
        <v>0</v>
      </c>
      <c r="R1130" t="inlineStr">
        <is>
          <t>AUD</t>
        </is>
      </c>
      <c r="S1130" t="n">
        <v>0</v>
      </c>
      <c r="T1130" t="inlineStr">
        <is>
          <t>AUD</t>
        </is>
      </c>
      <c r="U1130" t="n">
        <v>0</v>
      </c>
    </row>
    <row r="1131">
      <c r="A1131" s="5" t="inlineStr">
        <is>
          <t>01a152b9-8163-7766-b89e-72dda3758dbd</t>
        </is>
      </c>
      <c r="C1131" s="5" t="inlineStr">
        <is>
          <t>01a152b9-6e67-75da-8adb-b03e5d07fd21</t>
        </is>
      </c>
      <c r="D1131" s="4" t="n">
        <v>46314.24596559806</v>
      </c>
      <c r="E1131" s="4" t="n">
        <v>46314.24596559817</v>
      </c>
      <c r="F1131" t="b">
        <v>1</v>
      </c>
      <c r="G1131" t="n">
        <v/>
      </c>
      <c r="H1131" t="inlineStr">
        <is>
          <t>SWF</t>
        </is>
      </c>
      <c r="I1131" t="inlineStr">
        <is>
          <t>Selfwealth Ltd</t>
        </is>
      </c>
      <c r="J1131" t="inlineStr">
        <is>
          <t>AUD</t>
        </is>
      </c>
      <c r="K1131" s="5" t="inlineStr">
        <is>
          <t>01a152b9-6ee2-7577-bddd-382bc3853fde</t>
        </is>
      </c>
      <c r="M1131" t="inlineStr">
        <is>
          <t>UNKNOWN</t>
        </is>
      </c>
      <c r="N1131" t="inlineStr">
        <is>
          <t>DEFAULT</t>
        </is>
      </c>
      <c r="Q1131" t="n">
        <v>0</v>
      </c>
      <c r="R1131" t="inlineStr">
        <is>
          <t>AUD</t>
        </is>
      </c>
      <c r="S1131" t="n">
        <v>0</v>
      </c>
      <c r="T1131" t="inlineStr">
        <is>
          <t>AUD</t>
        </is>
      </c>
      <c r="U1131" t="n">
        <v>0</v>
      </c>
    </row>
    <row r="1132">
      <c r="A1132" s="5" t="inlineStr">
        <is>
          <t>01a152b9-8166-757d-a716-24018345ba15</t>
        </is>
      </c>
      <c r="C1132" s="5" t="inlineStr">
        <is>
          <t>01a152b9-6e67-75da-8adb-b03e5d07fd21</t>
        </is>
      </c>
      <c r="D1132" s="4" t="n">
        <v>46314.24596563483</v>
      </c>
      <c r="E1132" s="4" t="n">
        <v>46314.24596563492</v>
      </c>
      <c r="F1132" t="b">
        <v>1</v>
      </c>
      <c r="G1132" t="n">
        <v/>
      </c>
      <c r="H1132" t="inlineStr">
        <is>
          <t>MTH</t>
        </is>
      </c>
      <c r="I1132" t="inlineStr">
        <is>
          <t>Mithril Silver and Gold Ltd</t>
        </is>
      </c>
      <c r="J1132" t="inlineStr">
        <is>
          <t>AUD</t>
        </is>
      </c>
      <c r="K1132" s="5" t="inlineStr">
        <is>
          <t>01a152b9-6ee2-7577-bddd-382bc3853fde</t>
        </is>
      </c>
      <c r="M1132" t="inlineStr">
        <is>
          <t>UNKNOWN</t>
        </is>
      </c>
      <c r="N1132" t="inlineStr">
        <is>
          <t>DEFAULT</t>
        </is>
      </c>
      <c r="Q1132" t="n">
        <v>0</v>
      </c>
      <c r="R1132" t="inlineStr">
        <is>
          <t>AUD</t>
        </is>
      </c>
      <c r="S1132" t="n">
        <v>0</v>
      </c>
      <c r="T1132" t="inlineStr">
        <is>
          <t>AUD</t>
        </is>
      </c>
      <c r="U1132" t="n">
        <v>0</v>
      </c>
    </row>
    <row r="1133">
      <c r="A1133" s="5" t="inlineStr">
        <is>
          <t>01a152b9-816a-730b-bd26-3adb9ceca56d</t>
        </is>
      </c>
      <c r="C1133" s="5" t="inlineStr">
        <is>
          <t>01a152b9-6e67-75da-8adb-b03e5d07fd21</t>
        </is>
      </c>
      <c r="D1133" s="4" t="n">
        <v>46314.24596567878</v>
      </c>
      <c r="E1133" s="4" t="n">
        <v>46314.24596567891</v>
      </c>
      <c r="F1133" t="b">
        <v>1</v>
      </c>
      <c r="G1133" t="n">
        <v/>
      </c>
      <c r="H1133" t="inlineStr">
        <is>
          <t>E200</t>
        </is>
      </c>
      <c r="I1133" t="inlineStr">
        <is>
          <t>SPDR S&amp;P/ASX 200 Esg Fund</t>
        </is>
      </c>
      <c r="J1133" t="inlineStr">
        <is>
          <t>AUD</t>
        </is>
      </c>
      <c r="K1133" s="5" t="inlineStr">
        <is>
          <t>01a152b9-6ee2-7577-bddd-382bc3853fde</t>
        </is>
      </c>
      <c r="M1133" t="inlineStr">
        <is>
          <t>UNKNOWN</t>
        </is>
      </c>
      <c r="N1133" t="inlineStr">
        <is>
          <t>DEFAULT</t>
        </is>
      </c>
      <c r="Q1133" t="n">
        <v>0</v>
      </c>
      <c r="R1133" t="inlineStr">
        <is>
          <t>AUD</t>
        </is>
      </c>
      <c r="S1133" t="n">
        <v>0</v>
      </c>
      <c r="T1133" t="inlineStr">
        <is>
          <t>AUD</t>
        </is>
      </c>
      <c r="U1133" t="n">
        <v>0</v>
      </c>
    </row>
    <row r="1134">
      <c r="A1134" s="5" t="inlineStr">
        <is>
          <t>01a152b9-816d-7236-a8db-476a52a62629</t>
        </is>
      </c>
      <c r="C1134" s="5" t="inlineStr">
        <is>
          <t>01a152b9-6e67-75da-8adb-b03e5d07fd21</t>
        </is>
      </c>
      <c r="D1134" s="4" t="n">
        <v>46314.2459657189</v>
      </c>
      <c r="E1134" s="4" t="n">
        <v>46314.245965719</v>
      </c>
      <c r="F1134" t="b">
        <v>1</v>
      </c>
      <c r="G1134" t="n">
        <v/>
      </c>
      <c r="H1134" t="inlineStr">
        <is>
          <t>KGL</t>
        </is>
      </c>
      <c r="I1134" t="inlineStr">
        <is>
          <t>KGL Resources Ltd</t>
        </is>
      </c>
      <c r="J1134" t="inlineStr">
        <is>
          <t>AUD</t>
        </is>
      </c>
      <c r="K1134" s="5" t="inlineStr">
        <is>
          <t>01a152b9-6ee2-7577-bddd-382bc3853fde</t>
        </is>
      </c>
      <c r="M1134" t="inlineStr">
        <is>
          <t>UNKNOWN</t>
        </is>
      </c>
      <c r="N1134" t="inlineStr">
        <is>
          <t>DEFAULT</t>
        </is>
      </c>
      <c r="Q1134" t="n">
        <v>0</v>
      </c>
      <c r="R1134" t="inlineStr">
        <is>
          <t>AUD</t>
        </is>
      </c>
      <c r="S1134" t="n">
        <v>0</v>
      </c>
      <c r="T1134" t="inlineStr">
        <is>
          <t>AUD</t>
        </is>
      </c>
      <c r="U1134" t="n">
        <v>0</v>
      </c>
    </row>
    <row r="1135">
      <c r="A1135" s="5" t="inlineStr">
        <is>
          <t>01a152b9-8172-7534-a7db-8dbefc16e889</t>
        </is>
      </c>
      <c r="C1135" s="5" t="inlineStr">
        <is>
          <t>01a152b9-6e67-75da-8adb-b03e5d07fd21</t>
        </is>
      </c>
      <c r="D1135" s="4" t="n">
        <v>46314.24596576647</v>
      </c>
      <c r="E1135" s="4" t="n">
        <v>46314.24596576657</v>
      </c>
      <c r="F1135" t="b">
        <v>1</v>
      </c>
      <c r="G1135" t="n">
        <v/>
      </c>
      <c r="H1135" t="inlineStr">
        <is>
          <t>FAR</t>
        </is>
      </c>
      <c r="I1135" t="inlineStr">
        <is>
          <t>FAR Ltd</t>
        </is>
      </c>
      <c r="J1135" t="inlineStr">
        <is>
          <t>AUD</t>
        </is>
      </c>
      <c r="K1135" s="5" t="inlineStr">
        <is>
          <t>01a152b9-6ee2-7577-bddd-382bc3853fde</t>
        </is>
      </c>
      <c r="M1135" t="inlineStr">
        <is>
          <t>UNKNOWN</t>
        </is>
      </c>
      <c r="N1135" t="inlineStr">
        <is>
          <t>DEFAULT</t>
        </is>
      </c>
      <c r="Q1135" t="n">
        <v>0</v>
      </c>
      <c r="R1135" t="inlineStr">
        <is>
          <t>AUD</t>
        </is>
      </c>
      <c r="S1135" t="n">
        <v>0</v>
      </c>
      <c r="T1135" t="inlineStr">
        <is>
          <t>AUD</t>
        </is>
      </c>
      <c r="U1135" t="n">
        <v>0</v>
      </c>
    </row>
    <row r="1136">
      <c r="A1136" s="5" t="inlineStr">
        <is>
          <t>01a152b9-8175-71b0-88ac-58e8230336e8</t>
        </is>
      </c>
      <c r="C1136" s="5" t="inlineStr">
        <is>
          <t>01a152b9-6e67-75da-8adb-b03e5d07fd21</t>
        </is>
      </c>
      <c r="D1136" s="4" t="n">
        <v>46314.24596580787</v>
      </c>
      <c r="E1136" s="4" t="n">
        <v>46314.24596580798</v>
      </c>
      <c r="F1136" t="b">
        <v>1</v>
      </c>
      <c r="G1136" t="n">
        <v/>
      </c>
      <c r="H1136" t="inlineStr">
        <is>
          <t>FSI</t>
        </is>
      </c>
      <c r="I1136" t="inlineStr">
        <is>
          <t>Flagship Investments Ltd</t>
        </is>
      </c>
      <c r="J1136" t="inlineStr">
        <is>
          <t>AUD</t>
        </is>
      </c>
      <c r="K1136" s="5" t="inlineStr">
        <is>
          <t>01a152b9-6ee2-7577-bddd-382bc3853fde</t>
        </is>
      </c>
      <c r="M1136" t="inlineStr">
        <is>
          <t>UNKNOWN</t>
        </is>
      </c>
      <c r="N1136" t="inlineStr">
        <is>
          <t>DEFAULT</t>
        </is>
      </c>
      <c r="Q1136" t="n">
        <v>0</v>
      </c>
      <c r="R1136" t="inlineStr">
        <is>
          <t>AUD</t>
        </is>
      </c>
      <c r="S1136" t="n">
        <v>0</v>
      </c>
      <c r="T1136" t="inlineStr">
        <is>
          <t>AUD</t>
        </is>
      </c>
      <c r="U1136" t="n">
        <v>0</v>
      </c>
    </row>
    <row r="1137">
      <c r="A1137" s="5" t="inlineStr">
        <is>
          <t>01a152b9-8179-706d-86f6-1ee60d2f0708</t>
        </is>
      </c>
      <c r="C1137" s="5" t="inlineStr">
        <is>
          <t>01a152b9-6e67-75da-8adb-b03e5d07fd21</t>
        </is>
      </c>
      <c r="D1137" s="4" t="n">
        <v>46314.24596584959</v>
      </c>
      <c r="E1137" s="4" t="n">
        <v>46314.24596584973</v>
      </c>
      <c r="F1137" t="b">
        <v>1</v>
      </c>
      <c r="G1137" t="n">
        <v/>
      </c>
      <c r="H1137" t="inlineStr">
        <is>
          <t>GPEQ</t>
        </is>
      </c>
      <c r="I1137" t="inlineStr">
        <is>
          <t>Vaneck Global Listed Private Equity ETF</t>
        </is>
      </c>
      <c r="J1137" t="inlineStr">
        <is>
          <t>AUD</t>
        </is>
      </c>
      <c r="K1137" s="5" t="inlineStr">
        <is>
          <t>01a152b9-6ee2-7577-bddd-382bc3853fde</t>
        </is>
      </c>
      <c r="M1137" t="inlineStr">
        <is>
          <t>UNKNOWN</t>
        </is>
      </c>
      <c r="N1137" t="inlineStr">
        <is>
          <t>DEFAULT</t>
        </is>
      </c>
      <c r="Q1137" t="n">
        <v>0</v>
      </c>
      <c r="R1137" t="inlineStr">
        <is>
          <t>AUD</t>
        </is>
      </c>
      <c r="S1137" t="n">
        <v>0</v>
      </c>
      <c r="T1137" t="inlineStr">
        <is>
          <t>AUD</t>
        </is>
      </c>
      <c r="U1137" t="n">
        <v>0</v>
      </c>
    </row>
    <row r="1138">
      <c r="A1138" s="5" t="inlineStr">
        <is>
          <t>01a152b9-817d-74fb-ae35-b714387a99c6</t>
        </is>
      </c>
      <c r="C1138" s="5" t="inlineStr">
        <is>
          <t>01a152b9-6e67-75da-8adb-b03e5d07fd21</t>
        </is>
      </c>
      <c r="D1138" s="4" t="n">
        <v>46314.24596589718</v>
      </c>
      <c r="E1138" s="4" t="n">
        <v>46314.24596589732</v>
      </c>
      <c r="F1138" t="b">
        <v>1</v>
      </c>
      <c r="G1138" t="n">
        <v/>
      </c>
      <c r="H1138" t="inlineStr">
        <is>
          <t>AZL</t>
        </is>
      </c>
      <c r="I1138" t="inlineStr">
        <is>
          <t>Arizona Lithium Ltd</t>
        </is>
      </c>
      <c r="J1138" t="inlineStr">
        <is>
          <t>AUD</t>
        </is>
      </c>
      <c r="K1138" s="5" t="inlineStr">
        <is>
          <t>01a152b9-6ee2-7577-bddd-382bc3853fde</t>
        </is>
      </c>
      <c r="M1138" t="inlineStr">
        <is>
          <t>UNKNOWN</t>
        </is>
      </c>
      <c r="N1138" t="inlineStr">
        <is>
          <t>DEFAULT</t>
        </is>
      </c>
      <c r="Q1138" t="n">
        <v>0</v>
      </c>
      <c r="R1138" t="inlineStr">
        <is>
          <t>AUD</t>
        </is>
      </c>
      <c r="S1138" t="n">
        <v>0</v>
      </c>
      <c r="T1138" t="inlineStr">
        <is>
          <t>AUD</t>
        </is>
      </c>
      <c r="U1138" t="n">
        <v>0</v>
      </c>
    </row>
    <row r="1139">
      <c r="A1139" s="5" t="inlineStr">
        <is>
          <t>01a152b9-8181-72ca-a43f-47d163b44dd6</t>
        </is>
      </c>
      <c r="C1139" s="5" t="inlineStr">
        <is>
          <t>01a152b9-6e67-75da-8adb-b03e5d07fd21</t>
        </is>
      </c>
      <c r="D1139" s="4" t="n">
        <v>46314.24596594911</v>
      </c>
      <c r="E1139" s="4" t="n">
        <v>46314.24596594926</v>
      </c>
      <c r="F1139" t="b">
        <v>1</v>
      </c>
      <c r="G1139" t="n">
        <v/>
      </c>
      <c r="H1139" t="inlineStr">
        <is>
          <t>PFG</t>
        </is>
      </c>
      <c r="I1139" t="inlineStr">
        <is>
          <t>Prime Financial Group Ltd</t>
        </is>
      </c>
      <c r="J1139" t="inlineStr">
        <is>
          <t>AUD</t>
        </is>
      </c>
      <c r="K1139" s="5" t="inlineStr">
        <is>
          <t>01a152b9-6ee2-7577-bddd-382bc3853fde</t>
        </is>
      </c>
      <c r="M1139" t="inlineStr">
        <is>
          <t>UNKNOWN</t>
        </is>
      </c>
      <c r="N1139" t="inlineStr">
        <is>
          <t>DEFAULT</t>
        </is>
      </c>
      <c r="Q1139" t="n">
        <v>0</v>
      </c>
      <c r="R1139" t="inlineStr">
        <is>
          <t>AUD</t>
        </is>
      </c>
      <c r="S1139" t="n">
        <v>0</v>
      </c>
      <c r="T1139" t="inlineStr">
        <is>
          <t>AUD</t>
        </is>
      </c>
      <c r="U1139" t="n">
        <v>0</v>
      </c>
    </row>
    <row r="1140">
      <c r="A1140" s="5" t="inlineStr">
        <is>
          <t>01a152b9-8186-72a9-bb19-5d748f76ed83</t>
        </is>
      </c>
      <c r="C1140" s="5" t="inlineStr">
        <is>
          <t>01a152b9-6e67-75da-8adb-b03e5d07fd21</t>
        </is>
      </c>
      <c r="D1140" s="4" t="n">
        <v>46314.24596599901</v>
      </c>
      <c r="E1140" s="4" t="n">
        <v>46314.24596599917</v>
      </c>
      <c r="F1140" t="b">
        <v>1</v>
      </c>
      <c r="G1140" t="n">
        <v/>
      </c>
      <c r="H1140" t="inlineStr">
        <is>
          <t>BTXX</t>
        </is>
      </c>
      <c r="I1140" t="inlineStr">
        <is>
          <t>Digitalx Bitcoin ETF</t>
        </is>
      </c>
      <c r="J1140" t="inlineStr">
        <is>
          <t>AUD</t>
        </is>
      </c>
      <c r="K1140" s="5" t="inlineStr">
        <is>
          <t>01a152b9-6ee2-7577-bddd-382bc3853fde</t>
        </is>
      </c>
      <c r="M1140" t="inlineStr">
        <is>
          <t>UNKNOWN</t>
        </is>
      </c>
      <c r="N1140" t="inlineStr">
        <is>
          <t>DEFAULT</t>
        </is>
      </c>
      <c r="Q1140" t="n">
        <v>0</v>
      </c>
      <c r="R1140" t="inlineStr">
        <is>
          <t>AUD</t>
        </is>
      </c>
      <c r="S1140" t="n">
        <v>0</v>
      </c>
      <c r="T1140" t="inlineStr">
        <is>
          <t>AUD</t>
        </is>
      </c>
      <c r="U1140" t="n">
        <v>0</v>
      </c>
    </row>
    <row r="1141">
      <c r="A1141" s="5" t="inlineStr">
        <is>
          <t>01a152b9-818a-746d-805f-0146ef90481e</t>
        </is>
      </c>
      <c r="C1141" s="5" t="inlineStr">
        <is>
          <t>01a152b9-6e67-75da-8adb-b03e5d07fd21</t>
        </is>
      </c>
      <c r="D1141" s="4" t="n">
        <v>46314.24596604489</v>
      </c>
      <c r="E1141" s="4" t="n">
        <v>46314.24596604501</v>
      </c>
      <c r="F1141" t="b">
        <v>1</v>
      </c>
      <c r="G1141" t="n">
        <v/>
      </c>
      <c r="H1141" t="inlineStr">
        <is>
          <t>BOL</t>
        </is>
      </c>
      <c r="I1141" t="inlineStr">
        <is>
          <t>Boom Logistics Ltd</t>
        </is>
      </c>
      <c r="J1141" t="inlineStr">
        <is>
          <t>AUD</t>
        </is>
      </c>
      <c r="K1141" s="5" t="inlineStr">
        <is>
          <t>01a152b9-6ee2-7577-bddd-382bc3853fde</t>
        </is>
      </c>
      <c r="M1141" t="inlineStr">
        <is>
          <t>UNKNOWN</t>
        </is>
      </c>
      <c r="N1141" t="inlineStr">
        <is>
          <t>DEFAULT</t>
        </is>
      </c>
      <c r="Q1141" t="n">
        <v>0</v>
      </c>
      <c r="R1141" t="inlineStr">
        <is>
          <t>AUD</t>
        </is>
      </c>
      <c r="S1141" t="n">
        <v>0</v>
      </c>
      <c r="T1141" t="inlineStr">
        <is>
          <t>AUD</t>
        </is>
      </c>
      <c r="U1141" t="n">
        <v>0</v>
      </c>
    </row>
    <row r="1142">
      <c r="A1142" s="5" t="inlineStr">
        <is>
          <t>01a152b9-818e-727c-b878-26a8f75bed8c</t>
        </is>
      </c>
      <c r="C1142" s="5" t="inlineStr">
        <is>
          <t>01a152b9-6e67-75da-8adb-b03e5d07fd21</t>
        </is>
      </c>
      <c r="D1142" s="4" t="n">
        <v>46314.24596609456</v>
      </c>
      <c r="E1142" s="4" t="n">
        <v>46314.24596609468</v>
      </c>
      <c r="F1142" t="b">
        <v>1</v>
      </c>
      <c r="G1142" t="n">
        <v/>
      </c>
      <c r="H1142" t="inlineStr">
        <is>
          <t>LSGE</t>
        </is>
      </c>
      <c r="I1142" t="inlineStr">
        <is>
          <t>Loomis Sayles Global Equity Fund - Active ETF</t>
        </is>
      </c>
      <c r="J1142" t="inlineStr">
        <is>
          <t>AUD</t>
        </is>
      </c>
      <c r="K1142" s="5" t="inlineStr">
        <is>
          <t>01a152b9-6ee2-7577-bddd-382bc3853fde</t>
        </is>
      </c>
      <c r="M1142" t="inlineStr">
        <is>
          <t>UNKNOWN</t>
        </is>
      </c>
      <c r="N1142" t="inlineStr">
        <is>
          <t>DEFAULT</t>
        </is>
      </c>
      <c r="Q1142" t="n">
        <v>0</v>
      </c>
      <c r="R1142" t="inlineStr">
        <is>
          <t>AUD</t>
        </is>
      </c>
      <c r="S1142" t="n">
        <v>0</v>
      </c>
      <c r="T1142" t="inlineStr">
        <is>
          <t>AUD</t>
        </is>
      </c>
      <c r="U1142" t="n">
        <v>0</v>
      </c>
    </row>
    <row r="1143">
      <c r="A1143" s="5" t="inlineStr">
        <is>
          <t>01a152b9-8192-7273-99f9-09fc9a26fbe1</t>
        </is>
      </c>
      <c r="C1143" s="5" t="inlineStr">
        <is>
          <t>01a152b9-6e67-75da-8adb-b03e5d07fd21</t>
        </is>
      </c>
      <c r="D1143" s="4" t="n">
        <v>46314.24596614149</v>
      </c>
      <c r="E1143" s="4" t="n">
        <v>46314.24596614166</v>
      </c>
      <c r="F1143" t="b">
        <v>1</v>
      </c>
      <c r="G1143" t="n">
        <v/>
      </c>
      <c r="H1143" t="inlineStr">
        <is>
          <t>AQC</t>
        </is>
      </c>
      <c r="I1143" t="inlineStr">
        <is>
          <t>Australian Pacific Coal Ltd</t>
        </is>
      </c>
      <c r="J1143" t="inlineStr">
        <is>
          <t>AUD</t>
        </is>
      </c>
      <c r="K1143" s="5" t="inlineStr">
        <is>
          <t>01a152b9-6ee2-7577-bddd-382bc3853fde</t>
        </is>
      </c>
      <c r="M1143" t="inlineStr">
        <is>
          <t>UNKNOWN</t>
        </is>
      </c>
      <c r="N1143" t="inlineStr">
        <is>
          <t>DEFAULT</t>
        </is>
      </c>
      <c r="Q1143" t="n">
        <v>0</v>
      </c>
      <c r="R1143" t="inlineStr">
        <is>
          <t>AUD</t>
        </is>
      </c>
      <c r="S1143" t="n">
        <v>0</v>
      </c>
      <c r="T1143" t="inlineStr">
        <is>
          <t>AUD</t>
        </is>
      </c>
      <c r="U1143" t="n">
        <v>0</v>
      </c>
    </row>
    <row r="1144">
      <c r="A1144" s="5" t="inlineStr">
        <is>
          <t>01a152b9-8197-75bf-a042-e40392359627</t>
        </is>
      </c>
      <c r="C1144" s="5" t="inlineStr">
        <is>
          <t>01a152b9-6e67-75da-8adb-b03e5d07fd21</t>
        </is>
      </c>
      <c r="D1144" s="4" t="n">
        <v>46314.24596619537</v>
      </c>
      <c r="E1144" s="4" t="n">
        <v>46314.24596619552</v>
      </c>
      <c r="F1144" t="b">
        <v>1</v>
      </c>
      <c r="G1144" t="n">
        <v/>
      </c>
      <c r="H1144" t="inlineStr">
        <is>
          <t>GL1</t>
        </is>
      </c>
      <c r="I1144" t="inlineStr">
        <is>
          <t>Global Lithium Resources Ltd</t>
        </is>
      </c>
      <c r="J1144" t="inlineStr">
        <is>
          <t>AUD</t>
        </is>
      </c>
      <c r="K1144" s="5" t="inlineStr">
        <is>
          <t>01a152b9-6ee2-7577-bddd-382bc3853fde</t>
        </is>
      </c>
      <c r="M1144" t="inlineStr">
        <is>
          <t>UNKNOWN</t>
        </is>
      </c>
      <c r="N1144" t="inlineStr">
        <is>
          <t>DEFAULT</t>
        </is>
      </c>
      <c r="Q1144" t="n">
        <v>0</v>
      </c>
      <c r="R1144" t="inlineStr">
        <is>
          <t>AUD</t>
        </is>
      </c>
      <c r="S1144" t="n">
        <v>0</v>
      </c>
      <c r="T1144" t="inlineStr">
        <is>
          <t>AUD</t>
        </is>
      </c>
      <c r="U1144" t="n">
        <v>0</v>
      </c>
    </row>
    <row r="1145">
      <c r="A1145" s="5" t="inlineStr">
        <is>
          <t>01a152b9-819a-7012-8eef-d54e651e18c9</t>
        </is>
      </c>
      <c r="C1145" s="5" t="inlineStr">
        <is>
          <t>01a152b9-6e67-75da-8adb-b03e5d07fd21</t>
        </is>
      </c>
      <c r="D1145" s="4" t="n">
        <v>46314.24596623385</v>
      </c>
      <c r="E1145" s="4" t="n">
        <v>46314.24596623397</v>
      </c>
      <c r="F1145" t="b">
        <v>1</v>
      </c>
      <c r="G1145" t="n">
        <v/>
      </c>
      <c r="H1145" t="inlineStr">
        <is>
          <t>GOVT</t>
        </is>
      </c>
      <c r="I1145" t="inlineStr">
        <is>
          <t>SPDR S&amp;P/ASX Australian Government Bond Fund</t>
        </is>
      </c>
      <c r="J1145" t="inlineStr">
        <is>
          <t>AUD</t>
        </is>
      </c>
      <c r="K1145" s="5" t="inlineStr">
        <is>
          <t>01a152b9-6ee2-7577-bddd-382bc3853fde</t>
        </is>
      </c>
      <c r="M1145" t="inlineStr">
        <is>
          <t>UNKNOWN</t>
        </is>
      </c>
      <c r="N1145" t="inlineStr">
        <is>
          <t>DEFAULT</t>
        </is>
      </c>
      <c r="Q1145" t="n">
        <v>0</v>
      </c>
      <c r="R1145" t="inlineStr">
        <is>
          <t>AUD</t>
        </is>
      </c>
      <c r="S1145" t="n">
        <v>0</v>
      </c>
      <c r="T1145" t="inlineStr">
        <is>
          <t>AUD</t>
        </is>
      </c>
      <c r="U1145" t="n">
        <v>0</v>
      </c>
    </row>
    <row r="1146">
      <c r="A1146" s="5" t="inlineStr">
        <is>
          <t>01a152b9-819d-725c-bbce-29ed1215c871</t>
        </is>
      </c>
      <c r="C1146" s="5" t="inlineStr">
        <is>
          <t>01a152b9-6e67-75da-8adb-b03e5d07fd21</t>
        </is>
      </c>
      <c r="D1146" s="4" t="n">
        <v>46314.2459662728</v>
      </c>
      <c r="E1146" s="4" t="n">
        <v>46314.24596627294</v>
      </c>
      <c r="F1146" t="b">
        <v>1</v>
      </c>
      <c r="G1146" t="n">
        <v/>
      </c>
      <c r="H1146" t="inlineStr">
        <is>
          <t>MNB</t>
        </is>
      </c>
      <c r="I1146" t="inlineStr">
        <is>
          <t>Minbos Resources Ltd</t>
        </is>
      </c>
      <c r="J1146" t="inlineStr">
        <is>
          <t>AUD</t>
        </is>
      </c>
      <c r="K1146" s="5" t="inlineStr">
        <is>
          <t>01a152b9-6ee2-7577-bddd-382bc3853fde</t>
        </is>
      </c>
      <c r="M1146" t="inlineStr">
        <is>
          <t>UNKNOWN</t>
        </is>
      </c>
      <c r="N1146" t="inlineStr">
        <is>
          <t>DEFAULT</t>
        </is>
      </c>
      <c r="Q1146" t="n">
        <v>0</v>
      </c>
      <c r="R1146" t="inlineStr">
        <is>
          <t>AUD</t>
        </is>
      </c>
      <c r="S1146" t="n">
        <v>0</v>
      </c>
      <c r="T1146" t="inlineStr">
        <is>
          <t>AUD</t>
        </is>
      </c>
      <c r="U1146" t="n">
        <v>0</v>
      </c>
    </row>
    <row r="1147">
      <c r="A1147" s="5" t="inlineStr">
        <is>
          <t>01a152b9-81a1-717f-be47-13cf53d11cbd</t>
        </is>
      </c>
      <c r="C1147" s="5" t="inlineStr">
        <is>
          <t>01a152b9-6e67-75da-8adb-b03e5d07fd21</t>
        </is>
      </c>
      <c r="D1147" s="4" t="n">
        <v>46314.24596631496</v>
      </c>
      <c r="E1147" s="4" t="n">
        <v>46314.24596631507</v>
      </c>
      <c r="F1147" t="b">
        <v>1</v>
      </c>
      <c r="G1147" t="n">
        <v/>
      </c>
      <c r="H1147" t="inlineStr">
        <is>
          <t>DHOF</t>
        </is>
      </c>
      <c r="I1147" t="inlineStr">
        <is>
          <t>Daintree HYBRID Opportunities Fund (Managed Fund)</t>
        </is>
      </c>
      <c r="J1147" t="inlineStr">
        <is>
          <t>AUD</t>
        </is>
      </c>
      <c r="K1147" s="5" t="inlineStr">
        <is>
          <t>01a152b9-6ee2-7577-bddd-382bc3853fde</t>
        </is>
      </c>
      <c r="M1147" t="inlineStr">
        <is>
          <t>UNKNOWN</t>
        </is>
      </c>
      <c r="N1147" t="inlineStr">
        <is>
          <t>DEFAULT</t>
        </is>
      </c>
      <c r="Q1147" t="n">
        <v>0</v>
      </c>
      <c r="R1147" t="inlineStr">
        <is>
          <t>AUD</t>
        </is>
      </c>
      <c r="S1147" t="n">
        <v>0</v>
      </c>
      <c r="T1147" t="inlineStr">
        <is>
          <t>AUD</t>
        </is>
      </c>
      <c r="U1147" t="n">
        <v>0</v>
      </c>
    </row>
    <row r="1148">
      <c r="A1148" s="5" t="inlineStr">
        <is>
          <t>01a152b9-81a5-7313-b57b-f67682647e1d</t>
        </is>
      </c>
      <c r="C1148" s="5" t="inlineStr">
        <is>
          <t>01a152b9-6e67-75da-8adb-b03e5d07fd21</t>
        </is>
      </c>
      <c r="D1148" s="4" t="n">
        <v>46314.24596636747</v>
      </c>
      <c r="E1148" s="4" t="n">
        <v>46314.24596636761</v>
      </c>
      <c r="F1148" t="b">
        <v>1</v>
      </c>
      <c r="G1148" t="n">
        <v/>
      </c>
      <c r="H1148" t="inlineStr">
        <is>
          <t>AMN</t>
        </is>
      </c>
      <c r="I1148" t="inlineStr">
        <is>
          <t>Agrimin Ltd</t>
        </is>
      </c>
      <c r="J1148" t="inlineStr">
        <is>
          <t>AUD</t>
        </is>
      </c>
      <c r="K1148" s="5" t="inlineStr">
        <is>
          <t>01a152b9-6ee2-7577-bddd-382bc3853fde</t>
        </is>
      </c>
      <c r="M1148" t="inlineStr">
        <is>
          <t>UNKNOWN</t>
        </is>
      </c>
      <c r="N1148" t="inlineStr">
        <is>
          <t>DEFAULT</t>
        </is>
      </c>
      <c r="Q1148" t="n">
        <v>0</v>
      </c>
      <c r="R1148" t="inlineStr">
        <is>
          <t>AUD</t>
        </is>
      </c>
      <c r="S1148" t="n">
        <v>0</v>
      </c>
      <c r="T1148" t="inlineStr">
        <is>
          <t>AUD</t>
        </is>
      </c>
      <c r="U1148" t="n">
        <v>0</v>
      </c>
    </row>
    <row r="1149">
      <c r="A1149" s="5" t="inlineStr">
        <is>
          <t>01a152b9-81a9-74f0-a927-9911b64b90ba</t>
        </is>
      </c>
      <c r="C1149" s="5" t="inlineStr">
        <is>
          <t>01a152b9-6e67-75da-8adb-b03e5d07fd21</t>
        </is>
      </c>
      <c r="D1149" s="4" t="n">
        <v>46314.24596641396</v>
      </c>
      <c r="E1149" s="4" t="n">
        <v>46314.2459664141</v>
      </c>
      <c r="F1149" t="b">
        <v>1</v>
      </c>
      <c r="G1149" t="n">
        <v/>
      </c>
      <c r="H1149" t="inlineStr">
        <is>
          <t>IIQ</t>
        </is>
      </c>
      <c r="I1149" t="inlineStr">
        <is>
          <t>Inoviq Ltd</t>
        </is>
      </c>
      <c r="J1149" t="inlineStr">
        <is>
          <t>AUD</t>
        </is>
      </c>
      <c r="K1149" s="5" t="inlineStr">
        <is>
          <t>01a152b9-6ee2-7577-bddd-382bc3853fde</t>
        </is>
      </c>
      <c r="M1149" t="inlineStr">
        <is>
          <t>UNKNOWN</t>
        </is>
      </c>
      <c r="N1149" t="inlineStr">
        <is>
          <t>DEFAULT</t>
        </is>
      </c>
      <c r="Q1149" t="n">
        <v>0</v>
      </c>
      <c r="R1149" t="inlineStr">
        <is>
          <t>AUD</t>
        </is>
      </c>
      <c r="S1149" t="n">
        <v>0</v>
      </c>
      <c r="T1149" t="inlineStr">
        <is>
          <t>AUD</t>
        </is>
      </c>
      <c r="U1149" t="n">
        <v>0</v>
      </c>
    </row>
    <row r="1150">
      <c r="A1150" s="5" t="inlineStr">
        <is>
          <t>01a152b9-81ae-7329-8579-aa8be56b2fce</t>
        </is>
      </c>
      <c r="C1150" s="5" t="inlineStr">
        <is>
          <t>01a152b9-6e67-75da-8adb-b03e5d07fd21</t>
        </is>
      </c>
      <c r="D1150" s="4" t="n">
        <v>46314.24596646478</v>
      </c>
      <c r="E1150" s="4" t="n">
        <v>46314.24596646489</v>
      </c>
      <c r="F1150" t="b">
        <v>1</v>
      </c>
      <c r="G1150" t="n">
        <v/>
      </c>
      <c r="H1150" t="inlineStr">
        <is>
          <t>ERM</t>
        </is>
      </c>
      <c r="I1150" t="inlineStr">
        <is>
          <t>Emmerson Resources Ltd</t>
        </is>
      </c>
      <c r="J1150" t="inlineStr">
        <is>
          <t>AUD</t>
        </is>
      </c>
      <c r="K1150" s="5" t="inlineStr">
        <is>
          <t>01a152b9-6ee2-7577-bddd-382bc3853fde</t>
        </is>
      </c>
      <c r="M1150" t="inlineStr">
        <is>
          <t>UNKNOWN</t>
        </is>
      </c>
      <c r="N1150" t="inlineStr">
        <is>
          <t>DEFAULT</t>
        </is>
      </c>
      <c r="Q1150" t="n">
        <v>0</v>
      </c>
      <c r="R1150" t="inlineStr">
        <is>
          <t>AUD</t>
        </is>
      </c>
      <c r="S1150" t="n">
        <v>0</v>
      </c>
      <c r="T1150" t="inlineStr">
        <is>
          <t>AUD</t>
        </is>
      </c>
      <c r="U1150" t="n">
        <v>0</v>
      </c>
    </row>
    <row r="1151">
      <c r="A1151" s="5" t="inlineStr">
        <is>
          <t>01a152b9-81b2-7475-a0ad-c55618bc0475</t>
        </is>
      </c>
      <c r="C1151" s="5" t="inlineStr">
        <is>
          <t>01a152b9-6e67-75da-8adb-b03e5d07fd21</t>
        </is>
      </c>
      <c r="D1151" s="4" t="n">
        <v>46314.2459665113</v>
      </c>
      <c r="E1151" s="4" t="n">
        <v>46314.24596651141</v>
      </c>
      <c r="F1151" t="b">
        <v>1</v>
      </c>
      <c r="G1151" t="n">
        <v/>
      </c>
      <c r="H1151" t="inlineStr">
        <is>
          <t>CDX</t>
        </is>
      </c>
      <c r="I1151" t="inlineStr">
        <is>
          <t>Cardiex Ltd</t>
        </is>
      </c>
      <c r="J1151" t="inlineStr">
        <is>
          <t>AUD</t>
        </is>
      </c>
      <c r="K1151" s="5" t="inlineStr">
        <is>
          <t>01a152b9-6ee2-7577-bddd-382bc3853fde</t>
        </is>
      </c>
      <c r="M1151" t="inlineStr">
        <is>
          <t>UNKNOWN</t>
        </is>
      </c>
      <c r="N1151" t="inlineStr">
        <is>
          <t>DEFAULT</t>
        </is>
      </c>
      <c r="Q1151" t="n">
        <v>0</v>
      </c>
      <c r="R1151" t="inlineStr">
        <is>
          <t>AUD</t>
        </is>
      </c>
      <c r="S1151" t="n">
        <v>0</v>
      </c>
      <c r="T1151" t="inlineStr">
        <is>
          <t>AUD</t>
        </is>
      </c>
      <c r="U1151" t="n">
        <v>0</v>
      </c>
    </row>
    <row r="1152">
      <c r="A1152" s="5" t="inlineStr">
        <is>
          <t>01a152b9-81b6-7572-9139-19447ae5e928</t>
        </is>
      </c>
      <c r="C1152" s="5" t="inlineStr">
        <is>
          <t>01a152b9-6e67-75da-8adb-b03e5d07fd21</t>
        </is>
      </c>
      <c r="D1152" s="4" t="n">
        <v>46314.24596655588</v>
      </c>
      <c r="E1152" s="4" t="n">
        <v>46314.24596655599</v>
      </c>
      <c r="F1152" t="b">
        <v>1</v>
      </c>
      <c r="G1152" t="n">
        <v/>
      </c>
      <c r="H1152" t="inlineStr">
        <is>
          <t>NOU</t>
        </is>
      </c>
      <c r="I1152" t="inlineStr">
        <is>
          <t>Noumi Ltd</t>
        </is>
      </c>
      <c r="J1152" t="inlineStr">
        <is>
          <t>AUD</t>
        </is>
      </c>
      <c r="K1152" s="5" t="inlineStr">
        <is>
          <t>01a152b9-6ee2-7577-bddd-382bc3853fde</t>
        </is>
      </c>
      <c r="M1152" t="inlineStr">
        <is>
          <t>UNKNOWN</t>
        </is>
      </c>
      <c r="N1152" t="inlineStr">
        <is>
          <t>DEFAULT</t>
        </is>
      </c>
      <c r="Q1152" t="n">
        <v>0</v>
      </c>
      <c r="R1152" t="inlineStr">
        <is>
          <t>AUD</t>
        </is>
      </c>
      <c r="S1152" t="n">
        <v>0</v>
      </c>
      <c r="T1152" t="inlineStr">
        <is>
          <t>AUD</t>
        </is>
      </c>
      <c r="U1152" t="n">
        <v>0</v>
      </c>
    </row>
    <row r="1153">
      <c r="A1153" s="5" t="inlineStr">
        <is>
          <t>01a152b9-81b9-76d7-b6b2-18dcad59cbe1</t>
        </is>
      </c>
      <c r="C1153" s="5" t="inlineStr">
        <is>
          <t>01a152b9-6e67-75da-8adb-b03e5d07fd21</t>
        </is>
      </c>
      <c r="D1153" s="4" t="n">
        <v>46314.24596659836</v>
      </c>
      <c r="E1153" s="4" t="n">
        <v>46314.24596659849</v>
      </c>
      <c r="F1153" t="b">
        <v>1</v>
      </c>
      <c r="G1153" t="n">
        <v/>
      </c>
      <c r="H1153" t="inlineStr">
        <is>
          <t>AHF</t>
        </is>
      </c>
      <c r="I1153" t="inlineStr">
        <is>
          <t>Australian Dairy Nutritionals Ltd</t>
        </is>
      </c>
      <c r="J1153" t="inlineStr">
        <is>
          <t>AUD</t>
        </is>
      </c>
      <c r="K1153" s="5" t="inlineStr">
        <is>
          <t>01a152b9-6ee2-7577-bddd-382bc3853fde</t>
        </is>
      </c>
      <c r="M1153" t="inlineStr">
        <is>
          <t>UNKNOWN</t>
        </is>
      </c>
      <c r="N1153" t="inlineStr">
        <is>
          <t>DEFAULT</t>
        </is>
      </c>
      <c r="Q1153" t="n">
        <v>0</v>
      </c>
      <c r="R1153" t="inlineStr">
        <is>
          <t>AUD</t>
        </is>
      </c>
      <c r="S1153" t="n">
        <v>0</v>
      </c>
      <c r="T1153" t="inlineStr">
        <is>
          <t>AUD</t>
        </is>
      </c>
      <c r="U1153" t="n">
        <v>0</v>
      </c>
    </row>
    <row r="1154">
      <c r="A1154" s="5" t="inlineStr">
        <is>
          <t>01a152b9-81bd-779b-9df4-2b9b8285e350</t>
        </is>
      </c>
      <c r="C1154" s="5" t="inlineStr">
        <is>
          <t>01a152b9-6e67-75da-8adb-b03e5d07fd21</t>
        </is>
      </c>
      <c r="D1154" s="4" t="n">
        <v>46314.24596664422</v>
      </c>
      <c r="E1154" s="4" t="n">
        <v>46314.24596664434</v>
      </c>
      <c r="F1154" t="b">
        <v>1</v>
      </c>
      <c r="G1154" t="n">
        <v/>
      </c>
      <c r="H1154" t="inlineStr">
        <is>
          <t>MX1</t>
        </is>
      </c>
      <c r="I1154" t="inlineStr">
        <is>
          <t>Micro-X Ltd</t>
        </is>
      </c>
      <c r="J1154" t="inlineStr">
        <is>
          <t>AUD</t>
        </is>
      </c>
      <c r="K1154" s="5" t="inlineStr">
        <is>
          <t>01a152b9-6ee2-7577-bddd-382bc3853fde</t>
        </is>
      </c>
      <c r="M1154" t="inlineStr">
        <is>
          <t>UNKNOWN</t>
        </is>
      </c>
      <c r="N1154" t="inlineStr">
        <is>
          <t>DEFAULT</t>
        </is>
      </c>
      <c r="Q1154" t="n">
        <v>0</v>
      </c>
      <c r="R1154" t="inlineStr">
        <is>
          <t>AUD</t>
        </is>
      </c>
      <c r="S1154" t="n">
        <v>0</v>
      </c>
      <c r="T1154" t="inlineStr">
        <is>
          <t>AUD</t>
        </is>
      </c>
      <c r="U1154" t="n">
        <v>0</v>
      </c>
    </row>
    <row r="1155">
      <c r="A1155" s="5" t="inlineStr">
        <is>
          <t>01a152b9-81c1-7390-a409-03c54dfd7151</t>
        </is>
      </c>
      <c r="C1155" s="5" t="inlineStr">
        <is>
          <t>01a152b9-6e67-75da-8adb-b03e5d07fd21</t>
        </is>
      </c>
      <c r="D1155" s="4" t="n">
        <v>46314.24596668121</v>
      </c>
      <c r="E1155" s="4" t="n">
        <v>46314.24596668132</v>
      </c>
      <c r="F1155" t="b">
        <v>1</v>
      </c>
      <c r="G1155" t="n">
        <v/>
      </c>
      <c r="H1155" t="inlineStr">
        <is>
          <t>HLTH</t>
        </is>
      </c>
      <c r="I1155" t="inlineStr">
        <is>
          <t>Vaneck Global Healthcare Leaders ETF</t>
        </is>
      </c>
      <c r="J1155" t="inlineStr">
        <is>
          <t>AUD</t>
        </is>
      </c>
      <c r="K1155" s="5" t="inlineStr">
        <is>
          <t>01a152b9-6ee2-7577-bddd-382bc3853fde</t>
        </is>
      </c>
      <c r="M1155" t="inlineStr">
        <is>
          <t>UNKNOWN</t>
        </is>
      </c>
      <c r="N1155" t="inlineStr">
        <is>
          <t>DEFAULT</t>
        </is>
      </c>
      <c r="Q1155" t="n">
        <v>0</v>
      </c>
      <c r="R1155" t="inlineStr">
        <is>
          <t>AUD</t>
        </is>
      </c>
      <c r="S1155" t="n">
        <v>0</v>
      </c>
      <c r="T1155" t="inlineStr">
        <is>
          <t>AUD</t>
        </is>
      </c>
      <c r="U1155" t="n">
        <v>0</v>
      </c>
    </row>
    <row r="1156">
      <c r="A1156" s="5" t="inlineStr">
        <is>
          <t>01a152b9-81c4-7297-b307-c337e8bea020</t>
        </is>
      </c>
      <c r="C1156" s="5" t="inlineStr">
        <is>
          <t>01a152b9-6e67-75da-8adb-b03e5d07fd21</t>
        </is>
      </c>
      <c r="D1156" s="4" t="n">
        <v>46314.24596672317</v>
      </c>
      <c r="E1156" s="4" t="n">
        <v>46314.24596672326</v>
      </c>
      <c r="F1156" t="b">
        <v>1</v>
      </c>
      <c r="G1156" t="n">
        <v/>
      </c>
      <c r="H1156" t="inlineStr">
        <is>
          <t>TNC</t>
        </is>
      </c>
      <c r="I1156" t="inlineStr">
        <is>
          <t>True North Copper Ltd</t>
        </is>
      </c>
      <c r="J1156" t="inlineStr">
        <is>
          <t>AUD</t>
        </is>
      </c>
      <c r="K1156" s="5" t="inlineStr">
        <is>
          <t>01a152b9-6ee2-7577-bddd-382bc3853fde</t>
        </is>
      </c>
      <c r="M1156" t="inlineStr">
        <is>
          <t>UNKNOWN</t>
        </is>
      </c>
      <c r="N1156" t="inlineStr">
        <is>
          <t>DEFAULT</t>
        </is>
      </c>
      <c r="Q1156" t="n">
        <v>0</v>
      </c>
      <c r="R1156" t="inlineStr">
        <is>
          <t>AUD</t>
        </is>
      </c>
      <c r="S1156" t="n">
        <v>0</v>
      </c>
      <c r="T1156" t="inlineStr">
        <is>
          <t>AUD</t>
        </is>
      </c>
      <c r="U1156" t="n">
        <v>0</v>
      </c>
    </row>
    <row r="1157">
      <c r="A1157" s="5" t="inlineStr">
        <is>
          <t>01a152b9-81c8-749d-97a2-489f52ebd1b5</t>
        </is>
      </c>
      <c r="C1157" s="5" t="inlineStr">
        <is>
          <t>01a152b9-6e67-75da-8adb-b03e5d07fd21</t>
        </is>
      </c>
      <c r="D1157" s="4" t="n">
        <v>46314.24596676127</v>
      </c>
      <c r="E1157" s="4" t="n">
        <v>46314.24596676137</v>
      </c>
      <c r="F1157" t="b">
        <v>1</v>
      </c>
      <c r="G1157" t="n">
        <v/>
      </c>
      <c r="H1157" t="inlineStr">
        <is>
          <t>TEK</t>
        </is>
      </c>
      <c r="I1157" t="inlineStr">
        <is>
          <t>Thorney Technologies Ltd</t>
        </is>
      </c>
      <c r="J1157" t="inlineStr">
        <is>
          <t>AUD</t>
        </is>
      </c>
      <c r="K1157" s="5" t="inlineStr">
        <is>
          <t>01a152b9-6ee2-7577-bddd-382bc3853fde</t>
        </is>
      </c>
      <c r="M1157" t="inlineStr">
        <is>
          <t>UNKNOWN</t>
        </is>
      </c>
      <c r="N1157" t="inlineStr">
        <is>
          <t>DEFAULT</t>
        </is>
      </c>
      <c r="Q1157" t="n">
        <v>0</v>
      </c>
      <c r="R1157" t="inlineStr">
        <is>
          <t>AUD</t>
        </is>
      </c>
      <c r="S1157" t="n">
        <v>0</v>
      </c>
      <c r="T1157" t="inlineStr">
        <is>
          <t>AUD</t>
        </is>
      </c>
      <c r="U1157" t="n">
        <v>0</v>
      </c>
    </row>
    <row r="1158">
      <c r="A1158" s="5" t="inlineStr">
        <is>
          <t>01a152b9-81cc-75a5-b333-ccdee15c6818</t>
        </is>
      </c>
      <c r="C1158" s="5" t="inlineStr">
        <is>
          <t>01a152b9-6e67-75da-8adb-b03e5d07fd21</t>
        </is>
      </c>
      <c r="D1158" s="4" t="n">
        <v>46314.24596680894</v>
      </c>
      <c r="E1158" s="4" t="n">
        <v>46314.24596680907</v>
      </c>
      <c r="F1158" t="b">
        <v>1</v>
      </c>
      <c r="G1158" t="n">
        <v/>
      </c>
      <c r="H1158" t="inlineStr">
        <is>
          <t>SGI</t>
        </is>
      </c>
      <c r="I1158" t="inlineStr">
        <is>
          <t>Stealth Group Holdings Ltd</t>
        </is>
      </c>
      <c r="J1158" t="inlineStr">
        <is>
          <t>AUD</t>
        </is>
      </c>
      <c r="K1158" s="5" t="inlineStr">
        <is>
          <t>01a152b9-6ee2-7577-bddd-382bc3853fde</t>
        </is>
      </c>
      <c r="M1158" t="inlineStr">
        <is>
          <t>UNKNOWN</t>
        </is>
      </c>
      <c r="N1158" t="inlineStr">
        <is>
          <t>DEFAULT</t>
        </is>
      </c>
      <c r="Q1158" t="n">
        <v>0</v>
      </c>
      <c r="R1158" t="inlineStr">
        <is>
          <t>AUD</t>
        </is>
      </c>
      <c r="S1158" t="n">
        <v>0</v>
      </c>
      <c r="T1158" t="inlineStr">
        <is>
          <t>AUD</t>
        </is>
      </c>
      <c r="U1158" t="n">
        <v>0</v>
      </c>
    </row>
    <row r="1159">
      <c r="A1159" s="5" t="inlineStr">
        <is>
          <t>01a152b9-81d0-734a-a6e1-89f22413fc6a</t>
        </is>
      </c>
      <c r="C1159" s="5" t="inlineStr">
        <is>
          <t>01a152b9-6e67-75da-8adb-b03e5d07fd21</t>
        </is>
      </c>
      <c r="D1159" s="4" t="n">
        <v>46314.24596685337</v>
      </c>
      <c r="E1159" s="4" t="n">
        <v>46314.24596685347</v>
      </c>
      <c r="F1159" t="b">
        <v>1</v>
      </c>
      <c r="G1159" t="n">
        <v/>
      </c>
      <c r="H1159" t="inlineStr">
        <is>
          <t>AYLD</t>
        </is>
      </c>
      <c r="I1159" t="inlineStr">
        <is>
          <t>Global X S&amp;P/ASX 200 Covered Call ETF</t>
        </is>
      </c>
      <c r="J1159" t="inlineStr">
        <is>
          <t>AUD</t>
        </is>
      </c>
      <c r="K1159" s="5" t="inlineStr">
        <is>
          <t>01a152b9-6ee2-7577-bddd-382bc3853fde</t>
        </is>
      </c>
      <c r="M1159" t="inlineStr">
        <is>
          <t>UNKNOWN</t>
        </is>
      </c>
      <c r="N1159" t="inlineStr">
        <is>
          <t>DEFAULT</t>
        </is>
      </c>
      <c r="Q1159" t="n">
        <v>0</v>
      </c>
      <c r="R1159" t="inlineStr">
        <is>
          <t>AUD</t>
        </is>
      </c>
      <c r="S1159" t="n">
        <v>0</v>
      </c>
      <c r="T1159" t="inlineStr">
        <is>
          <t>AUD</t>
        </is>
      </c>
      <c r="U1159" t="n">
        <v>0</v>
      </c>
    </row>
    <row r="1160">
      <c r="A1160" s="5" t="inlineStr">
        <is>
          <t>01a152b9-81d3-73c5-9373-b46d24e3366b</t>
        </is>
      </c>
      <c r="C1160" s="5" t="inlineStr">
        <is>
          <t>01a152b9-6e67-75da-8adb-b03e5d07fd21</t>
        </is>
      </c>
      <c r="D1160" s="4" t="n">
        <v>46314.24596689213</v>
      </c>
      <c r="E1160" s="4" t="n">
        <v>46314.24596689223</v>
      </c>
      <c r="F1160" t="b">
        <v>1</v>
      </c>
      <c r="G1160" t="n">
        <v/>
      </c>
      <c r="H1160" t="inlineStr">
        <is>
          <t>CLDD</t>
        </is>
      </c>
      <c r="I1160" t="inlineStr">
        <is>
          <t>Betashares Cloud Computing ETF</t>
        </is>
      </c>
      <c r="J1160" t="inlineStr">
        <is>
          <t>AUD</t>
        </is>
      </c>
      <c r="K1160" s="5" t="inlineStr">
        <is>
          <t>01a152b9-6ee2-7577-bddd-382bc3853fde</t>
        </is>
      </c>
      <c r="M1160" t="inlineStr">
        <is>
          <t>UNKNOWN</t>
        </is>
      </c>
      <c r="N1160" t="inlineStr">
        <is>
          <t>DEFAULT</t>
        </is>
      </c>
      <c r="Q1160" t="n">
        <v>0</v>
      </c>
      <c r="R1160" t="inlineStr">
        <is>
          <t>AUD</t>
        </is>
      </c>
      <c r="S1160" t="n">
        <v>0</v>
      </c>
      <c r="T1160" t="inlineStr">
        <is>
          <t>AUD</t>
        </is>
      </c>
      <c r="U1160" t="n">
        <v>0</v>
      </c>
    </row>
    <row r="1161">
      <c r="A1161" s="5" t="inlineStr">
        <is>
          <t>01a152b9-81d6-7374-b410-1e47ff34d622</t>
        </is>
      </c>
      <c r="C1161" s="5" t="inlineStr">
        <is>
          <t>01a152b9-6e67-75da-8adb-b03e5d07fd21</t>
        </is>
      </c>
      <c r="D1161" s="4" t="n">
        <v>46314.24596692882</v>
      </c>
      <c r="E1161" s="4" t="n">
        <v>46314.24596692892</v>
      </c>
      <c r="F1161" t="b">
        <v>1</v>
      </c>
      <c r="G1161" t="n">
        <v/>
      </c>
      <c r="H1161" t="inlineStr">
        <is>
          <t>IYLD</t>
        </is>
      </c>
      <c r="I1161" t="inlineStr">
        <is>
          <t>Ishares Yield Plus ETF</t>
        </is>
      </c>
      <c r="J1161" t="inlineStr">
        <is>
          <t>AUD</t>
        </is>
      </c>
      <c r="K1161" s="5" t="inlineStr">
        <is>
          <t>01a152b9-6ee2-7577-bddd-382bc3853fde</t>
        </is>
      </c>
      <c r="M1161" t="inlineStr">
        <is>
          <t>UNKNOWN</t>
        </is>
      </c>
      <c r="N1161" t="inlineStr">
        <is>
          <t>DEFAULT</t>
        </is>
      </c>
      <c r="Q1161" t="n">
        <v>0</v>
      </c>
      <c r="R1161" t="inlineStr">
        <is>
          <t>AUD</t>
        </is>
      </c>
      <c r="S1161" t="n">
        <v>0</v>
      </c>
      <c r="T1161" t="inlineStr">
        <is>
          <t>AUD</t>
        </is>
      </c>
      <c r="U1161" t="n">
        <v>0</v>
      </c>
    </row>
    <row r="1162">
      <c r="A1162" s="5" t="inlineStr">
        <is>
          <t>01a152b9-81da-7500-9e9a-7a4e05cfd8bc</t>
        </is>
      </c>
      <c r="C1162" s="5" t="inlineStr">
        <is>
          <t>01a152b9-6e67-75da-8adb-b03e5d07fd21</t>
        </is>
      </c>
      <c r="D1162" s="4" t="n">
        <v>46314.24596697286</v>
      </c>
      <c r="E1162" s="4" t="n">
        <v>46314.24596697297</v>
      </c>
      <c r="F1162" t="b">
        <v>1</v>
      </c>
      <c r="G1162" t="n">
        <v/>
      </c>
      <c r="H1162" t="inlineStr">
        <is>
          <t>CRI</t>
        </is>
      </c>
      <c r="I1162" t="inlineStr">
        <is>
          <t>Critica Ltd</t>
        </is>
      </c>
      <c r="J1162" t="inlineStr">
        <is>
          <t>AUD</t>
        </is>
      </c>
      <c r="K1162" s="5" t="inlineStr">
        <is>
          <t>01a152b9-6ee2-7577-bddd-382bc3853fde</t>
        </is>
      </c>
      <c r="M1162" t="inlineStr">
        <is>
          <t>UNKNOWN</t>
        </is>
      </c>
      <c r="N1162" t="inlineStr">
        <is>
          <t>DEFAULT</t>
        </is>
      </c>
      <c r="Q1162" t="n">
        <v>0</v>
      </c>
      <c r="R1162" t="inlineStr">
        <is>
          <t>AUD</t>
        </is>
      </c>
      <c r="S1162" t="n">
        <v>0</v>
      </c>
      <c r="T1162" t="inlineStr">
        <is>
          <t>AUD</t>
        </is>
      </c>
      <c r="U1162" t="n">
        <v>0</v>
      </c>
    </row>
    <row r="1163">
      <c r="A1163" s="5" t="inlineStr">
        <is>
          <t>01a152b9-81dd-756d-8509-8ebb49e42268</t>
        </is>
      </c>
      <c r="C1163" s="5" t="inlineStr">
        <is>
          <t>01a152b9-6e67-75da-8adb-b03e5d07fd21</t>
        </is>
      </c>
      <c r="D1163" s="4" t="n">
        <v>46314.24596701125</v>
      </c>
      <c r="E1163" s="4" t="n">
        <v>46314.24596701137</v>
      </c>
      <c r="F1163" t="b">
        <v>1</v>
      </c>
      <c r="G1163" t="n">
        <v/>
      </c>
      <c r="H1163" t="inlineStr">
        <is>
          <t>MYE</t>
        </is>
      </c>
      <c r="I1163" t="inlineStr">
        <is>
          <t>Mastermyne Group Ltd</t>
        </is>
      </c>
      <c r="J1163" t="inlineStr">
        <is>
          <t>AUD</t>
        </is>
      </c>
      <c r="K1163" s="5" t="inlineStr">
        <is>
          <t>01a152b9-6ee2-7577-bddd-382bc3853fde</t>
        </is>
      </c>
      <c r="M1163" t="inlineStr">
        <is>
          <t>UNKNOWN</t>
        </is>
      </c>
      <c r="N1163" t="inlineStr">
        <is>
          <t>DEFAULT</t>
        </is>
      </c>
      <c r="Q1163" t="n">
        <v>0</v>
      </c>
      <c r="R1163" t="inlineStr">
        <is>
          <t>AUD</t>
        </is>
      </c>
      <c r="S1163" t="n">
        <v>0</v>
      </c>
      <c r="T1163" t="inlineStr">
        <is>
          <t>AUD</t>
        </is>
      </c>
      <c r="U1163" t="n">
        <v>0</v>
      </c>
    </row>
    <row r="1164">
      <c r="A1164" s="5" t="inlineStr">
        <is>
          <t>01a152b9-81e1-75ca-9fc7-cf2164c788b9</t>
        </is>
      </c>
      <c r="C1164" s="5" t="inlineStr">
        <is>
          <t>01a152b9-6e67-75da-8adb-b03e5d07fd21</t>
        </is>
      </c>
      <c r="D1164" s="4" t="n">
        <v>46314.24596705665</v>
      </c>
      <c r="E1164" s="4" t="n">
        <v>46314.24596705678</v>
      </c>
      <c r="F1164" t="b">
        <v>1</v>
      </c>
      <c r="G1164" t="n">
        <v/>
      </c>
      <c r="H1164" t="inlineStr">
        <is>
          <t>CD2</t>
        </is>
      </c>
      <c r="I1164" t="inlineStr">
        <is>
          <t>CD Private Equity Fund Ii</t>
        </is>
      </c>
      <c r="J1164" t="inlineStr">
        <is>
          <t>AUD</t>
        </is>
      </c>
      <c r="K1164" s="5" t="inlineStr">
        <is>
          <t>01a152b9-6ee2-7577-bddd-382bc3853fde</t>
        </is>
      </c>
      <c r="M1164" t="inlineStr">
        <is>
          <t>UNKNOWN</t>
        </is>
      </c>
      <c r="N1164" t="inlineStr">
        <is>
          <t>DEFAULT</t>
        </is>
      </c>
      <c r="Q1164" t="n">
        <v>0</v>
      </c>
      <c r="R1164" t="inlineStr">
        <is>
          <t>AUD</t>
        </is>
      </c>
      <c r="S1164" t="n">
        <v>0</v>
      </c>
      <c r="T1164" t="inlineStr">
        <is>
          <t>AUD</t>
        </is>
      </c>
      <c r="U1164" t="n">
        <v>0</v>
      </c>
    </row>
    <row r="1165">
      <c r="A1165" s="5" t="inlineStr">
        <is>
          <t>01a152b9-81e4-72b9-9e83-bb9ed6de2e4f</t>
        </is>
      </c>
      <c r="C1165" s="5" t="inlineStr">
        <is>
          <t>01a152b9-6e67-75da-8adb-b03e5d07fd21</t>
        </is>
      </c>
      <c r="D1165" s="4" t="n">
        <v>46314.24596709618</v>
      </c>
      <c r="E1165" s="4" t="n">
        <v>46314.24596709629</v>
      </c>
      <c r="F1165" t="b">
        <v>1</v>
      </c>
      <c r="G1165" t="n">
        <v/>
      </c>
      <c r="H1165" t="inlineStr">
        <is>
          <t>DGGF</t>
        </is>
      </c>
      <c r="I1165" t="inlineStr">
        <is>
          <t>Betashares Ethical Diversified Growth ETF</t>
        </is>
      </c>
      <c r="J1165" t="inlineStr">
        <is>
          <t>AUD</t>
        </is>
      </c>
      <c r="K1165" s="5" t="inlineStr">
        <is>
          <t>01a152b9-6ee2-7577-bddd-382bc3853fde</t>
        </is>
      </c>
      <c r="M1165" t="inlineStr">
        <is>
          <t>UNKNOWN</t>
        </is>
      </c>
      <c r="N1165" t="inlineStr">
        <is>
          <t>DEFAULT</t>
        </is>
      </c>
      <c r="Q1165" t="n">
        <v>0</v>
      </c>
      <c r="R1165" t="inlineStr">
        <is>
          <t>AUD</t>
        </is>
      </c>
      <c r="S1165" t="n">
        <v>0</v>
      </c>
      <c r="T1165" t="inlineStr">
        <is>
          <t>AUD</t>
        </is>
      </c>
      <c r="U1165" t="n">
        <v>0</v>
      </c>
    </row>
    <row r="1166">
      <c r="A1166" s="5" t="inlineStr">
        <is>
          <t>01a152b9-81e8-7717-b425-b7df6f1a703f</t>
        </is>
      </c>
      <c r="C1166" s="5" t="inlineStr">
        <is>
          <t>01a152b9-6e67-75da-8adb-b03e5d07fd21</t>
        </is>
      </c>
      <c r="D1166" s="4" t="n">
        <v>46314.24596713884</v>
      </c>
      <c r="E1166" s="4" t="n">
        <v>46314.24596713896</v>
      </c>
      <c r="F1166" t="b">
        <v>1</v>
      </c>
      <c r="G1166" t="n">
        <v/>
      </c>
      <c r="H1166" t="inlineStr">
        <is>
          <t>AAL</t>
        </is>
      </c>
      <c r="I1166" t="inlineStr">
        <is>
          <t>Alfabs Australia Ltd</t>
        </is>
      </c>
      <c r="J1166" t="inlineStr">
        <is>
          <t>AUD</t>
        </is>
      </c>
      <c r="K1166" s="5" t="inlineStr">
        <is>
          <t>01a152b9-6ee2-7577-bddd-382bc3853fde</t>
        </is>
      </c>
      <c r="M1166" t="inlineStr">
        <is>
          <t>UNKNOWN</t>
        </is>
      </c>
      <c r="N1166" t="inlineStr">
        <is>
          <t>DEFAULT</t>
        </is>
      </c>
      <c r="Q1166" t="n">
        <v>0</v>
      </c>
      <c r="R1166" t="inlineStr">
        <is>
          <t>AUD</t>
        </is>
      </c>
      <c r="S1166" t="n">
        <v>0</v>
      </c>
      <c r="T1166" t="inlineStr">
        <is>
          <t>AUD</t>
        </is>
      </c>
      <c r="U1166" t="n">
        <v>0</v>
      </c>
    </row>
    <row r="1167">
      <c r="A1167" s="5" t="inlineStr">
        <is>
          <t>01a152b9-81ec-7660-965b-43d895f27a7f</t>
        </is>
      </c>
      <c r="C1167" s="5" t="inlineStr">
        <is>
          <t>01a152b9-6e67-75da-8adb-b03e5d07fd21</t>
        </is>
      </c>
      <c r="D1167" s="4" t="n">
        <v>46314.24596718048</v>
      </c>
      <c r="E1167" s="4" t="n">
        <v>46314.24596718058</v>
      </c>
      <c r="F1167" t="b">
        <v>1</v>
      </c>
      <c r="G1167" t="n">
        <v/>
      </c>
      <c r="H1167" t="inlineStr">
        <is>
          <t>SIO</t>
        </is>
      </c>
      <c r="I1167" t="inlineStr">
        <is>
          <t>Simonds Group Ltd</t>
        </is>
      </c>
      <c r="J1167" t="inlineStr">
        <is>
          <t>AUD</t>
        </is>
      </c>
      <c r="K1167" s="5" t="inlineStr">
        <is>
          <t>01a152b9-6ee2-7577-bddd-382bc3853fde</t>
        </is>
      </c>
      <c r="M1167" t="inlineStr">
        <is>
          <t>UNKNOWN</t>
        </is>
      </c>
      <c r="N1167" t="inlineStr">
        <is>
          <t>DEFAULT</t>
        </is>
      </c>
      <c r="Q1167" t="n">
        <v>0</v>
      </c>
      <c r="R1167" t="inlineStr">
        <is>
          <t>AUD</t>
        </is>
      </c>
      <c r="S1167" t="n">
        <v>0</v>
      </c>
      <c r="T1167" t="inlineStr">
        <is>
          <t>AUD</t>
        </is>
      </c>
      <c r="U1167" t="n">
        <v>0</v>
      </c>
    </row>
    <row r="1168">
      <c r="A1168" s="5" t="inlineStr">
        <is>
          <t>01a152b9-81ef-7626-96e6-e3e22073beb3</t>
        </is>
      </c>
      <c r="C1168" s="5" t="inlineStr">
        <is>
          <t>01a152b9-6e67-75da-8adb-b03e5d07fd21</t>
        </is>
      </c>
      <c r="D1168" s="4" t="n">
        <v>46314.24596721694</v>
      </c>
      <c r="E1168" s="4" t="n">
        <v>46314.24596721704</v>
      </c>
      <c r="F1168" t="b">
        <v>1</v>
      </c>
      <c r="G1168" t="n">
        <v/>
      </c>
      <c r="H1168" t="inlineStr">
        <is>
          <t>MNS</t>
        </is>
      </c>
      <c r="I1168" t="inlineStr">
        <is>
          <t>Magnis Energy Technologies Ltd</t>
        </is>
      </c>
      <c r="J1168" t="inlineStr">
        <is>
          <t>AUD</t>
        </is>
      </c>
      <c r="K1168" s="5" t="inlineStr">
        <is>
          <t>01a152b9-6ee2-7577-bddd-382bc3853fde</t>
        </is>
      </c>
      <c r="M1168" t="inlineStr">
        <is>
          <t>UNKNOWN</t>
        </is>
      </c>
      <c r="N1168" t="inlineStr">
        <is>
          <t>DEFAULT</t>
        </is>
      </c>
      <c r="Q1168" t="n">
        <v>0</v>
      </c>
      <c r="R1168" t="inlineStr">
        <is>
          <t>AUD</t>
        </is>
      </c>
      <c r="S1168" t="n">
        <v>0</v>
      </c>
      <c r="T1168" t="inlineStr">
        <is>
          <t>AUD</t>
        </is>
      </c>
      <c r="U1168" t="n">
        <v>0</v>
      </c>
    </row>
    <row r="1169">
      <c r="A1169" s="5" t="inlineStr">
        <is>
          <t>01a152b9-81f3-7747-9d9c-e74c4f54917e</t>
        </is>
      </c>
      <c r="C1169" s="5" t="inlineStr">
        <is>
          <t>01a152b9-6e67-75da-8adb-b03e5d07fd21</t>
        </is>
      </c>
      <c r="D1169" s="4" t="n">
        <v>46314.24596726007</v>
      </c>
      <c r="E1169" s="4" t="n">
        <v>46314.2459672602</v>
      </c>
      <c r="F1169" t="b">
        <v>1</v>
      </c>
      <c r="G1169" t="n">
        <v/>
      </c>
      <c r="H1169" t="inlineStr">
        <is>
          <t>5GN</t>
        </is>
      </c>
      <c r="I1169" t="inlineStr">
        <is>
          <t>5G Networks Ltd</t>
        </is>
      </c>
      <c r="J1169" t="inlineStr">
        <is>
          <t>AUD</t>
        </is>
      </c>
      <c r="K1169" s="5" t="inlineStr">
        <is>
          <t>01a152b9-6ee2-7577-bddd-382bc3853fde</t>
        </is>
      </c>
      <c r="M1169" t="inlineStr">
        <is>
          <t>UNKNOWN</t>
        </is>
      </c>
      <c r="N1169" t="inlineStr">
        <is>
          <t>DEFAULT</t>
        </is>
      </c>
      <c r="Q1169" t="n">
        <v>0</v>
      </c>
      <c r="R1169" t="inlineStr">
        <is>
          <t>AUD</t>
        </is>
      </c>
      <c r="S1169" t="n">
        <v>0</v>
      </c>
      <c r="T1169" t="inlineStr">
        <is>
          <t>AUD</t>
        </is>
      </c>
      <c r="U1169" t="n">
        <v>0</v>
      </c>
    </row>
    <row r="1170">
      <c r="A1170" s="5" t="inlineStr">
        <is>
          <t>01a152b9-81f6-72ac-8fb1-be96f5f64c6c</t>
        </is>
      </c>
      <c r="C1170" s="5" t="inlineStr">
        <is>
          <t>01a152b9-6e67-75da-8adb-b03e5d07fd21</t>
        </is>
      </c>
      <c r="D1170" s="4" t="n">
        <v>46314.24596729752</v>
      </c>
      <c r="E1170" s="4" t="n">
        <v>46314.24596729762</v>
      </c>
      <c r="F1170" t="b">
        <v>1</v>
      </c>
      <c r="G1170" t="n">
        <v/>
      </c>
      <c r="H1170" t="inlineStr">
        <is>
          <t>MCE</t>
        </is>
      </c>
      <c r="I1170" t="inlineStr">
        <is>
          <t>Matrix Composites &amp; Engineering Ltd</t>
        </is>
      </c>
      <c r="J1170" t="inlineStr">
        <is>
          <t>AUD</t>
        </is>
      </c>
      <c r="K1170" s="5" t="inlineStr">
        <is>
          <t>01a152b9-6ee2-7577-bddd-382bc3853fde</t>
        </is>
      </c>
      <c r="M1170" t="inlineStr">
        <is>
          <t>UNKNOWN</t>
        </is>
      </c>
      <c r="N1170" t="inlineStr">
        <is>
          <t>DEFAULT</t>
        </is>
      </c>
      <c r="Q1170" t="n">
        <v>0</v>
      </c>
      <c r="R1170" t="inlineStr">
        <is>
          <t>AUD</t>
        </is>
      </c>
      <c r="S1170" t="n">
        <v>0</v>
      </c>
      <c r="T1170" t="inlineStr">
        <is>
          <t>AUD</t>
        </is>
      </c>
      <c r="U1170" t="n">
        <v>0</v>
      </c>
    </row>
    <row r="1171">
      <c r="A1171" s="5" t="inlineStr">
        <is>
          <t>01a152b9-81fa-70f1-b95c-36267e3cd351</t>
        </is>
      </c>
      <c r="C1171" s="5" t="inlineStr">
        <is>
          <t>01a152b9-6e67-75da-8adb-b03e5d07fd21</t>
        </is>
      </c>
      <c r="D1171" s="4" t="n">
        <v>46314.245967345</v>
      </c>
      <c r="E1171" s="4" t="n">
        <v>46314.2459673451</v>
      </c>
      <c r="F1171" t="b">
        <v>1</v>
      </c>
      <c r="G1171" t="n">
        <v/>
      </c>
      <c r="H1171" t="inlineStr">
        <is>
          <t>SEQ</t>
        </is>
      </c>
      <c r="I1171" t="inlineStr">
        <is>
          <t>Sequoia Financial Group Ltd</t>
        </is>
      </c>
      <c r="J1171" t="inlineStr">
        <is>
          <t>AUD</t>
        </is>
      </c>
      <c r="K1171" s="5" t="inlineStr">
        <is>
          <t>01a152b9-6ee2-7577-bddd-382bc3853fde</t>
        </is>
      </c>
      <c r="M1171" t="inlineStr">
        <is>
          <t>UNKNOWN</t>
        </is>
      </c>
      <c r="N1171" t="inlineStr">
        <is>
          <t>DEFAULT</t>
        </is>
      </c>
      <c r="Q1171" t="n">
        <v>0</v>
      </c>
      <c r="R1171" t="inlineStr">
        <is>
          <t>AUD</t>
        </is>
      </c>
      <c r="S1171" t="n">
        <v>0</v>
      </c>
      <c r="T1171" t="inlineStr">
        <is>
          <t>AUD</t>
        </is>
      </c>
      <c r="U1171" t="n">
        <v>0</v>
      </c>
    </row>
    <row r="1172">
      <c r="A1172" s="5" t="inlineStr">
        <is>
          <t>01a152b9-81fe-74d0-b107-a7e4e774e81a</t>
        </is>
      </c>
      <c r="C1172" s="5" t="inlineStr">
        <is>
          <t>01a152b9-6e67-75da-8adb-b03e5d07fd21</t>
        </is>
      </c>
      <c r="D1172" s="4" t="n">
        <v>46314.24596738724</v>
      </c>
      <c r="E1172" s="4" t="n">
        <v>46314.24596738732</v>
      </c>
      <c r="F1172" t="b">
        <v>1</v>
      </c>
      <c r="G1172" t="n">
        <v/>
      </c>
      <c r="H1172" t="inlineStr">
        <is>
          <t>BEAR</t>
        </is>
      </c>
      <c r="I1172" t="inlineStr">
        <is>
          <t>Betashares Australian Equities Bear (Hedge Fund)</t>
        </is>
      </c>
      <c r="J1172" t="inlineStr">
        <is>
          <t>AUD</t>
        </is>
      </c>
      <c r="K1172" s="5" t="inlineStr">
        <is>
          <t>01a152b9-6ee2-7577-bddd-382bc3853fde</t>
        </is>
      </c>
      <c r="M1172" t="inlineStr">
        <is>
          <t>UNKNOWN</t>
        </is>
      </c>
      <c r="N1172" t="inlineStr">
        <is>
          <t>DEFAULT</t>
        </is>
      </c>
      <c r="Q1172" t="n">
        <v>0</v>
      </c>
      <c r="R1172" t="inlineStr">
        <is>
          <t>AUD</t>
        </is>
      </c>
      <c r="S1172" t="n">
        <v>0</v>
      </c>
      <c r="T1172" t="inlineStr">
        <is>
          <t>AUD</t>
        </is>
      </c>
      <c r="U1172" t="n">
        <v>0</v>
      </c>
    </row>
    <row r="1173">
      <c r="A1173" s="5" t="inlineStr">
        <is>
          <t>01a152b9-8201-75b1-b7e1-c3dbc6073934</t>
        </is>
      </c>
      <c r="C1173" s="5" t="inlineStr">
        <is>
          <t>01a152b9-6e67-75da-8adb-b03e5d07fd21</t>
        </is>
      </c>
      <c r="D1173" s="4" t="n">
        <v>46314.245967424</v>
      </c>
      <c r="E1173" s="4" t="n">
        <v>46314.2459674241</v>
      </c>
      <c r="F1173" t="b">
        <v>1</v>
      </c>
      <c r="G1173" t="n">
        <v/>
      </c>
      <c r="H1173" t="inlineStr">
        <is>
          <t>ANO</t>
        </is>
      </c>
      <c r="I1173" t="inlineStr">
        <is>
          <t>Advance Zinctek Ltd</t>
        </is>
      </c>
      <c r="J1173" t="inlineStr">
        <is>
          <t>AUD</t>
        </is>
      </c>
      <c r="K1173" s="5" t="inlineStr">
        <is>
          <t>01a152b9-6ee2-7577-bddd-382bc3853fde</t>
        </is>
      </c>
      <c r="M1173" t="inlineStr">
        <is>
          <t>UNKNOWN</t>
        </is>
      </c>
      <c r="N1173" t="inlineStr">
        <is>
          <t>DEFAULT</t>
        </is>
      </c>
      <c r="Q1173" t="n">
        <v>0</v>
      </c>
      <c r="R1173" t="inlineStr">
        <is>
          <t>AUD</t>
        </is>
      </c>
      <c r="S1173" t="n">
        <v>0</v>
      </c>
      <c r="T1173" t="inlineStr">
        <is>
          <t>AUD</t>
        </is>
      </c>
      <c r="U1173" t="n">
        <v>0</v>
      </c>
    </row>
    <row r="1174">
      <c r="A1174" s="5" t="inlineStr">
        <is>
          <t>01a152b9-8204-76b1-a931-caec4c464e4c</t>
        </is>
      </c>
      <c r="C1174" s="5" t="inlineStr">
        <is>
          <t>01a152b9-6e67-75da-8adb-b03e5d07fd21</t>
        </is>
      </c>
      <c r="D1174" s="4" t="n">
        <v>46314.24596746387</v>
      </c>
      <c r="E1174" s="4" t="n">
        <v>46314.24596746396</v>
      </c>
      <c r="F1174" t="b">
        <v>1</v>
      </c>
      <c r="G1174" t="n">
        <v/>
      </c>
      <c r="H1174" t="inlineStr">
        <is>
          <t>TVL</t>
        </is>
      </c>
      <c r="I1174" t="inlineStr">
        <is>
          <t>Touch Ventures Ltd</t>
        </is>
      </c>
      <c r="J1174" t="inlineStr">
        <is>
          <t>AUD</t>
        </is>
      </c>
      <c r="K1174" s="5" t="inlineStr">
        <is>
          <t>01a152b9-6ee2-7577-bddd-382bc3853fde</t>
        </is>
      </c>
      <c r="M1174" t="inlineStr">
        <is>
          <t>UNKNOWN</t>
        </is>
      </c>
      <c r="N1174" t="inlineStr">
        <is>
          <t>DEFAULT</t>
        </is>
      </c>
      <c r="Q1174" t="n">
        <v>0</v>
      </c>
      <c r="R1174" t="inlineStr">
        <is>
          <t>AUD</t>
        </is>
      </c>
      <c r="S1174" t="n">
        <v>0</v>
      </c>
      <c r="T1174" t="inlineStr">
        <is>
          <t>AUD</t>
        </is>
      </c>
      <c r="U1174" t="n">
        <v>0</v>
      </c>
    </row>
    <row r="1175">
      <c r="A1175" s="5" t="inlineStr">
        <is>
          <t>01a152b9-8208-745a-b118-a73c29a8799c</t>
        </is>
      </c>
      <c r="C1175" s="5" t="inlineStr">
        <is>
          <t>01a152b9-6e67-75da-8adb-b03e5d07fd21</t>
        </is>
      </c>
      <c r="D1175" s="4" t="n">
        <v>46314.2459675078</v>
      </c>
      <c r="E1175" s="4" t="n">
        <v>46314.24596750792</v>
      </c>
      <c r="F1175" t="b">
        <v>1</v>
      </c>
      <c r="G1175" t="n">
        <v/>
      </c>
      <c r="H1175" t="inlineStr">
        <is>
          <t>ESR</t>
        </is>
      </c>
      <c r="I1175" t="inlineStr">
        <is>
          <t>Estrella Resources Ltd</t>
        </is>
      </c>
      <c r="J1175" t="inlineStr">
        <is>
          <t>AUD</t>
        </is>
      </c>
      <c r="K1175" s="5" t="inlineStr">
        <is>
          <t>01a152b9-6ee2-7577-bddd-382bc3853fde</t>
        </is>
      </c>
      <c r="M1175" t="inlineStr">
        <is>
          <t>UNKNOWN</t>
        </is>
      </c>
      <c r="N1175" t="inlineStr">
        <is>
          <t>DEFAULT</t>
        </is>
      </c>
      <c r="Q1175" t="n">
        <v>0</v>
      </c>
      <c r="R1175" t="inlineStr">
        <is>
          <t>AUD</t>
        </is>
      </c>
      <c r="S1175" t="n">
        <v>0</v>
      </c>
      <c r="T1175" t="inlineStr">
        <is>
          <t>AUD</t>
        </is>
      </c>
      <c r="U1175" t="n">
        <v>0</v>
      </c>
    </row>
    <row r="1176">
      <c r="A1176" s="5" t="inlineStr">
        <is>
          <t>01a152b9-820c-7667-9d72-fbd9edd3619a</t>
        </is>
      </c>
      <c r="C1176" s="5" t="inlineStr">
        <is>
          <t>01a152b9-6e67-75da-8adb-b03e5d07fd21</t>
        </is>
      </c>
      <c r="D1176" s="4" t="n">
        <v>46314.24596755055</v>
      </c>
      <c r="E1176" s="4" t="n">
        <v>46314.24596755065</v>
      </c>
      <c r="F1176" t="b">
        <v>1</v>
      </c>
      <c r="G1176" t="n">
        <v/>
      </c>
      <c r="H1176" t="inlineStr">
        <is>
          <t>MQDB</t>
        </is>
      </c>
      <c r="I1176" t="inlineStr">
        <is>
          <t>Macquarie Dynamic Bond Active ETF (Managed Fund)</t>
        </is>
      </c>
      <c r="J1176" t="inlineStr">
        <is>
          <t>AUD</t>
        </is>
      </c>
      <c r="K1176" s="5" t="inlineStr">
        <is>
          <t>01a152b9-6ee2-7577-bddd-382bc3853fde</t>
        </is>
      </c>
      <c r="M1176" t="inlineStr">
        <is>
          <t>UNKNOWN</t>
        </is>
      </c>
      <c r="N1176" t="inlineStr">
        <is>
          <t>DEFAULT</t>
        </is>
      </c>
      <c r="Q1176" t="n">
        <v>0</v>
      </c>
      <c r="R1176" t="inlineStr">
        <is>
          <t>AUD</t>
        </is>
      </c>
      <c r="S1176" t="n">
        <v>0</v>
      </c>
      <c r="T1176" t="inlineStr">
        <is>
          <t>AUD</t>
        </is>
      </c>
      <c r="U1176" t="n">
        <v>0</v>
      </c>
    </row>
    <row r="1177">
      <c r="A1177" s="5" t="inlineStr">
        <is>
          <t>01a152b9-820f-736c-8f33-8995f3a74f4a</t>
        </is>
      </c>
      <c r="C1177" s="5" t="inlineStr">
        <is>
          <t>01a152b9-6e67-75da-8adb-b03e5d07fd21</t>
        </is>
      </c>
      <c r="D1177" s="4" t="n">
        <v>46314.24596758672</v>
      </c>
      <c r="E1177" s="4" t="n">
        <v>46314.24596758684</v>
      </c>
      <c r="F1177" t="b">
        <v>1</v>
      </c>
      <c r="G1177" t="n">
        <v/>
      </c>
      <c r="H1177" t="inlineStr">
        <is>
          <t>GXAI</t>
        </is>
      </c>
      <c r="I1177" t="inlineStr">
        <is>
          <t>Global X Artificial Intelligence ETF</t>
        </is>
      </c>
      <c r="J1177" t="inlineStr">
        <is>
          <t>AUD</t>
        </is>
      </c>
      <c r="K1177" s="5" t="inlineStr">
        <is>
          <t>01a152b9-6ee2-7577-bddd-382bc3853fde</t>
        </is>
      </c>
      <c r="M1177" t="inlineStr">
        <is>
          <t>UNKNOWN</t>
        </is>
      </c>
      <c r="N1177" t="inlineStr">
        <is>
          <t>DEFAULT</t>
        </is>
      </c>
      <c r="Q1177" t="n">
        <v>0</v>
      </c>
      <c r="R1177" t="inlineStr">
        <is>
          <t>AUD</t>
        </is>
      </c>
      <c r="S1177" t="n">
        <v>0</v>
      </c>
      <c r="T1177" t="inlineStr">
        <is>
          <t>AUD</t>
        </is>
      </c>
      <c r="U1177" t="n">
        <v>0</v>
      </c>
    </row>
    <row r="1178">
      <c r="A1178" s="5" t="inlineStr">
        <is>
          <t>01a152b9-8212-75be-a359-0fd83888f46a</t>
        </is>
      </c>
      <c r="C1178" s="5" t="inlineStr">
        <is>
          <t>01a152b9-6e67-75da-8adb-b03e5d07fd21</t>
        </is>
      </c>
      <c r="D1178" s="4" t="n">
        <v>46314.24596762537</v>
      </c>
      <c r="E1178" s="4" t="n">
        <v>46314.24596762547</v>
      </c>
      <c r="F1178" t="b">
        <v>1</v>
      </c>
      <c r="G1178" t="n">
        <v/>
      </c>
      <c r="H1178" t="inlineStr">
        <is>
          <t>OSM</t>
        </is>
      </c>
      <c r="I1178" t="inlineStr">
        <is>
          <t>Osmond Resources Ltd</t>
        </is>
      </c>
      <c r="J1178" t="inlineStr">
        <is>
          <t>AUD</t>
        </is>
      </c>
      <c r="K1178" s="5" t="inlineStr">
        <is>
          <t>01a152b9-6ee2-7577-bddd-382bc3853fde</t>
        </is>
      </c>
      <c r="M1178" t="inlineStr">
        <is>
          <t>UNKNOWN</t>
        </is>
      </c>
      <c r="N1178" t="inlineStr">
        <is>
          <t>DEFAULT</t>
        </is>
      </c>
      <c r="Q1178" t="n">
        <v>0</v>
      </c>
      <c r="R1178" t="inlineStr">
        <is>
          <t>AUD</t>
        </is>
      </c>
      <c r="S1178" t="n">
        <v>0</v>
      </c>
      <c r="T1178" t="inlineStr">
        <is>
          <t>AUD</t>
        </is>
      </c>
      <c r="U1178" t="n">
        <v>0</v>
      </c>
    </row>
    <row r="1179">
      <c r="A1179" s="5" t="inlineStr">
        <is>
          <t>01a152b9-8216-72e0-91db-edbfb40aa166</t>
        </is>
      </c>
      <c r="C1179" s="5" t="inlineStr">
        <is>
          <t>01a152b9-6e67-75da-8adb-b03e5d07fd21</t>
        </is>
      </c>
      <c r="D1179" s="4" t="n">
        <v>46314.24596766599</v>
      </c>
      <c r="E1179" s="4" t="n">
        <v>46314.24596766607</v>
      </c>
      <c r="F1179" t="b">
        <v>1</v>
      </c>
      <c r="G1179" t="n">
        <v/>
      </c>
      <c r="H1179" t="inlineStr">
        <is>
          <t>MM8</t>
        </is>
      </c>
      <c r="I1179" t="inlineStr">
        <is>
          <t>Medallion Metals Ltd</t>
        </is>
      </c>
      <c r="J1179" t="inlineStr">
        <is>
          <t>AUD</t>
        </is>
      </c>
      <c r="K1179" s="5" t="inlineStr">
        <is>
          <t>01a152b9-6ee2-7577-bddd-382bc3853fde</t>
        </is>
      </c>
      <c r="M1179" t="inlineStr">
        <is>
          <t>UNKNOWN</t>
        </is>
      </c>
      <c r="N1179" t="inlineStr">
        <is>
          <t>DEFAULT</t>
        </is>
      </c>
      <c r="Q1179" t="n">
        <v>0</v>
      </c>
      <c r="R1179" t="inlineStr">
        <is>
          <t>AUD</t>
        </is>
      </c>
      <c r="S1179" t="n">
        <v>0</v>
      </c>
      <c r="T1179" t="inlineStr">
        <is>
          <t>AUD</t>
        </is>
      </c>
      <c r="U1179" t="n">
        <v>0</v>
      </c>
    </row>
    <row r="1180">
      <c r="A1180" s="5" t="inlineStr">
        <is>
          <t>01a152b9-8219-72d7-9eca-164cb9829a43</t>
        </is>
      </c>
      <c r="C1180" s="5" t="inlineStr">
        <is>
          <t>01a152b9-6e67-75da-8adb-b03e5d07fd21</t>
        </is>
      </c>
      <c r="D1180" s="4" t="n">
        <v>46314.245967704</v>
      </c>
      <c r="E1180" s="4" t="n">
        <v>46314.24596770408</v>
      </c>
      <c r="F1180" t="b">
        <v>1</v>
      </c>
      <c r="G1180" t="n">
        <v/>
      </c>
      <c r="H1180" t="inlineStr">
        <is>
          <t>RINC</t>
        </is>
      </c>
      <c r="I1180" t="inlineStr">
        <is>
          <t>Betashares MRTN Currie RL Inc Fund (Managed Fund)</t>
        </is>
      </c>
      <c r="J1180" t="inlineStr">
        <is>
          <t>AUD</t>
        </is>
      </c>
      <c r="K1180" s="5" t="inlineStr">
        <is>
          <t>01a152b9-6ee2-7577-bddd-382bc3853fde</t>
        </is>
      </c>
      <c r="M1180" t="inlineStr">
        <is>
          <t>UNKNOWN</t>
        </is>
      </c>
      <c r="N1180" t="inlineStr">
        <is>
          <t>DEFAULT</t>
        </is>
      </c>
      <c r="Q1180" t="n">
        <v>0</v>
      </c>
      <c r="R1180" t="inlineStr">
        <is>
          <t>AUD</t>
        </is>
      </c>
      <c r="S1180" t="n">
        <v>0</v>
      </c>
      <c r="T1180" t="inlineStr">
        <is>
          <t>AUD</t>
        </is>
      </c>
      <c r="U1180" t="n">
        <v>0</v>
      </c>
    </row>
    <row r="1181">
      <c r="A1181" s="5" t="inlineStr">
        <is>
          <t>01a152b9-821c-72c8-9252-10aa7d3ecb1e</t>
        </is>
      </c>
      <c r="C1181" s="5" t="inlineStr">
        <is>
          <t>01a152b9-6e67-75da-8adb-b03e5d07fd21</t>
        </is>
      </c>
      <c r="D1181" s="4" t="n">
        <v>46314.24596774391</v>
      </c>
      <c r="E1181" s="4" t="n">
        <v>46314.24596774404</v>
      </c>
      <c r="F1181" t="b">
        <v>1</v>
      </c>
      <c r="G1181" t="n">
        <v/>
      </c>
      <c r="H1181" t="inlineStr">
        <is>
          <t>NTI</t>
        </is>
      </c>
      <c r="I1181" t="inlineStr">
        <is>
          <t>Neurotech International Ltd</t>
        </is>
      </c>
      <c r="J1181" t="inlineStr">
        <is>
          <t>AUD</t>
        </is>
      </c>
      <c r="K1181" s="5" t="inlineStr">
        <is>
          <t>01a152b9-6ee2-7577-bddd-382bc3853fde</t>
        </is>
      </c>
      <c r="M1181" t="inlineStr">
        <is>
          <t>UNKNOWN</t>
        </is>
      </c>
      <c r="N1181" t="inlineStr">
        <is>
          <t>DEFAULT</t>
        </is>
      </c>
      <c r="Q1181" t="n">
        <v>0</v>
      </c>
      <c r="R1181" t="inlineStr">
        <is>
          <t>AUD</t>
        </is>
      </c>
      <c r="S1181" t="n">
        <v>0</v>
      </c>
      <c r="T1181" t="inlineStr">
        <is>
          <t>AUD</t>
        </is>
      </c>
      <c r="U1181" t="n">
        <v>0</v>
      </c>
    </row>
    <row r="1182">
      <c r="A1182" s="5" t="inlineStr">
        <is>
          <t>01a152b9-8220-7765-be55-76207ea0ce4f</t>
        </is>
      </c>
      <c r="C1182" s="5" t="inlineStr">
        <is>
          <t>01a152b9-6e67-75da-8adb-b03e5d07fd21</t>
        </is>
      </c>
      <c r="D1182" s="4" t="n">
        <v>46314.24596778303</v>
      </c>
      <c r="E1182" s="4" t="n">
        <v>46314.24596778313</v>
      </c>
      <c r="F1182" t="b">
        <v>1</v>
      </c>
      <c r="G1182" t="n">
        <v/>
      </c>
      <c r="H1182" t="inlineStr">
        <is>
          <t>MCP</t>
        </is>
      </c>
      <c r="I1182" t="inlineStr">
        <is>
          <t>Mcpherson's Ltd</t>
        </is>
      </c>
      <c r="J1182" t="inlineStr">
        <is>
          <t>AUD</t>
        </is>
      </c>
      <c r="K1182" s="5" t="inlineStr">
        <is>
          <t>01a152b9-6ee2-7577-bddd-382bc3853fde</t>
        </is>
      </c>
      <c r="M1182" t="inlineStr">
        <is>
          <t>UNKNOWN</t>
        </is>
      </c>
      <c r="N1182" t="inlineStr">
        <is>
          <t>DEFAULT</t>
        </is>
      </c>
      <c r="Q1182" t="n">
        <v>0</v>
      </c>
      <c r="R1182" t="inlineStr">
        <is>
          <t>AUD</t>
        </is>
      </c>
      <c r="S1182" t="n">
        <v>0</v>
      </c>
      <c r="T1182" t="inlineStr">
        <is>
          <t>AUD</t>
        </is>
      </c>
      <c r="U1182" t="n">
        <v>0</v>
      </c>
    </row>
    <row r="1183">
      <c r="A1183" s="5" t="inlineStr">
        <is>
          <t>01a152b9-8223-777f-a251-1c156823c799</t>
        </is>
      </c>
      <c r="C1183" s="5" t="inlineStr">
        <is>
          <t>01a152b9-6e67-75da-8adb-b03e5d07fd21</t>
        </is>
      </c>
      <c r="D1183" s="4" t="n">
        <v>46314.24596782073</v>
      </c>
      <c r="E1183" s="4" t="n">
        <v>46314.24596782083</v>
      </c>
      <c r="F1183" t="b">
        <v>1</v>
      </c>
      <c r="G1183" t="n">
        <v/>
      </c>
      <c r="H1183" t="inlineStr">
        <is>
          <t>PCK</t>
        </is>
      </c>
      <c r="I1183" t="inlineStr">
        <is>
          <t>Painchek Ltd</t>
        </is>
      </c>
      <c r="J1183" t="inlineStr">
        <is>
          <t>AUD</t>
        </is>
      </c>
      <c r="K1183" s="5" t="inlineStr">
        <is>
          <t>01a152b9-6ee2-7577-bddd-382bc3853fde</t>
        </is>
      </c>
      <c r="M1183" t="inlineStr">
        <is>
          <t>UNKNOWN</t>
        </is>
      </c>
      <c r="N1183" t="inlineStr">
        <is>
          <t>DEFAULT</t>
        </is>
      </c>
      <c r="Q1183" t="n">
        <v>0</v>
      </c>
      <c r="R1183" t="inlineStr">
        <is>
          <t>AUD</t>
        </is>
      </c>
      <c r="S1183" t="n">
        <v>0</v>
      </c>
      <c r="T1183" t="inlineStr">
        <is>
          <t>AUD</t>
        </is>
      </c>
      <c r="U1183" t="n">
        <v>0</v>
      </c>
    </row>
    <row r="1184">
      <c r="A1184" s="5" t="inlineStr">
        <is>
          <t>01a152b9-8227-718d-baf8-5de162d067c3</t>
        </is>
      </c>
      <c r="C1184" s="5" t="inlineStr">
        <is>
          <t>01a152b9-6e67-75da-8adb-b03e5d07fd21</t>
        </is>
      </c>
      <c r="D1184" s="4" t="n">
        <v>46314.24596786207</v>
      </c>
      <c r="E1184" s="4" t="n">
        <v>46314.24596786219</v>
      </c>
      <c r="F1184" t="b">
        <v>1</v>
      </c>
      <c r="G1184" t="n">
        <v/>
      </c>
      <c r="H1184" t="inlineStr">
        <is>
          <t>CCA</t>
        </is>
      </c>
      <c r="I1184" t="inlineStr">
        <is>
          <t>Change Financial Ltd</t>
        </is>
      </c>
      <c r="J1184" t="inlineStr">
        <is>
          <t>AUD</t>
        </is>
      </c>
      <c r="K1184" s="5" t="inlineStr">
        <is>
          <t>01a152b9-6ee2-7577-bddd-382bc3853fde</t>
        </is>
      </c>
      <c r="M1184" t="inlineStr">
        <is>
          <t>UNKNOWN</t>
        </is>
      </c>
      <c r="N1184" t="inlineStr">
        <is>
          <t>DEFAULT</t>
        </is>
      </c>
      <c r="Q1184" t="n">
        <v>0</v>
      </c>
      <c r="R1184" t="inlineStr">
        <is>
          <t>AUD</t>
        </is>
      </c>
      <c r="S1184" t="n">
        <v>0</v>
      </c>
      <c r="T1184" t="inlineStr">
        <is>
          <t>AUD</t>
        </is>
      </c>
      <c r="U1184" t="n">
        <v>0</v>
      </c>
    </row>
    <row r="1185">
      <c r="A1185" s="5" t="inlineStr">
        <is>
          <t>01a152b9-822b-72b1-b690-b4d42bdfcc7e</t>
        </is>
      </c>
      <c r="C1185" s="5" t="inlineStr">
        <is>
          <t>01a152b9-6e67-75da-8adb-b03e5d07fd21</t>
        </is>
      </c>
      <c r="D1185" s="4" t="n">
        <v>46314.24596790853</v>
      </c>
      <c r="E1185" s="4" t="n">
        <v>46314.24596790865</v>
      </c>
      <c r="F1185" t="b">
        <v>1</v>
      </c>
      <c r="G1185" t="n">
        <v/>
      </c>
      <c r="H1185" t="inlineStr">
        <is>
          <t>ADO</t>
        </is>
      </c>
      <c r="I1185" t="inlineStr">
        <is>
          <t>Anteotech Ltd</t>
        </is>
      </c>
      <c r="J1185" t="inlineStr">
        <is>
          <t>AUD</t>
        </is>
      </c>
      <c r="K1185" s="5" t="inlineStr">
        <is>
          <t>01a152b9-6ee2-7577-bddd-382bc3853fde</t>
        </is>
      </c>
      <c r="M1185" t="inlineStr">
        <is>
          <t>UNKNOWN</t>
        </is>
      </c>
      <c r="N1185" t="inlineStr">
        <is>
          <t>DEFAULT</t>
        </is>
      </c>
      <c r="Q1185" t="n">
        <v>0</v>
      </c>
      <c r="R1185" t="inlineStr">
        <is>
          <t>AUD</t>
        </is>
      </c>
      <c r="S1185" t="n">
        <v>0</v>
      </c>
      <c r="T1185" t="inlineStr">
        <is>
          <t>AUD</t>
        </is>
      </c>
      <c r="U1185" t="n">
        <v>0</v>
      </c>
    </row>
    <row r="1186">
      <c r="A1186" s="5" t="inlineStr">
        <is>
          <t>01a152b9-822f-71c2-8bc1-25a16a1a2e42</t>
        </is>
      </c>
      <c r="C1186" s="5" t="inlineStr">
        <is>
          <t>01a152b9-6e67-75da-8adb-b03e5d07fd21</t>
        </is>
      </c>
      <c r="D1186" s="4" t="n">
        <v>46314.24596795449</v>
      </c>
      <c r="E1186" s="4" t="n">
        <v>46314.24596795472</v>
      </c>
      <c r="F1186" t="b">
        <v>1</v>
      </c>
      <c r="G1186" t="n">
        <v/>
      </c>
      <c r="H1186" t="inlineStr">
        <is>
          <t>IMPQ</t>
        </is>
      </c>
      <c r="I1186" t="inlineStr">
        <is>
          <t>Perennial Better Future Fund (Managed Fund)</t>
        </is>
      </c>
      <c r="J1186" t="inlineStr">
        <is>
          <t>AUD</t>
        </is>
      </c>
      <c r="K1186" s="5" t="inlineStr">
        <is>
          <t>01a152b9-6ee2-7577-bddd-382bc3853fde</t>
        </is>
      </c>
      <c r="M1186" t="inlineStr">
        <is>
          <t>UNKNOWN</t>
        </is>
      </c>
      <c r="N1186" t="inlineStr">
        <is>
          <t>DEFAULT</t>
        </is>
      </c>
      <c r="Q1186" t="n">
        <v>0</v>
      </c>
      <c r="R1186" t="inlineStr">
        <is>
          <t>AUD</t>
        </is>
      </c>
      <c r="S1186" t="n">
        <v>0</v>
      </c>
      <c r="T1186" t="inlineStr">
        <is>
          <t>AUD</t>
        </is>
      </c>
      <c r="U1186" t="n">
        <v>0</v>
      </c>
    </row>
    <row r="1187">
      <c r="A1187" s="5" t="inlineStr">
        <is>
          <t>01a152b9-8233-702a-8bf0-9c1f6eb7cef8</t>
        </is>
      </c>
      <c r="C1187" s="5" t="inlineStr">
        <is>
          <t>01a152b9-6e67-75da-8adb-b03e5d07fd21</t>
        </is>
      </c>
      <c r="D1187" s="4" t="n">
        <v>46314.24596800387</v>
      </c>
      <c r="E1187" s="4" t="n">
        <v>46314.24596800404</v>
      </c>
      <c r="F1187" t="b">
        <v>1</v>
      </c>
      <c r="G1187" t="n">
        <v/>
      </c>
      <c r="H1187" t="inlineStr">
        <is>
          <t>PRL</t>
        </is>
      </c>
      <c r="I1187" t="inlineStr">
        <is>
          <t>Province Resources Ltd</t>
        </is>
      </c>
      <c r="J1187" t="inlineStr">
        <is>
          <t>AUD</t>
        </is>
      </c>
      <c r="K1187" s="5" t="inlineStr">
        <is>
          <t>01a152b9-6ee2-7577-bddd-382bc3853fde</t>
        </is>
      </c>
      <c r="M1187" t="inlineStr">
        <is>
          <t>UNKNOWN</t>
        </is>
      </c>
      <c r="N1187" t="inlineStr">
        <is>
          <t>DEFAULT</t>
        </is>
      </c>
      <c r="Q1187" t="n">
        <v>0</v>
      </c>
      <c r="R1187" t="inlineStr">
        <is>
          <t>AUD</t>
        </is>
      </c>
      <c r="S1187" t="n">
        <v>0</v>
      </c>
      <c r="T1187" t="inlineStr">
        <is>
          <t>AUD</t>
        </is>
      </c>
      <c r="U1187" t="n">
        <v>0</v>
      </c>
    </row>
    <row r="1188">
      <c r="A1188" s="5" t="inlineStr">
        <is>
          <t>01a152b9-8237-739c-9d65-5971d94552c1</t>
        </is>
      </c>
      <c r="C1188" s="5" t="inlineStr">
        <is>
          <t>01a152b9-6e67-75da-8adb-b03e5d07fd21</t>
        </is>
      </c>
      <c r="D1188" s="4" t="n">
        <v>46314.2459680496</v>
      </c>
      <c r="E1188" s="4" t="n">
        <v>46314.24596804981</v>
      </c>
      <c r="F1188" t="b">
        <v>1</v>
      </c>
      <c r="G1188" t="n">
        <v/>
      </c>
      <c r="H1188" t="inlineStr">
        <is>
          <t>CYP</t>
        </is>
      </c>
      <c r="I1188" t="inlineStr">
        <is>
          <t>Cynata Therapeutics Ltd</t>
        </is>
      </c>
      <c r="J1188" t="inlineStr">
        <is>
          <t>AUD</t>
        </is>
      </c>
      <c r="K1188" s="5" t="inlineStr">
        <is>
          <t>01a152b9-6ee2-7577-bddd-382bc3853fde</t>
        </is>
      </c>
      <c r="M1188" t="inlineStr">
        <is>
          <t>UNKNOWN</t>
        </is>
      </c>
      <c r="N1188" t="inlineStr">
        <is>
          <t>DEFAULT</t>
        </is>
      </c>
      <c r="Q1188" t="n">
        <v>0</v>
      </c>
      <c r="R1188" t="inlineStr">
        <is>
          <t>AUD</t>
        </is>
      </c>
      <c r="S1188" t="n">
        <v>0</v>
      </c>
      <c r="T1188" t="inlineStr">
        <is>
          <t>AUD</t>
        </is>
      </c>
      <c r="U1188" t="n">
        <v>0</v>
      </c>
    </row>
    <row r="1189">
      <c r="A1189" s="5" t="inlineStr">
        <is>
          <t>01a152b9-823b-7350-bb68-abd96ddb5b54</t>
        </is>
      </c>
      <c r="C1189" s="5" t="inlineStr">
        <is>
          <t>01a152b9-6e67-75da-8adb-b03e5d07fd21</t>
        </is>
      </c>
      <c r="D1189" s="4" t="n">
        <v>46314.24596809456</v>
      </c>
      <c r="E1189" s="4" t="n">
        <v>46314.24596809468</v>
      </c>
      <c r="F1189" t="b">
        <v>1</v>
      </c>
      <c r="G1189" t="n">
        <v/>
      </c>
      <c r="H1189" t="inlineStr">
        <is>
          <t>MMA</t>
        </is>
      </c>
      <c r="I1189" t="inlineStr">
        <is>
          <t>Maronan Metals Ltd</t>
        </is>
      </c>
      <c r="J1189" t="inlineStr">
        <is>
          <t>AUD</t>
        </is>
      </c>
      <c r="K1189" s="5" t="inlineStr">
        <is>
          <t>01a152b9-6ee2-7577-bddd-382bc3853fde</t>
        </is>
      </c>
      <c r="M1189" t="inlineStr">
        <is>
          <t>UNKNOWN</t>
        </is>
      </c>
      <c r="N1189" t="inlineStr">
        <is>
          <t>DEFAULT</t>
        </is>
      </c>
      <c r="Q1189" t="n">
        <v>0</v>
      </c>
      <c r="R1189" t="inlineStr">
        <is>
          <t>AUD</t>
        </is>
      </c>
      <c r="S1189" t="n">
        <v>0</v>
      </c>
      <c r="T1189" t="inlineStr">
        <is>
          <t>AUD</t>
        </is>
      </c>
      <c r="U1189" t="n">
        <v>0</v>
      </c>
    </row>
    <row r="1190">
      <c r="A1190" s="5" t="inlineStr">
        <is>
          <t>01a152b9-823f-742e-8627-b0c255dff282</t>
        </is>
      </c>
      <c r="C1190" s="5" t="inlineStr">
        <is>
          <t>01a152b9-6e67-75da-8adb-b03e5d07fd21</t>
        </is>
      </c>
      <c r="D1190" s="4" t="n">
        <v>46314.24596814456</v>
      </c>
      <c r="E1190" s="4" t="n">
        <v>46314.24596814471</v>
      </c>
      <c r="F1190" t="b">
        <v>1</v>
      </c>
      <c r="G1190" t="n">
        <v/>
      </c>
      <c r="H1190" t="inlineStr">
        <is>
          <t>NWC</t>
        </is>
      </c>
      <c r="I1190" t="inlineStr">
        <is>
          <t>New World Resources Ltd</t>
        </is>
      </c>
      <c r="J1190" t="inlineStr">
        <is>
          <t>AUD</t>
        </is>
      </c>
      <c r="K1190" s="5" t="inlineStr">
        <is>
          <t>01a152b9-6ee2-7577-bddd-382bc3853fde</t>
        </is>
      </c>
      <c r="M1190" t="inlineStr">
        <is>
          <t>UNKNOWN</t>
        </is>
      </c>
      <c r="N1190" t="inlineStr">
        <is>
          <t>DEFAULT</t>
        </is>
      </c>
      <c r="Q1190" t="n">
        <v>0</v>
      </c>
      <c r="R1190" t="inlineStr">
        <is>
          <t>AUD</t>
        </is>
      </c>
      <c r="S1190" t="n">
        <v>0</v>
      </c>
      <c r="T1190" t="inlineStr">
        <is>
          <t>AUD</t>
        </is>
      </c>
      <c r="U1190" t="n">
        <v>0</v>
      </c>
    </row>
    <row r="1191">
      <c r="A1191" s="5" t="inlineStr">
        <is>
          <t>01a152b9-8243-745f-810d-1ff2acc70d5e</t>
        </is>
      </c>
      <c r="C1191" s="5" t="inlineStr">
        <is>
          <t>01a152b9-6e67-75da-8adb-b03e5d07fd21</t>
        </is>
      </c>
      <c r="D1191" s="4" t="n">
        <v>46314.24596819092</v>
      </c>
      <c r="E1191" s="4" t="n">
        <v>46314.24596819105</v>
      </c>
      <c r="F1191" t="b">
        <v>1</v>
      </c>
      <c r="G1191" t="n">
        <v/>
      </c>
      <c r="H1191" t="inlineStr">
        <is>
          <t>IBC</t>
        </is>
      </c>
      <c r="I1191" t="inlineStr">
        <is>
          <t>Ironbark Capital Ltd</t>
        </is>
      </c>
      <c r="J1191" t="inlineStr">
        <is>
          <t>AUD</t>
        </is>
      </c>
      <c r="K1191" s="5" t="inlineStr">
        <is>
          <t>01a152b9-6ee2-7577-bddd-382bc3853fde</t>
        </is>
      </c>
      <c r="M1191" t="inlineStr">
        <is>
          <t>UNKNOWN</t>
        </is>
      </c>
      <c r="N1191" t="inlineStr">
        <is>
          <t>DEFAULT</t>
        </is>
      </c>
      <c r="Q1191" t="n">
        <v>0</v>
      </c>
      <c r="R1191" t="inlineStr">
        <is>
          <t>AUD</t>
        </is>
      </c>
      <c r="S1191" t="n">
        <v>0</v>
      </c>
      <c r="T1191" t="inlineStr">
        <is>
          <t>AUD</t>
        </is>
      </c>
      <c r="U1191" t="n">
        <v>0</v>
      </c>
    </row>
    <row r="1192">
      <c r="A1192" s="5" t="inlineStr">
        <is>
          <t>01a152b9-8247-70d6-b5cb-9f7a0c261bb8</t>
        </is>
      </c>
      <c r="C1192" s="5" t="inlineStr">
        <is>
          <t>01a152b9-6e67-75da-8adb-b03e5d07fd21</t>
        </is>
      </c>
      <c r="D1192" s="4" t="n">
        <v>46314.2459682414</v>
      </c>
      <c r="E1192" s="4" t="n">
        <v>46314.24596824163</v>
      </c>
      <c r="F1192" t="b">
        <v>1</v>
      </c>
      <c r="G1192" t="n">
        <v/>
      </c>
      <c r="H1192" t="inlineStr">
        <is>
          <t>PHX</t>
        </is>
      </c>
      <c r="I1192" t="inlineStr">
        <is>
          <t>Pharmx Technologies Ltd</t>
        </is>
      </c>
      <c r="J1192" t="inlineStr">
        <is>
          <t>AUD</t>
        </is>
      </c>
      <c r="K1192" s="5" t="inlineStr">
        <is>
          <t>01a152b9-6ee2-7577-bddd-382bc3853fde</t>
        </is>
      </c>
      <c r="M1192" t="inlineStr">
        <is>
          <t>UNKNOWN</t>
        </is>
      </c>
      <c r="N1192" t="inlineStr">
        <is>
          <t>DEFAULT</t>
        </is>
      </c>
      <c r="Q1192" t="n">
        <v>0</v>
      </c>
      <c r="R1192" t="inlineStr">
        <is>
          <t>AUD</t>
        </is>
      </c>
      <c r="S1192" t="n">
        <v>0</v>
      </c>
      <c r="T1192" t="inlineStr">
        <is>
          <t>AUD</t>
        </is>
      </c>
      <c r="U1192" t="n">
        <v>0</v>
      </c>
    </row>
    <row r="1193">
      <c r="A1193" s="5" t="inlineStr">
        <is>
          <t>01a152b9-824b-7511-aa59-22445519ac93</t>
        </is>
      </c>
      <c r="C1193" s="5" t="inlineStr">
        <is>
          <t>01a152b9-6e67-75da-8adb-b03e5d07fd21</t>
        </is>
      </c>
      <c r="D1193" s="4" t="n">
        <v>46314.24596828761</v>
      </c>
      <c r="E1193" s="4" t="n">
        <v>46314.24596828777</v>
      </c>
      <c r="F1193" t="b">
        <v>1</v>
      </c>
      <c r="G1193" t="n">
        <v/>
      </c>
      <c r="H1193" t="inlineStr">
        <is>
          <t>JREG</t>
        </is>
      </c>
      <c r="I1193" t="inlineStr">
        <is>
          <t>Jpmorgan GL Res En in EQ Active ETF (Managed Fund)</t>
        </is>
      </c>
      <c r="J1193" t="inlineStr">
        <is>
          <t>AUD</t>
        </is>
      </c>
      <c r="K1193" s="5" t="inlineStr">
        <is>
          <t>01a152b9-6ee2-7577-bddd-382bc3853fde</t>
        </is>
      </c>
      <c r="M1193" t="inlineStr">
        <is>
          <t>UNKNOWN</t>
        </is>
      </c>
      <c r="N1193" t="inlineStr">
        <is>
          <t>DEFAULT</t>
        </is>
      </c>
      <c r="Q1193" t="n">
        <v>0</v>
      </c>
      <c r="R1193" t="inlineStr">
        <is>
          <t>AUD</t>
        </is>
      </c>
      <c r="S1193" t="n">
        <v>0</v>
      </c>
      <c r="T1193" t="inlineStr">
        <is>
          <t>AUD</t>
        </is>
      </c>
      <c r="U1193" t="n">
        <v>0</v>
      </c>
    </row>
    <row r="1194">
      <c r="A1194" s="5" t="inlineStr">
        <is>
          <t>01a152b9-8250-70a5-8b7e-924ad8496db9</t>
        </is>
      </c>
      <c r="C1194" s="5" t="inlineStr">
        <is>
          <t>01a152b9-6e67-75da-8adb-b03e5d07fd21</t>
        </is>
      </c>
      <c r="D1194" s="4" t="n">
        <v>46314.2459683378</v>
      </c>
      <c r="E1194" s="4" t="n">
        <v>46314.24596833793</v>
      </c>
      <c r="F1194" t="b">
        <v>1</v>
      </c>
      <c r="G1194" t="n">
        <v/>
      </c>
      <c r="H1194" t="inlineStr">
        <is>
          <t>DTZ</t>
        </is>
      </c>
      <c r="I1194" t="inlineStr">
        <is>
          <t>DOTZ Nano Ltd</t>
        </is>
      </c>
      <c r="J1194" t="inlineStr">
        <is>
          <t>AUD</t>
        </is>
      </c>
      <c r="K1194" s="5" t="inlineStr">
        <is>
          <t>01a152b9-6ee2-7577-bddd-382bc3853fde</t>
        </is>
      </c>
      <c r="M1194" t="inlineStr">
        <is>
          <t>UNKNOWN</t>
        </is>
      </c>
      <c r="N1194" t="inlineStr">
        <is>
          <t>DEFAULT</t>
        </is>
      </c>
      <c r="Q1194" t="n">
        <v>0</v>
      </c>
      <c r="R1194" t="inlineStr">
        <is>
          <t>AUD</t>
        </is>
      </c>
      <c r="S1194" t="n">
        <v>0</v>
      </c>
      <c r="T1194" t="inlineStr">
        <is>
          <t>AUD</t>
        </is>
      </c>
      <c r="U1194" t="n">
        <v>0</v>
      </c>
    </row>
    <row r="1195">
      <c r="A1195" s="5" t="inlineStr">
        <is>
          <t>01a152b9-8253-77fa-bf49-a4b06616a317</t>
        </is>
      </c>
      <c r="C1195" s="5" t="inlineStr">
        <is>
          <t>01a152b9-6e67-75da-8adb-b03e5d07fd21</t>
        </is>
      </c>
      <c r="D1195" s="4" t="n">
        <v>46314.24596837807</v>
      </c>
      <c r="E1195" s="4" t="n">
        <v>46314.24596837821</v>
      </c>
      <c r="F1195" t="b">
        <v>1</v>
      </c>
      <c r="G1195" t="n">
        <v/>
      </c>
      <c r="H1195" t="inlineStr">
        <is>
          <t>GOAT</t>
        </is>
      </c>
      <c r="I1195" t="inlineStr">
        <is>
          <t>Vaneck Morningstar International Wide Moat ETF</t>
        </is>
      </c>
      <c r="J1195" t="inlineStr">
        <is>
          <t>AUD</t>
        </is>
      </c>
      <c r="K1195" s="5" t="inlineStr">
        <is>
          <t>01a152b9-6ee2-7577-bddd-382bc3853fde</t>
        </is>
      </c>
      <c r="M1195" t="inlineStr">
        <is>
          <t>UNKNOWN</t>
        </is>
      </c>
      <c r="N1195" t="inlineStr">
        <is>
          <t>DEFAULT</t>
        </is>
      </c>
      <c r="Q1195" t="n">
        <v>0</v>
      </c>
      <c r="R1195" t="inlineStr">
        <is>
          <t>AUD</t>
        </is>
      </c>
      <c r="S1195" t="n">
        <v>0</v>
      </c>
      <c r="T1195" t="inlineStr">
        <is>
          <t>AUD</t>
        </is>
      </c>
      <c r="U1195" t="n">
        <v>0</v>
      </c>
    </row>
    <row r="1196">
      <c r="A1196" s="5" t="inlineStr">
        <is>
          <t>01a152b9-8257-721a-aba8-5a4d39f01c6c</t>
        </is>
      </c>
      <c r="C1196" s="5" t="inlineStr">
        <is>
          <t>01a152b9-6e67-75da-8adb-b03e5d07fd21</t>
        </is>
      </c>
      <c r="D1196" s="4" t="n">
        <v>46314.24596841993</v>
      </c>
      <c r="E1196" s="4" t="n">
        <v>46314.24596842004</v>
      </c>
      <c r="F1196" t="b">
        <v>1</v>
      </c>
      <c r="G1196" t="n">
        <v/>
      </c>
      <c r="H1196" t="inlineStr">
        <is>
          <t>ARN</t>
        </is>
      </c>
      <c r="I1196" t="inlineStr">
        <is>
          <t>Aldoro Resources Ltd</t>
        </is>
      </c>
      <c r="J1196" t="inlineStr">
        <is>
          <t>AUD</t>
        </is>
      </c>
      <c r="K1196" s="5" t="inlineStr">
        <is>
          <t>01a152b9-6ee2-7577-bddd-382bc3853fde</t>
        </is>
      </c>
      <c r="M1196" t="inlineStr">
        <is>
          <t>UNKNOWN</t>
        </is>
      </c>
      <c r="N1196" t="inlineStr">
        <is>
          <t>DEFAULT</t>
        </is>
      </c>
      <c r="Q1196" t="n">
        <v>0</v>
      </c>
      <c r="R1196" t="inlineStr">
        <is>
          <t>AUD</t>
        </is>
      </c>
      <c r="S1196" t="n">
        <v>0</v>
      </c>
      <c r="T1196" t="inlineStr">
        <is>
          <t>AUD</t>
        </is>
      </c>
      <c r="U1196" t="n">
        <v>0</v>
      </c>
    </row>
    <row r="1197">
      <c r="A1197" s="5" t="inlineStr">
        <is>
          <t>01a152b9-825b-73c6-a399-2488f2a314fb</t>
        </is>
      </c>
      <c r="C1197" s="5" t="inlineStr">
        <is>
          <t>01a152b9-6e67-75da-8adb-b03e5d07fd21</t>
        </is>
      </c>
      <c r="D1197" s="4" t="n">
        <v>46314.24596846371</v>
      </c>
      <c r="E1197" s="4" t="n">
        <v>46314.24596846382</v>
      </c>
      <c r="F1197" t="b">
        <v>1</v>
      </c>
      <c r="G1197" t="n">
        <v/>
      </c>
      <c r="H1197" t="inlineStr">
        <is>
          <t>AWJ</t>
        </is>
      </c>
      <c r="I1197" t="inlineStr">
        <is>
          <t>Auric Mining Ltd</t>
        </is>
      </c>
      <c r="J1197" t="inlineStr">
        <is>
          <t>AUD</t>
        </is>
      </c>
      <c r="K1197" s="5" t="inlineStr">
        <is>
          <t>01a152b9-6ee2-7577-bddd-382bc3853fde</t>
        </is>
      </c>
      <c r="M1197" t="inlineStr">
        <is>
          <t>UNKNOWN</t>
        </is>
      </c>
      <c r="N1197" t="inlineStr">
        <is>
          <t>DEFAULT</t>
        </is>
      </c>
      <c r="Q1197" t="n">
        <v>0</v>
      </c>
      <c r="R1197" t="inlineStr">
        <is>
          <t>AUD</t>
        </is>
      </c>
      <c r="S1197" t="n">
        <v>0</v>
      </c>
      <c r="T1197" t="inlineStr">
        <is>
          <t>AUD</t>
        </is>
      </c>
      <c r="U1197" t="n">
        <v>0</v>
      </c>
    </row>
    <row r="1198">
      <c r="A1198" s="5" t="inlineStr">
        <is>
          <t>01a152b9-825e-7172-88b4-c84ac4357309</t>
        </is>
      </c>
      <c r="C1198" s="5" t="inlineStr">
        <is>
          <t>01a152b9-6e67-75da-8adb-b03e5d07fd21</t>
        </is>
      </c>
      <c r="D1198" s="4" t="n">
        <v>46314.24596850506</v>
      </c>
      <c r="E1198" s="4" t="n">
        <v>46314.24596850519</v>
      </c>
      <c r="F1198" t="b">
        <v>1</v>
      </c>
      <c r="G1198" t="n">
        <v/>
      </c>
      <c r="H1198" t="inlineStr">
        <is>
          <t>ATOM</t>
        </is>
      </c>
      <c r="I1198" t="inlineStr">
        <is>
          <t>Global X Uranium ETF</t>
        </is>
      </c>
      <c r="J1198" t="inlineStr">
        <is>
          <t>AUD</t>
        </is>
      </c>
      <c r="K1198" s="5" t="inlineStr">
        <is>
          <t>01a152b9-6ee2-7577-bddd-382bc3853fde</t>
        </is>
      </c>
      <c r="M1198" t="inlineStr">
        <is>
          <t>UNKNOWN</t>
        </is>
      </c>
      <c r="N1198" t="inlineStr">
        <is>
          <t>DEFAULT</t>
        </is>
      </c>
      <c r="Q1198" t="n">
        <v>0</v>
      </c>
      <c r="R1198" t="inlineStr">
        <is>
          <t>AUD</t>
        </is>
      </c>
      <c r="S1198" t="n">
        <v>0</v>
      </c>
      <c r="T1198" t="inlineStr">
        <is>
          <t>AUD</t>
        </is>
      </c>
      <c r="U1198" t="n">
        <v>0</v>
      </c>
    </row>
    <row r="1199">
      <c r="A1199" s="5" t="inlineStr">
        <is>
          <t>01a152b9-8262-7421-aaf1-55225f4e3ac4</t>
        </is>
      </c>
      <c r="C1199" s="5" t="inlineStr">
        <is>
          <t>01a152b9-6e67-75da-8adb-b03e5d07fd21</t>
        </is>
      </c>
      <c r="D1199" s="4" t="n">
        <v>46314.24596854967</v>
      </c>
      <c r="E1199" s="4" t="n">
        <v>46314.24596854979</v>
      </c>
      <c r="F1199" t="b">
        <v>1</v>
      </c>
      <c r="G1199" t="n">
        <v/>
      </c>
      <c r="H1199" t="inlineStr">
        <is>
          <t>MVP</t>
        </is>
      </c>
      <c r="I1199" t="inlineStr">
        <is>
          <t>Medical Developments International Ltd</t>
        </is>
      </c>
      <c r="J1199" t="inlineStr">
        <is>
          <t>AUD</t>
        </is>
      </c>
      <c r="K1199" s="5" t="inlineStr">
        <is>
          <t>01a152b9-6ee2-7577-bddd-382bc3853fde</t>
        </is>
      </c>
      <c r="M1199" t="inlineStr">
        <is>
          <t>UNKNOWN</t>
        </is>
      </c>
      <c r="N1199" t="inlineStr">
        <is>
          <t>DEFAULT</t>
        </is>
      </c>
      <c r="Q1199" t="n">
        <v>0</v>
      </c>
      <c r="R1199" t="inlineStr">
        <is>
          <t>AUD</t>
        </is>
      </c>
      <c r="S1199" t="n">
        <v>0</v>
      </c>
      <c r="T1199" t="inlineStr">
        <is>
          <t>AUD</t>
        </is>
      </c>
      <c r="U1199" t="n">
        <v>0</v>
      </c>
    </row>
    <row r="1200">
      <c r="A1200" s="5" t="inlineStr">
        <is>
          <t>01a152b9-8266-70e9-8779-98b5bfe57443</t>
        </is>
      </c>
      <c r="C1200" s="5" t="inlineStr">
        <is>
          <t>01a152b9-6e67-75da-8adb-b03e5d07fd21</t>
        </is>
      </c>
      <c r="D1200" s="4" t="n">
        <v>46314.24596859175</v>
      </c>
      <c r="E1200" s="4" t="n">
        <v>46314.24596859184</v>
      </c>
      <c r="F1200" t="b">
        <v>1</v>
      </c>
      <c r="G1200" t="n">
        <v/>
      </c>
      <c r="H1200" t="inlineStr">
        <is>
          <t>PTX</t>
        </is>
      </c>
      <c r="I1200" t="inlineStr">
        <is>
          <t>Prescient Therapeutics Ltd</t>
        </is>
      </c>
      <c r="J1200" t="inlineStr">
        <is>
          <t>AUD</t>
        </is>
      </c>
      <c r="K1200" s="5" t="inlineStr">
        <is>
          <t>01a152b9-6ee2-7577-bddd-382bc3853fde</t>
        </is>
      </c>
      <c r="M1200" t="inlineStr">
        <is>
          <t>UNKNOWN</t>
        </is>
      </c>
      <c r="N1200" t="inlineStr">
        <is>
          <t>DEFAULT</t>
        </is>
      </c>
      <c r="Q1200" t="n">
        <v>0</v>
      </c>
      <c r="R1200" t="inlineStr">
        <is>
          <t>AUD</t>
        </is>
      </c>
      <c r="S1200" t="n">
        <v>0</v>
      </c>
      <c r="T1200" t="inlineStr">
        <is>
          <t>AUD</t>
        </is>
      </c>
      <c r="U1200" t="n">
        <v>0</v>
      </c>
    </row>
    <row r="1201">
      <c r="A1201" s="5" t="inlineStr">
        <is>
          <t>01a152b9-8269-742f-97dd-528d8fa35b69</t>
        </is>
      </c>
      <c r="C1201" s="5" t="inlineStr">
        <is>
          <t>01a152b9-6e67-75da-8adb-b03e5d07fd21</t>
        </is>
      </c>
      <c r="D1201" s="4" t="n">
        <v>46314.24596863572</v>
      </c>
      <c r="E1201" s="4" t="n">
        <v>46314.24596863586</v>
      </c>
      <c r="F1201" t="b">
        <v>1</v>
      </c>
      <c r="G1201" t="n">
        <v/>
      </c>
      <c r="H1201" t="inlineStr">
        <is>
          <t>VIT</t>
        </is>
      </c>
      <c r="I1201" t="inlineStr">
        <is>
          <t>Vitura Health Ltd</t>
        </is>
      </c>
      <c r="J1201" t="inlineStr">
        <is>
          <t>AUD</t>
        </is>
      </c>
      <c r="K1201" s="5" t="inlineStr">
        <is>
          <t>01a152b9-6ee2-7577-bddd-382bc3853fde</t>
        </is>
      </c>
      <c r="M1201" t="inlineStr">
        <is>
          <t>UNKNOWN</t>
        </is>
      </c>
      <c r="N1201" t="inlineStr">
        <is>
          <t>DEFAULT</t>
        </is>
      </c>
      <c r="Q1201" t="n">
        <v>0</v>
      </c>
      <c r="R1201" t="inlineStr">
        <is>
          <t>AUD</t>
        </is>
      </c>
      <c r="S1201" t="n">
        <v>0</v>
      </c>
      <c r="T1201" t="inlineStr">
        <is>
          <t>AUD</t>
        </is>
      </c>
      <c r="U1201" t="n">
        <v>0</v>
      </c>
    </row>
    <row r="1202">
      <c r="A1202" s="5" t="inlineStr">
        <is>
          <t>01a152b9-826f-7526-8b36-003b22085ac4</t>
        </is>
      </c>
      <c r="C1202" s="5" t="inlineStr">
        <is>
          <t>01a152b9-6e67-75da-8adb-b03e5d07fd21</t>
        </is>
      </c>
      <c r="D1202" s="4" t="n">
        <v>46314.24596870163</v>
      </c>
      <c r="E1202" s="4" t="n">
        <v>46314.24596870184</v>
      </c>
      <c r="F1202" t="b">
        <v>1</v>
      </c>
      <c r="G1202" t="n">
        <v/>
      </c>
      <c r="H1202" t="inlineStr">
        <is>
          <t>HEUR</t>
        </is>
      </c>
      <c r="I1202" t="inlineStr">
        <is>
          <t>Betashares Europe Currency Hedged ETF</t>
        </is>
      </c>
      <c r="J1202" t="inlineStr">
        <is>
          <t>AUD</t>
        </is>
      </c>
      <c r="K1202" s="5" t="inlineStr">
        <is>
          <t>01a152b9-6ee2-7577-bddd-382bc3853fde</t>
        </is>
      </c>
      <c r="M1202" t="inlineStr">
        <is>
          <t>UNKNOWN</t>
        </is>
      </c>
      <c r="N1202" t="inlineStr">
        <is>
          <t>DEFAULT</t>
        </is>
      </c>
      <c r="Q1202" t="n">
        <v>0</v>
      </c>
      <c r="R1202" t="inlineStr">
        <is>
          <t>AUD</t>
        </is>
      </c>
      <c r="S1202" t="n">
        <v>0</v>
      </c>
      <c r="T1202" t="inlineStr">
        <is>
          <t>AUD</t>
        </is>
      </c>
      <c r="U1202" t="n">
        <v>0</v>
      </c>
    </row>
    <row r="1203">
      <c r="A1203" s="5" t="inlineStr">
        <is>
          <t>01a152b9-8276-7664-aa27-00c6126541b5</t>
        </is>
      </c>
      <c r="C1203" s="5" t="inlineStr">
        <is>
          <t>01a152b9-6e67-75da-8adb-b03e5d07fd21</t>
        </is>
      </c>
      <c r="D1203" s="4" t="n">
        <v>46314.24596878104</v>
      </c>
      <c r="E1203" s="4" t="n">
        <v>46314.24596878119</v>
      </c>
      <c r="F1203" t="b">
        <v>1</v>
      </c>
      <c r="G1203" t="n">
        <v/>
      </c>
      <c r="H1203" t="inlineStr">
        <is>
          <t>PVE</t>
        </is>
      </c>
      <c r="I1203" t="inlineStr">
        <is>
          <t>Po Valley Energy Ltd</t>
        </is>
      </c>
      <c r="J1203" t="inlineStr">
        <is>
          <t>AUD</t>
        </is>
      </c>
      <c r="K1203" s="5" t="inlineStr">
        <is>
          <t>01a152b9-6ee2-7577-bddd-382bc3853fde</t>
        </is>
      </c>
      <c r="M1203" t="inlineStr">
        <is>
          <t>UNKNOWN</t>
        </is>
      </c>
      <c r="N1203" t="inlineStr">
        <is>
          <t>DEFAULT</t>
        </is>
      </c>
      <c r="Q1203" t="n">
        <v>0</v>
      </c>
      <c r="R1203" t="inlineStr">
        <is>
          <t>AUD</t>
        </is>
      </c>
      <c r="S1203" t="n">
        <v>0</v>
      </c>
      <c r="T1203" t="inlineStr">
        <is>
          <t>AUD</t>
        </is>
      </c>
      <c r="U1203" t="n">
        <v>0</v>
      </c>
    </row>
    <row r="1204">
      <c r="A1204" s="5" t="inlineStr">
        <is>
          <t>01a152b9-827a-727c-a59f-994032e76154</t>
        </is>
      </c>
      <c r="C1204" s="5" t="inlineStr">
        <is>
          <t>01a152b9-6e67-75da-8adb-b03e5d07fd21</t>
        </is>
      </c>
      <c r="D1204" s="4" t="n">
        <v>46314.24596882504</v>
      </c>
      <c r="E1204" s="4" t="n">
        <v>46314.24596882515</v>
      </c>
      <c r="F1204" t="b">
        <v>1</v>
      </c>
      <c r="G1204" t="n">
        <v/>
      </c>
      <c r="H1204" t="inlineStr">
        <is>
          <t>CYM</t>
        </is>
      </c>
      <c r="I1204" t="inlineStr">
        <is>
          <t>Cyprium Metals Ltd</t>
        </is>
      </c>
      <c r="J1204" t="inlineStr">
        <is>
          <t>AUD</t>
        </is>
      </c>
      <c r="K1204" s="5" t="inlineStr">
        <is>
          <t>01a152b9-6ee2-7577-bddd-382bc3853fde</t>
        </is>
      </c>
      <c r="M1204" t="inlineStr">
        <is>
          <t>UNKNOWN</t>
        </is>
      </c>
      <c r="N1204" t="inlineStr">
        <is>
          <t>DEFAULT</t>
        </is>
      </c>
      <c r="Q1204" t="n">
        <v>0</v>
      </c>
      <c r="R1204" t="inlineStr">
        <is>
          <t>AUD</t>
        </is>
      </c>
      <c r="S1204" t="n">
        <v>0</v>
      </c>
      <c r="T1204" t="inlineStr">
        <is>
          <t>AUD</t>
        </is>
      </c>
      <c r="U1204" t="n">
        <v>0</v>
      </c>
    </row>
    <row r="1205">
      <c r="A1205" s="5" t="inlineStr">
        <is>
          <t>01a152b9-827d-75a1-871b-666c7d9f9a16</t>
        </is>
      </c>
      <c r="C1205" s="5" t="inlineStr">
        <is>
          <t>01a152b9-6e67-75da-8adb-b03e5d07fd21</t>
        </is>
      </c>
      <c r="D1205" s="4" t="n">
        <v>46314.24596886412</v>
      </c>
      <c r="E1205" s="4" t="n">
        <v>46314.24596886423</v>
      </c>
      <c r="F1205" t="b">
        <v>1</v>
      </c>
      <c r="G1205" t="n">
        <v/>
      </c>
      <c r="H1205" t="inlineStr">
        <is>
          <t>SPX</t>
        </is>
      </c>
      <c r="I1205" t="inlineStr">
        <is>
          <t>Spenda Ltd</t>
        </is>
      </c>
      <c r="J1205" t="inlineStr">
        <is>
          <t>AUD</t>
        </is>
      </c>
      <c r="K1205" s="5" t="inlineStr">
        <is>
          <t>01a152b9-6ee2-7577-bddd-382bc3853fde</t>
        </is>
      </c>
      <c r="M1205" t="inlineStr">
        <is>
          <t>UNKNOWN</t>
        </is>
      </c>
      <c r="N1205" t="inlineStr">
        <is>
          <t>DEFAULT</t>
        </is>
      </c>
      <c r="Q1205" t="n">
        <v>0</v>
      </c>
      <c r="R1205" t="inlineStr">
        <is>
          <t>AUD</t>
        </is>
      </c>
      <c r="S1205" t="n">
        <v>0</v>
      </c>
      <c r="T1205" t="inlineStr">
        <is>
          <t>AUD</t>
        </is>
      </c>
      <c r="U1205" t="n">
        <v>0</v>
      </c>
    </row>
    <row r="1206">
      <c r="A1206" s="5" t="inlineStr">
        <is>
          <t>01a152b9-8281-774a-b61a-8e7618908b25</t>
        </is>
      </c>
      <c r="C1206" s="5" t="inlineStr">
        <is>
          <t>01a152b9-6e67-75da-8adb-b03e5d07fd21</t>
        </is>
      </c>
      <c r="D1206" s="4" t="n">
        <v>46314.24596890759</v>
      </c>
      <c r="E1206" s="4" t="n">
        <v>46314.24596890771</v>
      </c>
      <c r="F1206" t="b">
        <v>1</v>
      </c>
      <c r="G1206" t="n">
        <v/>
      </c>
      <c r="H1206" t="inlineStr">
        <is>
          <t>M4M</t>
        </is>
      </c>
      <c r="I1206" t="inlineStr">
        <is>
          <t>Macro Metals Ltd</t>
        </is>
      </c>
      <c r="J1206" t="inlineStr">
        <is>
          <t>AUD</t>
        </is>
      </c>
      <c r="K1206" s="5" t="inlineStr">
        <is>
          <t>01a152b9-6ee2-7577-bddd-382bc3853fde</t>
        </is>
      </c>
      <c r="M1206" t="inlineStr">
        <is>
          <t>UNKNOWN</t>
        </is>
      </c>
      <c r="N1206" t="inlineStr">
        <is>
          <t>DEFAULT</t>
        </is>
      </c>
      <c r="Q1206" t="n">
        <v>0</v>
      </c>
      <c r="R1206" t="inlineStr">
        <is>
          <t>AUD</t>
        </is>
      </c>
      <c r="S1206" t="n">
        <v>0</v>
      </c>
      <c r="T1206" t="inlineStr">
        <is>
          <t>AUD</t>
        </is>
      </c>
      <c r="U1206" t="n">
        <v>0</v>
      </c>
    </row>
    <row r="1207">
      <c r="A1207" s="5" t="inlineStr">
        <is>
          <t>01a152b9-8285-7655-8178-156663c527fc</t>
        </is>
      </c>
      <c r="C1207" s="5" t="inlineStr">
        <is>
          <t>01a152b9-6e67-75da-8adb-b03e5d07fd21</t>
        </is>
      </c>
      <c r="D1207" s="4" t="n">
        <v>46314.24596894978</v>
      </c>
      <c r="E1207" s="4" t="n">
        <v>46314.24596894989</v>
      </c>
      <c r="F1207" t="b">
        <v>1</v>
      </c>
      <c r="G1207" t="n">
        <v/>
      </c>
      <c r="H1207" t="inlineStr">
        <is>
          <t>SSR</t>
        </is>
      </c>
      <c r="I1207" t="inlineStr">
        <is>
          <t>SSR Mining Inc</t>
        </is>
      </c>
      <c r="J1207" t="inlineStr">
        <is>
          <t>AUD</t>
        </is>
      </c>
      <c r="K1207" s="5" t="inlineStr">
        <is>
          <t>01a152b9-6ee2-7577-bddd-382bc3853fde</t>
        </is>
      </c>
      <c r="M1207" t="inlineStr">
        <is>
          <t>UNKNOWN</t>
        </is>
      </c>
      <c r="N1207" t="inlineStr">
        <is>
          <t>DEFAULT</t>
        </is>
      </c>
      <c r="Q1207" t="n">
        <v>0</v>
      </c>
      <c r="R1207" t="inlineStr">
        <is>
          <t>AUD</t>
        </is>
      </c>
      <c r="S1207" t="n">
        <v>0</v>
      </c>
      <c r="T1207" t="inlineStr">
        <is>
          <t>AUD</t>
        </is>
      </c>
      <c r="U1207" t="n">
        <v>0</v>
      </c>
    </row>
    <row r="1208">
      <c r="A1208" s="5" t="inlineStr">
        <is>
          <t>01a152b9-8289-7398-9154-93553e22e820</t>
        </is>
      </c>
      <c r="C1208" s="5" t="inlineStr">
        <is>
          <t>01a152b9-6e67-75da-8adb-b03e5d07fd21</t>
        </is>
      </c>
      <c r="D1208" s="4" t="n">
        <v>46314.24596899462</v>
      </c>
      <c r="E1208" s="4" t="n">
        <v>46314.24596899474</v>
      </c>
      <c r="F1208" t="b">
        <v>1</v>
      </c>
      <c r="G1208" t="n">
        <v/>
      </c>
      <c r="H1208" t="inlineStr">
        <is>
          <t>BVR</t>
        </is>
      </c>
      <c r="I1208" t="inlineStr">
        <is>
          <t>Bellavista Resources Ltd</t>
        </is>
      </c>
      <c r="J1208" t="inlineStr">
        <is>
          <t>AUD</t>
        </is>
      </c>
      <c r="K1208" s="5" t="inlineStr">
        <is>
          <t>01a152b9-6ee2-7577-bddd-382bc3853fde</t>
        </is>
      </c>
      <c r="M1208" t="inlineStr">
        <is>
          <t>UNKNOWN</t>
        </is>
      </c>
      <c r="N1208" t="inlineStr">
        <is>
          <t>DEFAULT</t>
        </is>
      </c>
      <c r="Q1208" t="n">
        <v>0</v>
      </c>
      <c r="R1208" t="inlineStr">
        <is>
          <t>AUD</t>
        </is>
      </c>
      <c r="S1208" t="n">
        <v>0</v>
      </c>
      <c r="T1208" t="inlineStr">
        <is>
          <t>AUD</t>
        </is>
      </c>
      <c r="U1208" t="n">
        <v>0</v>
      </c>
    </row>
    <row r="1209">
      <c r="A1209" s="5" t="inlineStr">
        <is>
          <t>01a152b9-828d-7695-a607-cc49c1bff31e</t>
        </is>
      </c>
      <c r="C1209" s="5" t="inlineStr">
        <is>
          <t>01a152b9-6e67-75da-8adb-b03e5d07fd21</t>
        </is>
      </c>
      <c r="D1209" s="4" t="n">
        <v>46314.24596904229</v>
      </c>
      <c r="E1209" s="4" t="n">
        <v>46314.24596904242</v>
      </c>
      <c r="F1209" t="b">
        <v>1</v>
      </c>
      <c r="G1209" t="n">
        <v/>
      </c>
      <c r="H1209" t="inlineStr">
        <is>
          <t>WA8</t>
        </is>
      </c>
      <c r="I1209" t="inlineStr">
        <is>
          <t>Warriedar Resources Ltd</t>
        </is>
      </c>
      <c r="J1209" t="inlineStr">
        <is>
          <t>AUD</t>
        </is>
      </c>
      <c r="K1209" s="5" t="inlineStr">
        <is>
          <t>01a152b9-6ee2-7577-bddd-382bc3853fde</t>
        </is>
      </c>
      <c r="M1209" t="inlineStr">
        <is>
          <t>UNKNOWN</t>
        </is>
      </c>
      <c r="N1209" t="inlineStr">
        <is>
          <t>DEFAULT</t>
        </is>
      </c>
      <c r="Q1209" t="n">
        <v>0</v>
      </c>
      <c r="R1209" t="inlineStr">
        <is>
          <t>AUD</t>
        </is>
      </c>
      <c r="S1209" t="n">
        <v>0</v>
      </c>
      <c r="T1209" t="inlineStr">
        <is>
          <t>AUD</t>
        </is>
      </c>
      <c r="U1209" t="n">
        <v>0</v>
      </c>
    </row>
    <row r="1210">
      <c r="A1210" s="5" t="inlineStr">
        <is>
          <t>01a152b9-8291-720a-ab6c-e893ee3bd9d3</t>
        </is>
      </c>
      <c r="C1210" s="5" t="inlineStr">
        <is>
          <t>01a152b9-6e67-75da-8adb-b03e5d07fd21</t>
        </is>
      </c>
      <c r="D1210" s="4" t="n">
        <v>46314.24596908757</v>
      </c>
      <c r="E1210" s="4" t="n">
        <v>46314.2459690877</v>
      </c>
      <c r="F1210" t="b">
        <v>1</v>
      </c>
      <c r="G1210" t="n">
        <v/>
      </c>
      <c r="H1210" t="inlineStr">
        <is>
          <t>LRT</t>
        </is>
      </c>
      <c r="I1210" t="inlineStr">
        <is>
          <t>Lowell Resources Fund</t>
        </is>
      </c>
      <c r="J1210" t="inlineStr">
        <is>
          <t>AUD</t>
        </is>
      </c>
      <c r="K1210" s="5" t="inlineStr">
        <is>
          <t>01a152b9-6ee2-7577-bddd-382bc3853fde</t>
        </is>
      </c>
      <c r="M1210" t="inlineStr">
        <is>
          <t>UNKNOWN</t>
        </is>
      </c>
      <c r="N1210" t="inlineStr">
        <is>
          <t>DEFAULT</t>
        </is>
      </c>
      <c r="Q1210" t="n">
        <v>0</v>
      </c>
      <c r="R1210" t="inlineStr">
        <is>
          <t>AUD</t>
        </is>
      </c>
      <c r="S1210" t="n">
        <v>0</v>
      </c>
      <c r="T1210" t="inlineStr">
        <is>
          <t>AUD</t>
        </is>
      </c>
      <c r="U1210" t="n">
        <v>0</v>
      </c>
    </row>
    <row r="1211">
      <c r="A1211" s="5" t="inlineStr">
        <is>
          <t>01a152b9-8294-702e-961d-72ecd9a1f51d</t>
        </is>
      </c>
      <c r="C1211" s="5" t="inlineStr">
        <is>
          <t>01a152b9-6e67-75da-8adb-b03e5d07fd21</t>
        </is>
      </c>
      <c r="D1211" s="4" t="n">
        <v>46314.24596912975</v>
      </c>
      <c r="E1211" s="4" t="n">
        <v>46314.24596912987</v>
      </c>
      <c r="F1211" t="b">
        <v>1</v>
      </c>
      <c r="G1211" t="n">
        <v/>
      </c>
      <c r="H1211" t="inlineStr">
        <is>
          <t>SPD</t>
        </is>
      </c>
      <c r="I1211" t="inlineStr">
        <is>
          <t>Southern Palladium Ltd</t>
        </is>
      </c>
      <c r="J1211" t="inlineStr">
        <is>
          <t>AUD</t>
        </is>
      </c>
      <c r="K1211" s="5" t="inlineStr">
        <is>
          <t>01a152b9-6ee2-7577-bddd-382bc3853fde</t>
        </is>
      </c>
      <c r="M1211" t="inlineStr">
        <is>
          <t>UNKNOWN</t>
        </is>
      </c>
      <c r="N1211" t="inlineStr">
        <is>
          <t>DEFAULT</t>
        </is>
      </c>
      <c r="Q1211" t="n">
        <v>0</v>
      </c>
      <c r="R1211" t="inlineStr">
        <is>
          <t>AUD</t>
        </is>
      </c>
      <c r="S1211" t="n">
        <v>0</v>
      </c>
      <c r="T1211" t="inlineStr">
        <is>
          <t>AUD</t>
        </is>
      </c>
      <c r="U1211" t="n">
        <v>0</v>
      </c>
    </row>
    <row r="1212">
      <c r="A1212" s="5" t="inlineStr">
        <is>
          <t>01a152b9-8297-70b5-a074-0ed6d15256e9</t>
        </is>
      </c>
      <c r="C1212" s="5" t="inlineStr">
        <is>
          <t>01a152b9-6e67-75da-8adb-b03e5d07fd21</t>
        </is>
      </c>
      <c r="D1212" s="4" t="n">
        <v>46314.24596916572</v>
      </c>
      <c r="E1212" s="4" t="n">
        <v>46314.24596916582</v>
      </c>
      <c r="F1212" t="b">
        <v>1</v>
      </c>
      <c r="G1212" t="n">
        <v/>
      </c>
      <c r="H1212" t="inlineStr">
        <is>
          <t>TYP</t>
        </is>
      </c>
      <c r="I1212" t="inlineStr">
        <is>
          <t>Tryptamine Therapeutics Ltd</t>
        </is>
      </c>
      <c r="J1212" t="inlineStr">
        <is>
          <t>AUD</t>
        </is>
      </c>
      <c r="K1212" s="5" t="inlineStr">
        <is>
          <t>01a152b9-6ee2-7577-bddd-382bc3853fde</t>
        </is>
      </c>
      <c r="M1212" t="inlineStr">
        <is>
          <t>UNKNOWN</t>
        </is>
      </c>
      <c r="N1212" t="inlineStr">
        <is>
          <t>DEFAULT</t>
        </is>
      </c>
      <c r="Q1212" t="n">
        <v>0</v>
      </c>
      <c r="R1212" t="inlineStr">
        <is>
          <t>AUD</t>
        </is>
      </c>
      <c r="S1212" t="n">
        <v>0</v>
      </c>
      <c r="T1212" t="inlineStr">
        <is>
          <t>AUD</t>
        </is>
      </c>
      <c r="U1212" t="n">
        <v>0</v>
      </c>
    </row>
    <row r="1213">
      <c r="A1213" s="5" t="inlineStr">
        <is>
          <t>01a152b9-829b-751e-871c-f831ff84883e</t>
        </is>
      </c>
      <c r="C1213" s="5" t="inlineStr">
        <is>
          <t>01a152b9-6e67-75da-8adb-b03e5d07fd21</t>
        </is>
      </c>
      <c r="D1213" s="4" t="n">
        <v>46314.24596920397</v>
      </c>
      <c r="E1213" s="4" t="n">
        <v>46314.24596920406</v>
      </c>
      <c r="F1213" t="b">
        <v>1</v>
      </c>
      <c r="G1213" t="n">
        <v/>
      </c>
      <c r="H1213" t="inlineStr">
        <is>
          <t>BRK</t>
        </is>
      </c>
      <c r="I1213" t="inlineStr">
        <is>
          <t>Brookside Energy Ltd</t>
        </is>
      </c>
      <c r="J1213" t="inlineStr">
        <is>
          <t>AUD</t>
        </is>
      </c>
      <c r="K1213" s="5" t="inlineStr">
        <is>
          <t>01a152b9-6ee2-7577-bddd-382bc3853fde</t>
        </is>
      </c>
      <c r="M1213" t="inlineStr">
        <is>
          <t>UNKNOWN</t>
        </is>
      </c>
      <c r="N1213" t="inlineStr">
        <is>
          <t>DEFAULT</t>
        </is>
      </c>
      <c r="Q1213" t="n">
        <v>0</v>
      </c>
      <c r="R1213" t="inlineStr">
        <is>
          <t>AUD</t>
        </is>
      </c>
      <c r="S1213" t="n">
        <v>0</v>
      </c>
      <c r="T1213" t="inlineStr">
        <is>
          <t>AUD</t>
        </is>
      </c>
      <c r="U1213" t="n">
        <v>0</v>
      </c>
    </row>
    <row r="1214">
      <c r="A1214" s="5" t="inlineStr">
        <is>
          <t>01a152b9-829e-768b-93bb-b2100a6ccc02</t>
        </is>
      </c>
      <c r="C1214" s="5" t="inlineStr">
        <is>
          <t>01a152b9-6e67-75da-8adb-b03e5d07fd21</t>
        </is>
      </c>
      <c r="D1214" s="4" t="n">
        <v>46314.24596924123</v>
      </c>
      <c r="E1214" s="4" t="n">
        <v>46314.24596924132</v>
      </c>
      <c r="F1214" t="b">
        <v>1</v>
      </c>
      <c r="G1214" t="n">
        <v/>
      </c>
      <c r="H1214" t="inlineStr">
        <is>
          <t>EDC</t>
        </is>
      </c>
      <c r="I1214" t="inlineStr">
        <is>
          <t>Eildon Capital Group</t>
        </is>
      </c>
      <c r="J1214" t="inlineStr">
        <is>
          <t>AUD</t>
        </is>
      </c>
      <c r="K1214" s="5" t="inlineStr">
        <is>
          <t>01a152b9-6ee2-7577-bddd-382bc3853fde</t>
        </is>
      </c>
      <c r="M1214" t="inlineStr">
        <is>
          <t>UNKNOWN</t>
        </is>
      </c>
      <c r="N1214" t="inlineStr">
        <is>
          <t>DEFAULT</t>
        </is>
      </c>
      <c r="Q1214" t="n">
        <v>0</v>
      </c>
      <c r="R1214" t="inlineStr">
        <is>
          <t>AUD</t>
        </is>
      </c>
      <c r="S1214" t="n">
        <v>0</v>
      </c>
      <c r="T1214" t="inlineStr">
        <is>
          <t>AUD</t>
        </is>
      </c>
      <c r="U1214" t="n">
        <v>0</v>
      </c>
    </row>
    <row r="1215">
      <c r="A1215" s="5" t="inlineStr">
        <is>
          <t>01a152b9-82a1-77da-b912-7b3b7653dec3</t>
        </is>
      </c>
      <c r="C1215" s="5" t="inlineStr">
        <is>
          <t>01a152b9-6e67-75da-8adb-b03e5d07fd21</t>
        </is>
      </c>
      <c r="D1215" s="4" t="n">
        <v>46314.24596927751</v>
      </c>
      <c r="E1215" s="4" t="n">
        <v>46314.2459692776</v>
      </c>
      <c r="F1215" t="b">
        <v>1</v>
      </c>
      <c r="G1215" t="n">
        <v/>
      </c>
      <c r="H1215" t="inlineStr">
        <is>
          <t>LM8</t>
        </is>
      </c>
      <c r="I1215" t="inlineStr">
        <is>
          <t>Lunnon Metals Ltd</t>
        </is>
      </c>
      <c r="J1215" t="inlineStr">
        <is>
          <t>AUD</t>
        </is>
      </c>
      <c r="K1215" s="5" t="inlineStr">
        <is>
          <t>01a152b9-6ee2-7577-bddd-382bc3853fde</t>
        </is>
      </c>
      <c r="M1215" t="inlineStr">
        <is>
          <t>UNKNOWN</t>
        </is>
      </c>
      <c r="N1215" t="inlineStr">
        <is>
          <t>DEFAULT</t>
        </is>
      </c>
      <c r="Q1215" t="n">
        <v>0</v>
      </c>
      <c r="R1215" t="inlineStr">
        <is>
          <t>AUD</t>
        </is>
      </c>
      <c r="S1215" t="n">
        <v>0</v>
      </c>
      <c r="T1215" t="inlineStr">
        <is>
          <t>AUD</t>
        </is>
      </c>
      <c r="U1215" t="n">
        <v>0</v>
      </c>
    </row>
    <row r="1216">
      <c r="A1216" s="5" t="inlineStr">
        <is>
          <t>01a152b9-82a4-72d4-8ea1-1aede531872a</t>
        </is>
      </c>
      <c r="C1216" s="5" t="inlineStr">
        <is>
          <t>01a152b9-6e67-75da-8adb-b03e5d07fd21</t>
        </is>
      </c>
      <c r="D1216" s="4" t="n">
        <v>46314.24596931381</v>
      </c>
      <c r="E1216" s="4" t="n">
        <v>46314.2459693139</v>
      </c>
      <c r="F1216" t="b">
        <v>1</v>
      </c>
      <c r="G1216" t="n">
        <v/>
      </c>
      <c r="H1216" t="inlineStr">
        <is>
          <t>IDT</t>
        </is>
      </c>
      <c r="I1216" t="inlineStr">
        <is>
          <t>IDT Australia Ltd</t>
        </is>
      </c>
      <c r="J1216" t="inlineStr">
        <is>
          <t>AUD</t>
        </is>
      </c>
      <c r="K1216" s="5" t="inlineStr">
        <is>
          <t>01a152b9-6ee2-7577-bddd-382bc3853fde</t>
        </is>
      </c>
      <c r="M1216" t="inlineStr">
        <is>
          <t>UNKNOWN</t>
        </is>
      </c>
      <c r="N1216" t="inlineStr">
        <is>
          <t>DEFAULT</t>
        </is>
      </c>
      <c r="Q1216" t="n">
        <v>0</v>
      </c>
      <c r="R1216" t="inlineStr">
        <is>
          <t>AUD</t>
        </is>
      </c>
      <c r="S1216" t="n">
        <v>0</v>
      </c>
      <c r="T1216" t="inlineStr">
        <is>
          <t>AUD</t>
        </is>
      </c>
      <c r="U1216" t="n">
        <v>0</v>
      </c>
    </row>
    <row r="1217">
      <c r="A1217" s="5" t="inlineStr">
        <is>
          <t>01a152b9-82a8-7218-9513-5535c66a9618</t>
        </is>
      </c>
      <c r="C1217" s="5" t="inlineStr">
        <is>
          <t>01a152b9-6e67-75da-8adb-b03e5d07fd21</t>
        </is>
      </c>
      <c r="D1217" s="4" t="n">
        <v>46314.24596935627</v>
      </c>
      <c r="E1217" s="4" t="n">
        <v>46314.24596935637</v>
      </c>
      <c r="F1217" t="b">
        <v>1</v>
      </c>
      <c r="G1217" t="n">
        <v/>
      </c>
      <c r="H1217" t="inlineStr">
        <is>
          <t>HMY</t>
        </is>
      </c>
      <c r="I1217" t="inlineStr">
        <is>
          <t>Harmoney Corp Ltd</t>
        </is>
      </c>
      <c r="J1217" t="inlineStr">
        <is>
          <t>AUD</t>
        </is>
      </c>
      <c r="K1217" s="5" t="inlineStr">
        <is>
          <t>01a152b9-6ee2-7577-bddd-382bc3853fde</t>
        </is>
      </c>
      <c r="M1217" t="inlineStr">
        <is>
          <t>UNKNOWN</t>
        </is>
      </c>
      <c r="N1217" t="inlineStr">
        <is>
          <t>DEFAULT</t>
        </is>
      </c>
      <c r="Q1217" t="n">
        <v>0</v>
      </c>
      <c r="R1217" t="inlineStr">
        <is>
          <t>AUD</t>
        </is>
      </c>
      <c r="S1217" t="n">
        <v>0</v>
      </c>
      <c r="T1217" t="inlineStr">
        <is>
          <t>AUD</t>
        </is>
      </c>
      <c r="U1217" t="n">
        <v>0</v>
      </c>
    </row>
    <row r="1218">
      <c r="A1218" s="5" t="inlineStr">
        <is>
          <t>01a152b9-82ab-74b6-855b-cfa4898f6ef1</t>
        </is>
      </c>
      <c r="C1218" s="5" t="inlineStr">
        <is>
          <t>01a152b9-6e67-75da-8adb-b03e5d07fd21</t>
        </is>
      </c>
      <c r="D1218" s="4" t="n">
        <v>46314.24596939189</v>
      </c>
      <c r="E1218" s="4" t="n">
        <v>46314.24596939198</v>
      </c>
      <c r="F1218" t="b">
        <v>1</v>
      </c>
      <c r="G1218" t="n">
        <v/>
      </c>
      <c r="H1218" t="inlineStr">
        <is>
          <t>CTP</t>
        </is>
      </c>
      <c r="I1218" t="inlineStr">
        <is>
          <t>Central Petroleum Ltd</t>
        </is>
      </c>
      <c r="J1218" t="inlineStr">
        <is>
          <t>AUD</t>
        </is>
      </c>
      <c r="K1218" s="5" t="inlineStr">
        <is>
          <t>01a152b9-6ee2-7577-bddd-382bc3853fde</t>
        </is>
      </c>
      <c r="M1218" t="inlineStr">
        <is>
          <t>UNKNOWN</t>
        </is>
      </c>
      <c r="N1218" t="inlineStr">
        <is>
          <t>DEFAULT</t>
        </is>
      </c>
      <c r="Q1218" t="n">
        <v>0</v>
      </c>
      <c r="R1218" t="inlineStr">
        <is>
          <t>AUD</t>
        </is>
      </c>
      <c r="S1218" t="n">
        <v>0</v>
      </c>
      <c r="T1218" t="inlineStr">
        <is>
          <t>AUD</t>
        </is>
      </c>
      <c r="U1218" t="n">
        <v>0</v>
      </c>
    </row>
    <row r="1219">
      <c r="A1219" s="5" t="inlineStr">
        <is>
          <t>01a152b9-82ae-7612-b1c1-5562e995e876</t>
        </is>
      </c>
      <c r="C1219" s="5" t="inlineStr">
        <is>
          <t>01a152b9-6e67-75da-8adb-b03e5d07fd21</t>
        </is>
      </c>
      <c r="D1219" s="4" t="n">
        <v>46314.24596942756</v>
      </c>
      <c r="E1219" s="4" t="n">
        <v>46314.24596942765</v>
      </c>
      <c r="F1219" t="b">
        <v>1</v>
      </c>
      <c r="G1219" t="n">
        <v/>
      </c>
      <c r="H1219" t="inlineStr">
        <is>
          <t>SEN</t>
        </is>
      </c>
      <c r="I1219" t="inlineStr">
        <is>
          <t>Senetas Corporation Ltd</t>
        </is>
      </c>
      <c r="J1219" t="inlineStr">
        <is>
          <t>AUD</t>
        </is>
      </c>
      <c r="K1219" s="5" t="inlineStr">
        <is>
          <t>01a152b9-6ee2-7577-bddd-382bc3853fde</t>
        </is>
      </c>
      <c r="M1219" t="inlineStr">
        <is>
          <t>UNKNOWN</t>
        </is>
      </c>
      <c r="N1219" t="inlineStr">
        <is>
          <t>DEFAULT</t>
        </is>
      </c>
      <c r="Q1219" t="n">
        <v>0</v>
      </c>
      <c r="R1219" t="inlineStr">
        <is>
          <t>AUD</t>
        </is>
      </c>
      <c r="S1219" t="n">
        <v>0</v>
      </c>
      <c r="T1219" t="inlineStr">
        <is>
          <t>AUD</t>
        </is>
      </c>
      <c r="U1219" t="n">
        <v>0</v>
      </c>
    </row>
    <row r="1220">
      <c r="A1220" s="5" t="inlineStr">
        <is>
          <t>01a152b9-82b1-70b4-a6e4-e9649f9a8c5e</t>
        </is>
      </c>
      <c r="C1220" s="5" t="inlineStr">
        <is>
          <t>01a152b9-6e67-75da-8adb-b03e5d07fd21</t>
        </is>
      </c>
      <c r="D1220" s="4" t="n">
        <v>46314.24596946362</v>
      </c>
      <c r="E1220" s="4" t="n">
        <v>46314.24596946371</v>
      </c>
      <c r="F1220" t="b">
        <v>1</v>
      </c>
      <c r="G1220" t="n">
        <v/>
      </c>
      <c r="H1220" t="inlineStr">
        <is>
          <t>FFI</t>
        </is>
      </c>
      <c r="I1220" t="inlineStr">
        <is>
          <t>FFI Holdings Ltd</t>
        </is>
      </c>
      <c r="J1220" t="inlineStr">
        <is>
          <t>AUD</t>
        </is>
      </c>
      <c r="K1220" s="5" t="inlineStr">
        <is>
          <t>01a152b9-6ee2-7577-bddd-382bc3853fde</t>
        </is>
      </c>
      <c r="M1220" t="inlineStr">
        <is>
          <t>UNKNOWN</t>
        </is>
      </c>
      <c r="N1220" t="inlineStr">
        <is>
          <t>DEFAULT</t>
        </is>
      </c>
      <c r="Q1220" t="n">
        <v>0</v>
      </c>
      <c r="R1220" t="inlineStr">
        <is>
          <t>AUD</t>
        </is>
      </c>
      <c r="S1220" t="n">
        <v>0</v>
      </c>
      <c r="T1220" t="inlineStr">
        <is>
          <t>AUD</t>
        </is>
      </c>
      <c r="U1220" t="n">
        <v>0</v>
      </c>
    </row>
    <row r="1221">
      <c r="A1221" s="5" t="inlineStr">
        <is>
          <t>01a152b9-82b4-70ff-a180-3d26976b5bfc</t>
        </is>
      </c>
      <c r="C1221" s="5" t="inlineStr">
        <is>
          <t>01a152b9-6e67-75da-8adb-b03e5d07fd21</t>
        </is>
      </c>
      <c r="D1221" s="4" t="n">
        <v>46314.24596950009</v>
      </c>
      <c r="E1221" s="4" t="n">
        <v>46314.24596950021</v>
      </c>
      <c r="F1221" t="b">
        <v>1</v>
      </c>
      <c r="G1221" t="n">
        <v/>
      </c>
      <c r="H1221" t="inlineStr">
        <is>
          <t>WZR</t>
        </is>
      </c>
      <c r="I1221" t="inlineStr">
        <is>
          <t>Wisr Ltd</t>
        </is>
      </c>
      <c r="J1221" t="inlineStr">
        <is>
          <t>AUD</t>
        </is>
      </c>
      <c r="K1221" s="5" t="inlineStr">
        <is>
          <t>01a152b9-6ee2-7577-bddd-382bc3853fde</t>
        </is>
      </c>
      <c r="M1221" t="inlineStr">
        <is>
          <t>UNKNOWN</t>
        </is>
      </c>
      <c r="N1221" t="inlineStr">
        <is>
          <t>DEFAULT</t>
        </is>
      </c>
      <c r="Q1221" t="n">
        <v>0</v>
      </c>
      <c r="R1221" t="inlineStr">
        <is>
          <t>AUD</t>
        </is>
      </c>
      <c r="S1221" t="n">
        <v>0</v>
      </c>
      <c r="T1221" t="inlineStr">
        <is>
          <t>AUD</t>
        </is>
      </c>
      <c r="U1221" t="n">
        <v>0</v>
      </c>
    </row>
    <row r="1222">
      <c r="A1222" s="5" t="inlineStr">
        <is>
          <t>01a152b9-82b8-72cc-98a7-de7a78225cdb</t>
        </is>
      </c>
      <c r="C1222" s="5" t="inlineStr">
        <is>
          <t>01a152b9-6e67-75da-8adb-b03e5d07fd21</t>
        </is>
      </c>
      <c r="D1222" s="4" t="n">
        <v>46314.24596954195</v>
      </c>
      <c r="E1222" s="4" t="n">
        <v>46314.24596954206</v>
      </c>
      <c r="F1222" t="b">
        <v>1</v>
      </c>
      <c r="G1222" t="n">
        <v/>
      </c>
      <c r="H1222" t="inlineStr">
        <is>
          <t>IR1</t>
        </is>
      </c>
      <c r="I1222" t="inlineStr">
        <is>
          <t>Iris Metals Ltd</t>
        </is>
      </c>
      <c r="J1222" t="inlineStr">
        <is>
          <t>AUD</t>
        </is>
      </c>
      <c r="K1222" s="5" t="inlineStr">
        <is>
          <t>01a152b9-6ee2-7577-bddd-382bc3853fde</t>
        </is>
      </c>
      <c r="M1222" t="inlineStr">
        <is>
          <t>UNKNOWN</t>
        </is>
      </c>
      <c r="N1222" t="inlineStr">
        <is>
          <t>DEFAULT</t>
        </is>
      </c>
      <c r="Q1222" t="n">
        <v>0</v>
      </c>
      <c r="R1222" t="inlineStr">
        <is>
          <t>AUD</t>
        </is>
      </c>
      <c r="S1222" t="n">
        <v>0</v>
      </c>
      <c r="T1222" t="inlineStr">
        <is>
          <t>AUD</t>
        </is>
      </c>
      <c r="U1222" t="n">
        <v>0</v>
      </c>
    </row>
    <row r="1223">
      <c r="A1223" s="5" t="inlineStr">
        <is>
          <t>01a152b9-82bb-7455-b928-807ecc87f0a8</t>
        </is>
      </c>
      <c r="C1223" s="5" t="inlineStr">
        <is>
          <t>01a152b9-6e67-75da-8adb-b03e5d07fd21</t>
        </is>
      </c>
      <c r="D1223" s="4" t="n">
        <v>46314.24596958215</v>
      </c>
      <c r="E1223" s="4" t="n">
        <v>46314.24596958227</v>
      </c>
      <c r="F1223" t="b">
        <v>1</v>
      </c>
      <c r="G1223" t="n">
        <v/>
      </c>
      <c r="H1223" t="inlineStr">
        <is>
          <t>G1A</t>
        </is>
      </c>
      <c r="I1223" t="inlineStr">
        <is>
          <t>Galena Mining Ltd</t>
        </is>
      </c>
      <c r="J1223" t="inlineStr">
        <is>
          <t>AUD</t>
        </is>
      </c>
      <c r="K1223" s="5" t="inlineStr">
        <is>
          <t>01a152b9-6ee2-7577-bddd-382bc3853fde</t>
        </is>
      </c>
      <c r="M1223" t="inlineStr">
        <is>
          <t>UNKNOWN</t>
        </is>
      </c>
      <c r="N1223" t="inlineStr">
        <is>
          <t>DEFAULT</t>
        </is>
      </c>
      <c r="Q1223" t="n">
        <v>0</v>
      </c>
      <c r="R1223" t="inlineStr">
        <is>
          <t>AUD</t>
        </is>
      </c>
      <c r="S1223" t="n">
        <v>0</v>
      </c>
      <c r="T1223" t="inlineStr">
        <is>
          <t>AUD</t>
        </is>
      </c>
      <c r="U1223" t="n">
        <v>0</v>
      </c>
    </row>
    <row r="1224">
      <c r="A1224" s="5" t="inlineStr">
        <is>
          <t>01a152b9-82bf-766f-97c4-611fc6faaf17</t>
        </is>
      </c>
      <c r="C1224" s="5" t="inlineStr">
        <is>
          <t>01a152b9-6e67-75da-8adb-b03e5d07fd21</t>
        </is>
      </c>
      <c r="D1224" s="4" t="n">
        <v>46314.24596962298</v>
      </c>
      <c r="E1224" s="4" t="n">
        <v>46314.2459696232</v>
      </c>
      <c r="F1224" t="b">
        <v>1</v>
      </c>
      <c r="G1224" t="n">
        <v/>
      </c>
      <c r="H1224" t="inlineStr">
        <is>
          <t>AIQ</t>
        </is>
      </c>
      <c r="I1224" t="inlineStr">
        <is>
          <t>Alternative Investment Trust</t>
        </is>
      </c>
      <c r="J1224" t="inlineStr">
        <is>
          <t>AUD</t>
        </is>
      </c>
      <c r="K1224" s="5" t="inlineStr">
        <is>
          <t>01a152b9-6ee2-7577-bddd-382bc3853fde</t>
        </is>
      </c>
      <c r="M1224" t="inlineStr">
        <is>
          <t>UNKNOWN</t>
        </is>
      </c>
      <c r="N1224" t="inlineStr">
        <is>
          <t>DEFAULT</t>
        </is>
      </c>
      <c r="Q1224" t="n">
        <v>0</v>
      </c>
      <c r="R1224" t="inlineStr">
        <is>
          <t>AUD</t>
        </is>
      </c>
      <c r="S1224" t="n">
        <v>0</v>
      </c>
      <c r="T1224" t="inlineStr">
        <is>
          <t>AUD</t>
        </is>
      </c>
      <c r="U1224" t="n">
        <v>0</v>
      </c>
    </row>
    <row r="1225">
      <c r="A1225" s="5" t="inlineStr">
        <is>
          <t>01a152b9-82c3-70cc-b4a7-5a6b807a8dcd</t>
        </is>
      </c>
      <c r="C1225" s="5" t="inlineStr">
        <is>
          <t>01a152b9-6e67-75da-8adb-b03e5d07fd21</t>
        </is>
      </c>
      <c r="D1225" s="4" t="n">
        <v>46314.2459696664</v>
      </c>
      <c r="E1225" s="4" t="n">
        <v>46314.24596966654</v>
      </c>
      <c r="F1225" t="b">
        <v>1</v>
      </c>
      <c r="G1225" t="n">
        <v/>
      </c>
      <c r="H1225" t="inlineStr">
        <is>
          <t>CCX</t>
        </is>
      </c>
      <c r="I1225" t="inlineStr">
        <is>
          <t>City Chic Collective Ltd</t>
        </is>
      </c>
      <c r="J1225" t="inlineStr">
        <is>
          <t>AUD</t>
        </is>
      </c>
      <c r="K1225" s="5" t="inlineStr">
        <is>
          <t>01a152b9-6ee2-7577-bddd-382bc3853fde</t>
        </is>
      </c>
      <c r="M1225" t="inlineStr">
        <is>
          <t>UNKNOWN</t>
        </is>
      </c>
      <c r="N1225" t="inlineStr">
        <is>
          <t>DEFAULT</t>
        </is>
      </c>
      <c r="Q1225" t="n">
        <v>0</v>
      </c>
      <c r="R1225" t="inlineStr">
        <is>
          <t>AUD</t>
        </is>
      </c>
      <c r="S1225" t="n">
        <v>0</v>
      </c>
      <c r="T1225" t="inlineStr">
        <is>
          <t>AUD</t>
        </is>
      </c>
      <c r="U1225" t="n">
        <v>0</v>
      </c>
    </row>
    <row r="1226">
      <c r="A1226" s="5" t="inlineStr">
        <is>
          <t>01a152b9-82c6-7656-9f79-77e23ae84063</t>
        </is>
      </c>
      <c r="C1226" s="5" t="inlineStr">
        <is>
          <t>01a152b9-6e67-75da-8adb-b03e5d07fd21</t>
        </is>
      </c>
      <c r="D1226" s="4" t="n">
        <v>46314.24596971011</v>
      </c>
      <c r="E1226" s="4" t="n">
        <v>46314.24596971023</v>
      </c>
      <c r="F1226" t="b">
        <v>1</v>
      </c>
      <c r="G1226" t="n">
        <v/>
      </c>
      <c r="H1226" t="inlineStr">
        <is>
          <t>JAN</t>
        </is>
      </c>
      <c r="I1226" t="inlineStr">
        <is>
          <t>Janison Education Group Ltd</t>
        </is>
      </c>
      <c r="J1226" t="inlineStr">
        <is>
          <t>AUD</t>
        </is>
      </c>
      <c r="K1226" s="5" t="inlineStr">
        <is>
          <t>01a152b9-6ee2-7577-bddd-382bc3853fde</t>
        </is>
      </c>
      <c r="M1226" t="inlineStr">
        <is>
          <t>UNKNOWN</t>
        </is>
      </c>
      <c r="N1226" t="inlineStr">
        <is>
          <t>DEFAULT</t>
        </is>
      </c>
      <c r="Q1226" t="n">
        <v>0</v>
      </c>
      <c r="R1226" t="inlineStr">
        <is>
          <t>AUD</t>
        </is>
      </c>
      <c r="S1226" t="n">
        <v>0</v>
      </c>
      <c r="T1226" t="inlineStr">
        <is>
          <t>AUD</t>
        </is>
      </c>
      <c r="U1226" t="n">
        <v>0</v>
      </c>
    </row>
    <row r="1227">
      <c r="A1227" s="5" t="inlineStr">
        <is>
          <t>01a152b9-82cb-757f-ab38-87d2f0769007</t>
        </is>
      </c>
      <c r="C1227" s="5" t="inlineStr">
        <is>
          <t>01a152b9-6e67-75da-8adb-b03e5d07fd21</t>
        </is>
      </c>
      <c r="D1227" s="4" t="n">
        <v>46314.24596975934</v>
      </c>
      <c r="E1227" s="4" t="n">
        <v>46314.24596975945</v>
      </c>
      <c r="F1227" t="b">
        <v>1</v>
      </c>
      <c r="G1227" t="n">
        <v/>
      </c>
      <c r="H1227" t="inlineStr">
        <is>
          <t>BLG</t>
        </is>
      </c>
      <c r="I1227" t="inlineStr">
        <is>
          <t>Bluglass Ltd</t>
        </is>
      </c>
      <c r="J1227" t="inlineStr">
        <is>
          <t>AUD</t>
        </is>
      </c>
      <c r="K1227" s="5" t="inlineStr">
        <is>
          <t>01a152b9-6ee2-7577-bddd-382bc3853fde</t>
        </is>
      </c>
      <c r="M1227" t="inlineStr">
        <is>
          <t>UNKNOWN</t>
        </is>
      </c>
      <c r="N1227" t="inlineStr">
        <is>
          <t>DEFAULT</t>
        </is>
      </c>
      <c r="Q1227" t="n">
        <v>0</v>
      </c>
      <c r="R1227" t="inlineStr">
        <is>
          <t>AUD</t>
        </is>
      </c>
      <c r="S1227" t="n">
        <v>0</v>
      </c>
      <c r="T1227" t="inlineStr">
        <is>
          <t>AUD</t>
        </is>
      </c>
      <c r="U1227" t="n">
        <v>0</v>
      </c>
    </row>
    <row r="1228">
      <c r="A1228" s="5" t="inlineStr">
        <is>
          <t>01a152b9-82ce-74e9-abfc-bff3945435ae</t>
        </is>
      </c>
      <c r="C1228" s="5" t="inlineStr">
        <is>
          <t>01a152b9-6e67-75da-8adb-b03e5d07fd21</t>
        </is>
      </c>
      <c r="D1228" s="4" t="n">
        <v>46314.24596980507</v>
      </c>
      <c r="E1228" s="4" t="n">
        <v>46314.24596980521</v>
      </c>
      <c r="F1228" t="b">
        <v>1</v>
      </c>
      <c r="G1228" t="n">
        <v/>
      </c>
      <c r="H1228" t="inlineStr">
        <is>
          <t>SPL</t>
        </is>
      </c>
      <c r="I1228" t="inlineStr">
        <is>
          <t>Starpharma Holdings Ltd</t>
        </is>
      </c>
      <c r="J1228" t="inlineStr">
        <is>
          <t>AUD</t>
        </is>
      </c>
      <c r="K1228" s="5" t="inlineStr">
        <is>
          <t>01a152b9-6ee2-7577-bddd-382bc3853fde</t>
        </is>
      </c>
      <c r="M1228" t="inlineStr">
        <is>
          <t>UNKNOWN</t>
        </is>
      </c>
      <c r="N1228" t="inlineStr">
        <is>
          <t>DEFAULT</t>
        </is>
      </c>
      <c r="Q1228" t="n">
        <v>0</v>
      </c>
      <c r="R1228" t="inlineStr">
        <is>
          <t>AUD</t>
        </is>
      </c>
      <c r="S1228" t="n">
        <v>0</v>
      </c>
      <c r="T1228" t="inlineStr">
        <is>
          <t>AUD</t>
        </is>
      </c>
      <c r="U1228" t="n">
        <v>0</v>
      </c>
    </row>
    <row r="1229">
      <c r="A1229" s="5" t="inlineStr">
        <is>
          <t>01a152b9-82d3-75fb-9e99-96766b6aa2bb</t>
        </is>
      </c>
      <c r="C1229" s="5" t="inlineStr">
        <is>
          <t>01a152b9-6e67-75da-8adb-b03e5d07fd21</t>
        </is>
      </c>
      <c r="D1229" s="4" t="n">
        <v>46314.24596985232</v>
      </c>
      <c r="E1229" s="4" t="n">
        <v>46314.24596985243</v>
      </c>
      <c r="F1229" t="b">
        <v>1</v>
      </c>
      <c r="G1229" t="n">
        <v/>
      </c>
      <c r="H1229" t="inlineStr">
        <is>
          <t>BCOM</t>
        </is>
      </c>
      <c r="I1229" t="inlineStr">
        <is>
          <t>Global X Bloomberg Commodity Complex ETF</t>
        </is>
      </c>
      <c r="J1229" t="inlineStr">
        <is>
          <t>AUD</t>
        </is>
      </c>
      <c r="K1229" s="5" t="inlineStr">
        <is>
          <t>01a152b9-6ee2-7577-bddd-382bc3853fde</t>
        </is>
      </c>
      <c r="M1229" t="inlineStr">
        <is>
          <t>UNKNOWN</t>
        </is>
      </c>
      <c r="N1229" t="inlineStr">
        <is>
          <t>DEFAULT</t>
        </is>
      </c>
      <c r="Q1229" t="n">
        <v>0</v>
      </c>
      <c r="R1229" t="inlineStr">
        <is>
          <t>AUD</t>
        </is>
      </c>
      <c r="S1229" t="n">
        <v>0</v>
      </c>
      <c r="T1229" t="inlineStr">
        <is>
          <t>AUD</t>
        </is>
      </c>
      <c r="U1229" t="n">
        <v>0</v>
      </c>
    </row>
    <row r="1230">
      <c r="A1230" s="5" t="inlineStr">
        <is>
          <t>01a152b9-82d6-72eb-a505-9567831b84c6</t>
        </is>
      </c>
      <c r="C1230" s="5" t="inlineStr">
        <is>
          <t>01a152b9-6e67-75da-8adb-b03e5d07fd21</t>
        </is>
      </c>
      <c r="D1230" s="4" t="n">
        <v>46314.24596989511</v>
      </c>
      <c r="E1230" s="4" t="n">
        <v>46314.24596989523</v>
      </c>
      <c r="F1230" t="b">
        <v>1</v>
      </c>
      <c r="G1230" t="n">
        <v/>
      </c>
      <c r="H1230" t="inlineStr">
        <is>
          <t>MKT</t>
        </is>
      </c>
      <c r="I1230" t="inlineStr">
        <is>
          <t>The Market Ltd</t>
        </is>
      </c>
      <c r="J1230" t="inlineStr">
        <is>
          <t>AUD</t>
        </is>
      </c>
      <c r="K1230" s="5" t="inlineStr">
        <is>
          <t>01a152b9-6ee2-7577-bddd-382bc3853fde</t>
        </is>
      </c>
      <c r="M1230" t="inlineStr">
        <is>
          <t>UNKNOWN</t>
        </is>
      </c>
      <c r="N1230" t="inlineStr">
        <is>
          <t>DEFAULT</t>
        </is>
      </c>
      <c r="Q1230" t="n">
        <v>0</v>
      </c>
      <c r="R1230" t="inlineStr">
        <is>
          <t>AUD</t>
        </is>
      </c>
      <c r="S1230" t="n">
        <v>0</v>
      </c>
      <c r="T1230" t="inlineStr">
        <is>
          <t>AUD</t>
        </is>
      </c>
      <c r="U1230" t="n">
        <v>0</v>
      </c>
    </row>
    <row r="1231">
      <c r="A1231" s="5" t="inlineStr">
        <is>
          <t>01a152b9-82da-761b-999c-3d586d0ffb04</t>
        </is>
      </c>
      <c r="C1231" s="5" t="inlineStr">
        <is>
          <t>01a152b9-6e67-75da-8adb-b03e5d07fd21</t>
        </is>
      </c>
      <c r="D1231" s="4" t="n">
        <v>46314.24596993914</v>
      </c>
      <c r="E1231" s="4" t="n">
        <v>46314.24596993925</v>
      </c>
      <c r="F1231" t="b">
        <v>1</v>
      </c>
      <c r="G1231" t="n">
        <v/>
      </c>
      <c r="H1231" t="inlineStr">
        <is>
          <t>BKT</t>
        </is>
      </c>
      <c r="I1231" t="inlineStr">
        <is>
          <t>Black Rock Mining Ltd</t>
        </is>
      </c>
      <c r="J1231" t="inlineStr">
        <is>
          <t>AUD</t>
        </is>
      </c>
      <c r="K1231" s="5" t="inlineStr">
        <is>
          <t>01a152b9-6ee2-7577-bddd-382bc3853fde</t>
        </is>
      </c>
      <c r="M1231" t="inlineStr">
        <is>
          <t>UNKNOWN</t>
        </is>
      </c>
      <c r="N1231" t="inlineStr">
        <is>
          <t>DEFAULT</t>
        </is>
      </c>
      <c r="Q1231" t="n">
        <v>0</v>
      </c>
      <c r="R1231" t="inlineStr">
        <is>
          <t>AUD</t>
        </is>
      </c>
      <c r="S1231" t="n">
        <v>0</v>
      </c>
      <c r="T1231" t="inlineStr">
        <is>
          <t>AUD</t>
        </is>
      </c>
      <c r="U1231" t="n">
        <v>0</v>
      </c>
    </row>
    <row r="1232">
      <c r="A1232" s="5" t="inlineStr">
        <is>
          <t>01a152b9-82de-70f7-9670-5a31f7664f5a</t>
        </is>
      </c>
      <c r="C1232" s="5" t="inlineStr">
        <is>
          <t>01a152b9-6e67-75da-8adb-b03e5d07fd21</t>
        </is>
      </c>
      <c r="D1232" s="4" t="n">
        <v>46314.24596998085</v>
      </c>
      <c r="E1232" s="4" t="n">
        <v>46314.24596998096</v>
      </c>
      <c r="F1232" t="b">
        <v>1</v>
      </c>
      <c r="G1232" t="n">
        <v/>
      </c>
      <c r="H1232" t="inlineStr">
        <is>
          <t>RDM</t>
        </is>
      </c>
      <c r="I1232" t="inlineStr">
        <is>
          <t>Red Metal Ltd</t>
        </is>
      </c>
      <c r="J1232" t="inlineStr">
        <is>
          <t>AUD</t>
        </is>
      </c>
      <c r="K1232" s="5" t="inlineStr">
        <is>
          <t>01a152b9-6ee2-7577-bddd-382bc3853fde</t>
        </is>
      </c>
      <c r="M1232" t="inlineStr">
        <is>
          <t>UNKNOWN</t>
        </is>
      </c>
      <c r="N1232" t="inlineStr">
        <is>
          <t>DEFAULT</t>
        </is>
      </c>
      <c r="Q1232" t="n">
        <v>0</v>
      </c>
      <c r="R1232" t="inlineStr">
        <is>
          <t>AUD</t>
        </is>
      </c>
      <c r="S1232" t="n">
        <v>0</v>
      </c>
      <c r="T1232" t="inlineStr">
        <is>
          <t>AUD</t>
        </is>
      </c>
      <c r="U1232" t="n">
        <v>0</v>
      </c>
    </row>
    <row r="1233">
      <c r="A1233" s="5" t="inlineStr">
        <is>
          <t>01a152b9-82e2-7524-be04-a49605faeef1</t>
        </is>
      </c>
      <c r="C1233" s="5" t="inlineStr">
        <is>
          <t>01a152b9-6e67-75da-8adb-b03e5d07fd21</t>
        </is>
      </c>
      <c r="D1233" s="4" t="n">
        <v>46314.24597002604</v>
      </c>
      <c r="E1233" s="4" t="n">
        <v>46314.24597002615</v>
      </c>
      <c r="F1233" t="b">
        <v>1</v>
      </c>
      <c r="G1233" t="n">
        <v/>
      </c>
      <c r="H1233" t="inlineStr">
        <is>
          <t>AVG</t>
        </is>
      </c>
      <c r="I1233" t="inlineStr">
        <is>
          <t>Australian Vintage Ltd</t>
        </is>
      </c>
      <c r="J1233" t="inlineStr">
        <is>
          <t>AUD</t>
        </is>
      </c>
      <c r="K1233" s="5" t="inlineStr">
        <is>
          <t>01a152b9-6ee2-7577-bddd-382bc3853fde</t>
        </is>
      </c>
      <c r="M1233" t="inlineStr">
        <is>
          <t>UNKNOWN</t>
        </is>
      </c>
      <c r="N1233" t="inlineStr">
        <is>
          <t>DEFAULT</t>
        </is>
      </c>
      <c r="Q1233" t="n">
        <v>0</v>
      </c>
      <c r="R1233" t="inlineStr">
        <is>
          <t>AUD</t>
        </is>
      </c>
      <c r="S1233" t="n">
        <v>0</v>
      </c>
      <c r="T1233" t="inlineStr">
        <is>
          <t>AUD</t>
        </is>
      </c>
      <c r="U1233" t="n">
        <v>0</v>
      </c>
    </row>
    <row r="1234">
      <c r="A1234" s="5" t="inlineStr">
        <is>
          <t>01a152b9-82e6-760d-96b1-407dad0a0f87</t>
        </is>
      </c>
      <c r="C1234" s="5" t="inlineStr">
        <is>
          <t>01a152b9-6e67-75da-8adb-b03e5d07fd21</t>
        </is>
      </c>
      <c r="D1234" s="4" t="n">
        <v>46314.24597007248</v>
      </c>
      <c r="E1234" s="4" t="n">
        <v>46314.2459700726</v>
      </c>
      <c r="F1234" t="b">
        <v>1</v>
      </c>
      <c r="G1234" t="n">
        <v/>
      </c>
      <c r="H1234" t="inlineStr">
        <is>
          <t>CZR</t>
        </is>
      </c>
      <c r="I1234" t="inlineStr">
        <is>
          <t>CZR Resources Ltd</t>
        </is>
      </c>
      <c r="J1234" t="inlineStr">
        <is>
          <t>AUD</t>
        </is>
      </c>
      <c r="K1234" s="5" t="inlineStr">
        <is>
          <t>01a152b9-6ee2-7577-bddd-382bc3853fde</t>
        </is>
      </c>
      <c r="M1234" t="inlineStr">
        <is>
          <t>UNKNOWN</t>
        </is>
      </c>
      <c r="N1234" t="inlineStr">
        <is>
          <t>DEFAULT</t>
        </is>
      </c>
      <c r="Q1234" t="n">
        <v>0</v>
      </c>
      <c r="R1234" t="inlineStr">
        <is>
          <t>AUD</t>
        </is>
      </c>
      <c r="S1234" t="n">
        <v>0</v>
      </c>
      <c r="T1234" t="inlineStr">
        <is>
          <t>AUD</t>
        </is>
      </c>
      <c r="U1234" t="n">
        <v>0</v>
      </c>
    </row>
    <row r="1235">
      <c r="A1235" s="5" t="inlineStr">
        <is>
          <t>01a152b9-82ea-740c-98e1-2a1c467ae6fb</t>
        </is>
      </c>
      <c r="C1235" s="5" t="inlineStr">
        <is>
          <t>01a152b9-6e67-75da-8adb-b03e5d07fd21</t>
        </is>
      </c>
      <c r="D1235" s="4" t="n">
        <v>46314.24597011996</v>
      </c>
      <c r="E1235" s="4" t="n">
        <v>46314.24597012012</v>
      </c>
      <c r="F1235" t="b">
        <v>1</v>
      </c>
      <c r="G1235" t="n">
        <v/>
      </c>
      <c r="H1235" t="inlineStr">
        <is>
          <t>ATH</t>
        </is>
      </c>
      <c r="I1235" t="inlineStr">
        <is>
          <t>Alterity Therapeutics Ltd</t>
        </is>
      </c>
      <c r="J1235" t="inlineStr">
        <is>
          <t>AUD</t>
        </is>
      </c>
      <c r="K1235" s="5" t="inlineStr">
        <is>
          <t>01a152b9-6ee2-7577-bddd-382bc3853fde</t>
        </is>
      </c>
      <c r="M1235" t="inlineStr">
        <is>
          <t>UNKNOWN</t>
        </is>
      </c>
      <c r="N1235" t="inlineStr">
        <is>
          <t>DEFAULT</t>
        </is>
      </c>
      <c r="Q1235" t="n">
        <v>0</v>
      </c>
      <c r="R1235" t="inlineStr">
        <is>
          <t>AUD</t>
        </is>
      </c>
      <c r="S1235" t="n">
        <v>0</v>
      </c>
      <c r="T1235" t="inlineStr">
        <is>
          <t>AUD</t>
        </is>
      </c>
      <c r="U1235" t="n">
        <v>0</v>
      </c>
    </row>
    <row r="1236">
      <c r="A1236" s="5" t="inlineStr">
        <is>
          <t>01a152b9-82ee-7127-ad23-2aabc3e4d9ea</t>
        </is>
      </c>
      <c r="C1236" s="5" t="inlineStr">
        <is>
          <t>01a152b9-6e67-75da-8adb-b03e5d07fd21</t>
        </is>
      </c>
      <c r="D1236" s="4" t="n">
        <v>46314.24597017212</v>
      </c>
      <c r="E1236" s="4" t="n">
        <v>46314.24597017227</v>
      </c>
      <c r="F1236" t="b">
        <v>1</v>
      </c>
      <c r="G1236" t="n">
        <v/>
      </c>
      <c r="H1236" t="inlineStr">
        <is>
          <t>SNAS</t>
        </is>
      </c>
      <c r="I1236" t="inlineStr">
        <is>
          <t>Global X Ultra Short Nasdaq 100 Complex ETF</t>
        </is>
      </c>
      <c r="J1236" t="inlineStr">
        <is>
          <t>AUD</t>
        </is>
      </c>
      <c r="K1236" s="5" t="inlineStr">
        <is>
          <t>01a152b9-6ee2-7577-bddd-382bc3853fde</t>
        </is>
      </c>
      <c r="M1236" t="inlineStr">
        <is>
          <t>UNKNOWN</t>
        </is>
      </c>
      <c r="N1236" t="inlineStr">
        <is>
          <t>DEFAULT</t>
        </is>
      </c>
      <c r="Q1236" t="n">
        <v>0</v>
      </c>
      <c r="R1236" t="inlineStr">
        <is>
          <t>AUD</t>
        </is>
      </c>
      <c r="S1236" t="n">
        <v>0</v>
      </c>
      <c r="T1236" t="inlineStr">
        <is>
          <t>AUD</t>
        </is>
      </c>
      <c r="U1236" t="n">
        <v>0</v>
      </c>
    </row>
    <row r="1237">
      <c r="A1237" s="5" t="inlineStr">
        <is>
          <t>01a152b9-82f2-7236-8949-c8ccc25d76b9</t>
        </is>
      </c>
      <c r="C1237" s="5" t="inlineStr">
        <is>
          <t>01a152b9-6e67-75da-8adb-b03e5d07fd21</t>
        </is>
      </c>
      <c r="D1237" s="4" t="n">
        <v>46314.24597021769</v>
      </c>
      <c r="E1237" s="4" t="n">
        <v>46314.24597021782</v>
      </c>
      <c r="F1237" t="b">
        <v>1</v>
      </c>
      <c r="G1237" t="n">
        <v/>
      </c>
      <c r="H1237" t="inlineStr">
        <is>
          <t>IRD</t>
        </is>
      </c>
      <c r="I1237" t="inlineStr">
        <is>
          <t>Iron Road Ltd</t>
        </is>
      </c>
      <c r="J1237" t="inlineStr">
        <is>
          <t>AUD</t>
        </is>
      </c>
      <c r="K1237" s="5" t="inlineStr">
        <is>
          <t>01a152b9-6ee2-7577-bddd-382bc3853fde</t>
        </is>
      </c>
      <c r="M1237" t="inlineStr">
        <is>
          <t>UNKNOWN</t>
        </is>
      </c>
      <c r="N1237" t="inlineStr">
        <is>
          <t>DEFAULT</t>
        </is>
      </c>
      <c r="Q1237" t="n">
        <v>0</v>
      </c>
      <c r="R1237" t="inlineStr">
        <is>
          <t>AUD</t>
        </is>
      </c>
      <c r="S1237" t="n">
        <v>0</v>
      </c>
      <c r="T1237" t="inlineStr">
        <is>
          <t>AUD</t>
        </is>
      </c>
      <c r="U1237" t="n">
        <v>0</v>
      </c>
    </row>
    <row r="1238">
      <c r="A1238" s="5" t="inlineStr">
        <is>
          <t>01a152b9-82f6-7407-a659-7650751b6ab6</t>
        </is>
      </c>
      <c r="C1238" s="5" t="inlineStr">
        <is>
          <t>01a152b9-6e67-75da-8adb-b03e5d07fd21</t>
        </is>
      </c>
      <c r="D1238" s="4" t="n">
        <v>46314.24597026777</v>
      </c>
      <c r="E1238" s="4" t="n">
        <v>46314.24597026792</v>
      </c>
      <c r="F1238" t="b">
        <v>1</v>
      </c>
      <c r="G1238" t="n">
        <v/>
      </c>
      <c r="H1238" t="inlineStr">
        <is>
          <t>AGR</t>
        </is>
      </c>
      <c r="I1238" t="inlineStr">
        <is>
          <t>Aguia Resources Ltd</t>
        </is>
      </c>
      <c r="J1238" t="inlineStr">
        <is>
          <t>AUD</t>
        </is>
      </c>
      <c r="K1238" s="5" t="inlineStr">
        <is>
          <t>01a152b9-6ee2-7577-bddd-382bc3853fde</t>
        </is>
      </c>
      <c r="M1238" t="inlineStr">
        <is>
          <t>UNKNOWN</t>
        </is>
      </c>
      <c r="N1238" t="inlineStr">
        <is>
          <t>DEFAULT</t>
        </is>
      </c>
      <c r="Q1238" t="n">
        <v>0</v>
      </c>
      <c r="R1238" t="inlineStr">
        <is>
          <t>AUD</t>
        </is>
      </c>
      <c r="S1238" t="n">
        <v>0</v>
      </c>
      <c r="T1238" t="inlineStr">
        <is>
          <t>AUD</t>
        </is>
      </c>
      <c r="U1238" t="n">
        <v>0</v>
      </c>
    </row>
    <row r="1239">
      <c r="A1239" s="5" t="inlineStr">
        <is>
          <t>01a152b9-82fb-7572-9d0e-bc42a95bec5d</t>
        </is>
      </c>
      <c r="C1239" s="5" t="inlineStr">
        <is>
          <t>01a152b9-6e67-75da-8adb-b03e5d07fd21</t>
        </is>
      </c>
      <c r="D1239" s="4" t="n">
        <v>46314.24597031802</v>
      </c>
      <c r="E1239" s="4" t="n">
        <v>46314.2459703182</v>
      </c>
      <c r="F1239" t="b">
        <v>1</v>
      </c>
      <c r="G1239" t="n">
        <v/>
      </c>
      <c r="H1239" t="inlineStr">
        <is>
          <t>AGY</t>
        </is>
      </c>
      <c r="I1239" t="inlineStr">
        <is>
          <t>Argosy Minerals Ltd</t>
        </is>
      </c>
      <c r="J1239" t="inlineStr">
        <is>
          <t>AUD</t>
        </is>
      </c>
      <c r="K1239" s="5" t="inlineStr">
        <is>
          <t>01a152b9-6ee2-7577-bddd-382bc3853fde</t>
        </is>
      </c>
      <c r="M1239" t="inlineStr">
        <is>
          <t>UNKNOWN</t>
        </is>
      </c>
      <c r="N1239" t="inlineStr">
        <is>
          <t>DEFAULT</t>
        </is>
      </c>
      <c r="Q1239" t="n">
        <v>0</v>
      </c>
      <c r="R1239" t="inlineStr">
        <is>
          <t>AUD</t>
        </is>
      </c>
      <c r="S1239" t="n">
        <v>0</v>
      </c>
      <c r="T1239" t="inlineStr">
        <is>
          <t>AUD</t>
        </is>
      </c>
      <c r="U1239" t="n">
        <v>0</v>
      </c>
    </row>
    <row r="1240">
      <c r="A1240" s="5" t="inlineStr">
        <is>
          <t>01a152b9-82ff-71c2-b877-73ab18d87a19</t>
        </is>
      </c>
      <c r="C1240" s="5" t="inlineStr">
        <is>
          <t>01a152b9-6e67-75da-8adb-b03e5d07fd21</t>
        </is>
      </c>
      <c r="D1240" s="4" t="n">
        <v>46314.24597036753</v>
      </c>
      <c r="E1240" s="4" t="n">
        <v>46314.24597036771</v>
      </c>
      <c r="F1240" t="b">
        <v>1</v>
      </c>
      <c r="G1240" t="n">
        <v/>
      </c>
      <c r="H1240" t="inlineStr">
        <is>
          <t>PEB</t>
        </is>
      </c>
      <c r="I1240" t="inlineStr">
        <is>
          <t>Pacific Edge Ltd</t>
        </is>
      </c>
      <c r="J1240" t="inlineStr">
        <is>
          <t>AUD</t>
        </is>
      </c>
      <c r="K1240" s="5" t="inlineStr">
        <is>
          <t>01a152b9-6ee2-7577-bddd-382bc3853fde</t>
        </is>
      </c>
      <c r="M1240" t="inlineStr">
        <is>
          <t>UNKNOWN</t>
        </is>
      </c>
      <c r="N1240" t="inlineStr">
        <is>
          <t>DEFAULT</t>
        </is>
      </c>
      <c r="Q1240" t="n">
        <v>0</v>
      </c>
      <c r="R1240" t="inlineStr">
        <is>
          <t>AUD</t>
        </is>
      </c>
      <c r="S1240" t="n">
        <v>0</v>
      </c>
      <c r="T1240" t="inlineStr">
        <is>
          <t>AUD</t>
        </is>
      </c>
      <c r="U1240" t="n">
        <v>0</v>
      </c>
    </row>
    <row r="1241">
      <c r="A1241" s="5" t="inlineStr">
        <is>
          <t>01a152b9-8303-729a-ab15-e9ab41b97489</t>
        </is>
      </c>
      <c r="C1241" s="5" t="inlineStr">
        <is>
          <t>01a152b9-6e67-75da-8adb-b03e5d07fd21</t>
        </is>
      </c>
      <c r="D1241" s="4" t="n">
        <v>46314.24597041144</v>
      </c>
      <c r="E1241" s="4" t="n">
        <v>46314.24597041156</v>
      </c>
      <c r="F1241" t="b">
        <v>1</v>
      </c>
      <c r="G1241" t="n">
        <v/>
      </c>
      <c r="H1241" t="inlineStr">
        <is>
          <t>MQIO</t>
        </is>
      </c>
      <c r="I1241" t="inlineStr">
        <is>
          <t>Macquarie Income Opp Active ETF (Managed Fund)</t>
        </is>
      </c>
      <c r="J1241" t="inlineStr">
        <is>
          <t>AUD</t>
        </is>
      </c>
      <c r="K1241" s="5" t="inlineStr">
        <is>
          <t>01a152b9-6ee2-7577-bddd-382bc3853fde</t>
        </is>
      </c>
      <c r="M1241" t="inlineStr">
        <is>
          <t>UNKNOWN</t>
        </is>
      </c>
      <c r="N1241" t="inlineStr">
        <is>
          <t>DEFAULT</t>
        </is>
      </c>
      <c r="Q1241" t="n">
        <v>0</v>
      </c>
      <c r="R1241" t="inlineStr">
        <is>
          <t>AUD</t>
        </is>
      </c>
      <c r="S1241" t="n">
        <v>0</v>
      </c>
      <c r="T1241" t="inlineStr">
        <is>
          <t>AUD</t>
        </is>
      </c>
      <c r="U1241" t="n">
        <v>0</v>
      </c>
    </row>
    <row r="1242">
      <c r="A1242" s="5" t="inlineStr">
        <is>
          <t>01a152b9-8307-704e-b09a-d6f0f5dea05e</t>
        </is>
      </c>
      <c r="C1242" s="5" t="inlineStr">
        <is>
          <t>01a152b9-6e67-75da-8adb-b03e5d07fd21</t>
        </is>
      </c>
      <c r="D1242" s="4" t="n">
        <v>46314.24597045956</v>
      </c>
      <c r="E1242" s="4" t="n">
        <v>46314.2459704597</v>
      </c>
      <c r="F1242" t="b">
        <v>1</v>
      </c>
      <c r="G1242" t="n">
        <v/>
      </c>
      <c r="H1242" t="inlineStr">
        <is>
          <t>GFL</t>
        </is>
      </c>
      <c r="I1242" t="inlineStr">
        <is>
          <t>Global Masters Fund Ltd</t>
        </is>
      </c>
      <c r="J1242" t="inlineStr">
        <is>
          <t>AUD</t>
        </is>
      </c>
      <c r="K1242" s="5" t="inlineStr">
        <is>
          <t>01a152b9-6ee2-7577-bddd-382bc3853fde</t>
        </is>
      </c>
      <c r="M1242" t="inlineStr">
        <is>
          <t>UNKNOWN</t>
        </is>
      </c>
      <c r="N1242" t="inlineStr">
        <is>
          <t>DEFAULT</t>
        </is>
      </c>
      <c r="Q1242" t="n">
        <v>0</v>
      </c>
      <c r="R1242" t="inlineStr">
        <is>
          <t>AUD</t>
        </is>
      </c>
      <c r="S1242" t="n">
        <v>0</v>
      </c>
      <c r="T1242" t="inlineStr">
        <is>
          <t>AUD</t>
        </is>
      </c>
      <c r="U1242" t="n">
        <v>0</v>
      </c>
    </row>
    <row r="1243">
      <c r="A1243" s="5" t="inlineStr">
        <is>
          <t>01a152b9-830b-75d8-989d-074f3a1592e1</t>
        </is>
      </c>
      <c r="C1243" s="5" t="inlineStr">
        <is>
          <t>01a152b9-6e67-75da-8adb-b03e5d07fd21</t>
        </is>
      </c>
      <c r="D1243" s="4" t="n">
        <v>46314.24597050333</v>
      </c>
      <c r="E1243" s="4" t="n">
        <v>46314.24597050346</v>
      </c>
      <c r="F1243" t="b">
        <v>1</v>
      </c>
      <c r="G1243" t="n">
        <v/>
      </c>
      <c r="H1243" t="inlineStr">
        <is>
          <t>EGR</t>
        </is>
      </c>
      <c r="I1243" t="inlineStr">
        <is>
          <t>Ecograf Ltd</t>
        </is>
      </c>
      <c r="J1243" t="inlineStr">
        <is>
          <t>AUD</t>
        </is>
      </c>
      <c r="K1243" s="5" t="inlineStr">
        <is>
          <t>01a152b9-6ee2-7577-bddd-382bc3853fde</t>
        </is>
      </c>
      <c r="M1243" t="inlineStr">
        <is>
          <t>UNKNOWN</t>
        </is>
      </c>
      <c r="N1243" t="inlineStr">
        <is>
          <t>DEFAULT</t>
        </is>
      </c>
      <c r="Q1243" t="n">
        <v>0</v>
      </c>
      <c r="R1243" t="inlineStr">
        <is>
          <t>AUD</t>
        </is>
      </c>
      <c r="S1243" t="n">
        <v>0</v>
      </c>
      <c r="T1243" t="inlineStr">
        <is>
          <t>AUD</t>
        </is>
      </c>
      <c r="U1243" t="n">
        <v>0</v>
      </c>
    </row>
    <row r="1244">
      <c r="A1244" s="5" t="inlineStr">
        <is>
          <t>01a152b9-830f-7594-bb9e-acd9f2e781c1</t>
        </is>
      </c>
      <c r="C1244" s="5" t="inlineStr">
        <is>
          <t>01a152b9-6e67-75da-8adb-b03e5d07fd21</t>
        </is>
      </c>
      <c r="D1244" s="4" t="n">
        <v>46314.24597055215</v>
      </c>
      <c r="E1244" s="4" t="n">
        <v>46314.24597055229</v>
      </c>
      <c r="F1244" t="b">
        <v>1</v>
      </c>
      <c r="G1244" t="n">
        <v/>
      </c>
      <c r="H1244" t="inlineStr">
        <is>
          <t>YRL</t>
        </is>
      </c>
      <c r="I1244" t="inlineStr">
        <is>
          <t>Yandal Resources Ltd</t>
        </is>
      </c>
      <c r="J1244" t="inlineStr">
        <is>
          <t>AUD</t>
        </is>
      </c>
      <c r="K1244" s="5" t="inlineStr">
        <is>
          <t>01a152b9-6ee2-7577-bddd-382bc3853fde</t>
        </is>
      </c>
      <c r="M1244" t="inlineStr">
        <is>
          <t>UNKNOWN</t>
        </is>
      </c>
      <c r="N1244" t="inlineStr">
        <is>
          <t>DEFAULT</t>
        </is>
      </c>
      <c r="Q1244" t="n">
        <v>0</v>
      </c>
      <c r="R1244" t="inlineStr">
        <is>
          <t>AUD</t>
        </is>
      </c>
      <c r="S1244" t="n">
        <v>0</v>
      </c>
      <c r="T1244" t="inlineStr">
        <is>
          <t>AUD</t>
        </is>
      </c>
      <c r="U1244" t="n">
        <v>0</v>
      </c>
    </row>
    <row r="1245">
      <c r="A1245" s="5" t="inlineStr">
        <is>
          <t>01a152b9-8313-738b-b99a-7ddb094768ba</t>
        </is>
      </c>
      <c r="C1245" s="5" t="inlineStr">
        <is>
          <t>01a152b9-6e67-75da-8adb-b03e5d07fd21</t>
        </is>
      </c>
      <c r="D1245" s="4" t="n">
        <v>46314.24597060028</v>
      </c>
      <c r="E1245" s="4" t="n">
        <v>46314.24597060041</v>
      </c>
      <c r="F1245" t="b">
        <v>1</v>
      </c>
      <c r="G1245" t="n">
        <v/>
      </c>
      <c r="H1245" t="inlineStr">
        <is>
          <t>AVC</t>
        </is>
      </c>
      <c r="I1245" t="inlineStr">
        <is>
          <t>Auctus Investment Group Ltd</t>
        </is>
      </c>
      <c r="J1245" t="inlineStr">
        <is>
          <t>AUD</t>
        </is>
      </c>
      <c r="K1245" s="5" t="inlineStr">
        <is>
          <t>01a152b9-6ee2-7577-bddd-382bc3853fde</t>
        </is>
      </c>
      <c r="M1245" t="inlineStr">
        <is>
          <t>UNKNOWN</t>
        </is>
      </c>
      <c r="N1245" t="inlineStr">
        <is>
          <t>DEFAULT</t>
        </is>
      </c>
      <c r="Q1245" t="n">
        <v>0</v>
      </c>
      <c r="R1245" t="inlineStr">
        <is>
          <t>AUD</t>
        </is>
      </c>
      <c r="S1245" t="n">
        <v>0</v>
      </c>
      <c r="T1245" t="inlineStr">
        <is>
          <t>AUD</t>
        </is>
      </c>
      <c r="U1245" t="n">
        <v>0</v>
      </c>
    </row>
    <row r="1246">
      <c r="A1246" s="5" t="inlineStr">
        <is>
          <t>01a152b9-8317-77a8-8d45-94cfa103f28e</t>
        </is>
      </c>
      <c r="C1246" s="5" t="inlineStr">
        <is>
          <t>01a152b9-6e67-75da-8adb-b03e5d07fd21</t>
        </is>
      </c>
      <c r="D1246" s="4" t="n">
        <v>46314.24597063933</v>
      </c>
      <c r="E1246" s="4" t="n">
        <v>46314.24597063944</v>
      </c>
      <c r="F1246" t="b">
        <v>1</v>
      </c>
      <c r="G1246" t="n">
        <v/>
      </c>
      <c r="H1246" t="inlineStr">
        <is>
          <t>JAT</t>
        </is>
      </c>
      <c r="I1246" t="inlineStr">
        <is>
          <t>Jatcorp Ltd</t>
        </is>
      </c>
      <c r="J1246" t="inlineStr">
        <is>
          <t>AUD</t>
        </is>
      </c>
      <c r="K1246" s="5" t="inlineStr">
        <is>
          <t>01a152b9-6ee2-7577-bddd-382bc3853fde</t>
        </is>
      </c>
      <c r="M1246" t="inlineStr">
        <is>
          <t>UNKNOWN</t>
        </is>
      </c>
      <c r="N1246" t="inlineStr">
        <is>
          <t>DEFAULT</t>
        </is>
      </c>
      <c r="Q1246" t="n">
        <v>0</v>
      </c>
      <c r="R1246" t="inlineStr">
        <is>
          <t>AUD</t>
        </is>
      </c>
      <c r="S1246" t="n">
        <v>0</v>
      </c>
      <c r="T1246" t="inlineStr">
        <is>
          <t>AUD</t>
        </is>
      </c>
      <c r="U1246" t="n">
        <v>0</v>
      </c>
    </row>
    <row r="1247">
      <c r="A1247" s="5" t="inlineStr">
        <is>
          <t>01a152b9-831a-716c-aa6a-dddb189a4e38</t>
        </is>
      </c>
      <c r="C1247" s="5" t="inlineStr">
        <is>
          <t>01a152b9-6e67-75da-8adb-b03e5d07fd21</t>
        </is>
      </c>
      <c r="D1247" s="4" t="n">
        <v>46314.24597067381</v>
      </c>
      <c r="E1247" s="4" t="n">
        <v>46314.24597067392</v>
      </c>
      <c r="F1247" t="b">
        <v>1</v>
      </c>
      <c r="G1247" t="n">
        <v/>
      </c>
      <c r="H1247" t="inlineStr">
        <is>
          <t>CHW</t>
        </is>
      </c>
      <c r="I1247" t="inlineStr">
        <is>
          <t>Chilwa Minerals Ltd</t>
        </is>
      </c>
      <c r="J1247" t="inlineStr">
        <is>
          <t>AUD</t>
        </is>
      </c>
      <c r="K1247" s="5" t="inlineStr">
        <is>
          <t>01a152b9-6ee2-7577-bddd-382bc3853fde</t>
        </is>
      </c>
      <c r="M1247" t="inlineStr">
        <is>
          <t>UNKNOWN</t>
        </is>
      </c>
      <c r="N1247" t="inlineStr">
        <is>
          <t>DEFAULT</t>
        </is>
      </c>
      <c r="Q1247" t="n">
        <v>0</v>
      </c>
      <c r="R1247" t="inlineStr">
        <is>
          <t>AUD</t>
        </is>
      </c>
      <c r="S1247" t="n">
        <v>0</v>
      </c>
      <c r="T1247" t="inlineStr">
        <is>
          <t>AUD</t>
        </is>
      </c>
      <c r="U1247" t="n">
        <v>0</v>
      </c>
    </row>
    <row r="1248">
      <c r="A1248" s="5" t="inlineStr">
        <is>
          <t>01a152b9-831e-71a3-bb33-4dd27f8b0653</t>
        </is>
      </c>
      <c r="C1248" s="5" t="inlineStr">
        <is>
          <t>01a152b9-6e67-75da-8adb-b03e5d07fd21</t>
        </is>
      </c>
      <c r="D1248" s="4" t="n">
        <v>46314.24597071973</v>
      </c>
      <c r="E1248" s="4" t="n">
        <v>46314.24597071985</v>
      </c>
      <c r="F1248" t="b">
        <v>1</v>
      </c>
      <c r="G1248" t="n">
        <v/>
      </c>
      <c r="H1248" t="inlineStr">
        <is>
          <t>DRE</t>
        </is>
      </c>
      <c r="I1248" t="inlineStr">
        <is>
          <t>Dreadnought Resources Ltd</t>
        </is>
      </c>
      <c r="J1248" t="inlineStr">
        <is>
          <t>AUD</t>
        </is>
      </c>
      <c r="K1248" s="5" t="inlineStr">
        <is>
          <t>01a152b9-6ee2-7577-bddd-382bc3853fde</t>
        </is>
      </c>
      <c r="M1248" t="inlineStr">
        <is>
          <t>UNKNOWN</t>
        </is>
      </c>
      <c r="N1248" t="inlineStr">
        <is>
          <t>DEFAULT</t>
        </is>
      </c>
      <c r="Q1248" t="n">
        <v>0</v>
      </c>
      <c r="R1248" t="inlineStr">
        <is>
          <t>AUD</t>
        </is>
      </c>
      <c r="S1248" t="n">
        <v>0</v>
      </c>
      <c r="T1248" t="inlineStr">
        <is>
          <t>AUD</t>
        </is>
      </c>
      <c r="U1248" t="n">
        <v>0</v>
      </c>
    </row>
    <row r="1249">
      <c r="A1249" s="5" t="inlineStr">
        <is>
          <t>01a152b9-8322-74f1-b759-96cb22d8e4f1</t>
        </is>
      </c>
      <c r="C1249" s="5" t="inlineStr">
        <is>
          <t>01a152b9-6e67-75da-8adb-b03e5d07fd21</t>
        </is>
      </c>
      <c r="D1249" s="4" t="n">
        <v>46314.24597076966</v>
      </c>
      <c r="E1249" s="4" t="n">
        <v>46314.24597076977</v>
      </c>
      <c r="F1249" t="b">
        <v>1</v>
      </c>
      <c r="G1249" t="n">
        <v/>
      </c>
      <c r="H1249" t="inlineStr">
        <is>
          <t>LEL</t>
        </is>
      </c>
      <c r="I1249" t="inlineStr">
        <is>
          <t>Lithium Energy Ltd</t>
        </is>
      </c>
      <c r="J1249" t="inlineStr">
        <is>
          <t>AUD</t>
        </is>
      </c>
      <c r="K1249" s="5" t="inlineStr">
        <is>
          <t>01a152b9-6ee2-7577-bddd-382bc3853fde</t>
        </is>
      </c>
      <c r="M1249" t="inlineStr">
        <is>
          <t>UNKNOWN</t>
        </is>
      </c>
      <c r="N1249" t="inlineStr">
        <is>
          <t>DEFAULT</t>
        </is>
      </c>
      <c r="Q1249" t="n">
        <v>0</v>
      </c>
      <c r="R1249" t="inlineStr">
        <is>
          <t>AUD</t>
        </is>
      </c>
      <c r="S1249" t="n">
        <v>0</v>
      </c>
      <c r="T1249" t="inlineStr">
        <is>
          <t>AUD</t>
        </is>
      </c>
      <c r="U1249" t="n">
        <v>0</v>
      </c>
    </row>
    <row r="1250">
      <c r="A1250" s="5" t="inlineStr">
        <is>
          <t>01a152b9-8326-7448-a897-862049e16771</t>
        </is>
      </c>
      <c r="C1250" s="5" t="inlineStr">
        <is>
          <t>01a152b9-6e67-75da-8adb-b03e5d07fd21</t>
        </is>
      </c>
      <c r="D1250" s="4" t="n">
        <v>46314.24597081745</v>
      </c>
      <c r="E1250" s="4" t="n">
        <v>46314.24597081757</v>
      </c>
      <c r="F1250" t="b">
        <v>1</v>
      </c>
      <c r="G1250" t="n">
        <v/>
      </c>
      <c r="H1250" t="inlineStr">
        <is>
          <t>KAU</t>
        </is>
      </c>
      <c r="I1250" t="inlineStr">
        <is>
          <t>Kaiser Reef Ltd</t>
        </is>
      </c>
      <c r="J1250" t="inlineStr">
        <is>
          <t>AUD</t>
        </is>
      </c>
      <c r="K1250" s="5" t="inlineStr">
        <is>
          <t>01a152b9-6ee2-7577-bddd-382bc3853fde</t>
        </is>
      </c>
      <c r="M1250" t="inlineStr">
        <is>
          <t>UNKNOWN</t>
        </is>
      </c>
      <c r="N1250" t="inlineStr">
        <is>
          <t>DEFAULT</t>
        </is>
      </c>
      <c r="Q1250" t="n">
        <v>0</v>
      </c>
      <c r="R1250" t="inlineStr">
        <is>
          <t>AUD</t>
        </is>
      </c>
      <c r="S1250" t="n">
        <v>0</v>
      </c>
      <c r="T1250" t="inlineStr">
        <is>
          <t>AUD</t>
        </is>
      </c>
      <c r="U1250" t="n">
        <v>0</v>
      </c>
    </row>
    <row r="1251">
      <c r="A1251" s="5" t="inlineStr">
        <is>
          <t>01a152b9-832a-7690-a920-92ae1e9e4615</t>
        </is>
      </c>
      <c r="C1251" s="5" t="inlineStr">
        <is>
          <t>01a152b9-6e67-75da-8adb-b03e5d07fd21</t>
        </is>
      </c>
      <c r="D1251" s="4" t="n">
        <v>46314.24597086218</v>
      </c>
      <c r="E1251" s="4" t="n">
        <v>46314.24597086239</v>
      </c>
      <c r="F1251" t="b">
        <v>1</v>
      </c>
      <c r="G1251" t="n">
        <v/>
      </c>
      <c r="H1251" t="inlineStr">
        <is>
          <t>AVD</t>
        </is>
      </c>
      <c r="I1251" t="inlineStr">
        <is>
          <t>Avada Group Ltd</t>
        </is>
      </c>
      <c r="J1251" t="inlineStr">
        <is>
          <t>AUD</t>
        </is>
      </c>
      <c r="K1251" s="5" t="inlineStr">
        <is>
          <t>01a152b9-6ee2-7577-bddd-382bc3853fde</t>
        </is>
      </c>
      <c r="M1251" t="inlineStr">
        <is>
          <t>UNKNOWN</t>
        </is>
      </c>
      <c r="N1251" t="inlineStr">
        <is>
          <t>DEFAULT</t>
        </is>
      </c>
      <c r="Q1251" t="n">
        <v>0</v>
      </c>
      <c r="R1251" t="inlineStr">
        <is>
          <t>AUD</t>
        </is>
      </c>
      <c r="S1251" t="n">
        <v>0</v>
      </c>
      <c r="T1251" t="inlineStr">
        <is>
          <t>AUD</t>
        </is>
      </c>
      <c r="U1251" t="n">
        <v>0</v>
      </c>
    </row>
    <row r="1252">
      <c r="A1252" s="5" t="inlineStr">
        <is>
          <t>01a152b9-832e-74a2-9c55-56146bd2ce96</t>
        </is>
      </c>
      <c r="C1252" s="5" t="inlineStr">
        <is>
          <t>01a152b9-6e67-75da-8adb-b03e5d07fd21</t>
        </is>
      </c>
      <c r="D1252" s="4" t="n">
        <v>46314.24597090838</v>
      </c>
      <c r="E1252" s="4" t="n">
        <v>46314.24597090857</v>
      </c>
      <c r="F1252" t="b">
        <v>1</v>
      </c>
      <c r="G1252" t="n">
        <v/>
      </c>
      <c r="H1252" t="inlineStr">
        <is>
          <t>IDA</t>
        </is>
      </c>
      <c r="I1252" t="inlineStr">
        <is>
          <t>Indiana Resources Ltd</t>
        </is>
      </c>
      <c r="J1252" t="inlineStr">
        <is>
          <t>AUD</t>
        </is>
      </c>
      <c r="K1252" s="5" t="inlineStr">
        <is>
          <t>01a152b9-6ee2-7577-bddd-382bc3853fde</t>
        </is>
      </c>
      <c r="M1252" t="inlineStr">
        <is>
          <t>UNKNOWN</t>
        </is>
      </c>
      <c r="N1252" t="inlineStr">
        <is>
          <t>DEFAULT</t>
        </is>
      </c>
      <c r="Q1252" t="n">
        <v>0</v>
      </c>
      <c r="R1252" t="inlineStr">
        <is>
          <t>AUD</t>
        </is>
      </c>
      <c r="S1252" t="n">
        <v>0</v>
      </c>
      <c r="T1252" t="inlineStr">
        <is>
          <t>AUD</t>
        </is>
      </c>
      <c r="U1252" t="n">
        <v>0</v>
      </c>
    </row>
    <row r="1253">
      <c r="A1253" s="5" t="inlineStr">
        <is>
          <t>01a152b9-8331-773c-bf71-48f8402b01b4</t>
        </is>
      </c>
      <c r="C1253" s="5" t="inlineStr">
        <is>
          <t>01a152b9-6e67-75da-8adb-b03e5d07fd21</t>
        </is>
      </c>
      <c r="D1253" s="4" t="n">
        <v>46314.2459709496</v>
      </c>
      <c r="E1253" s="4" t="n">
        <v>46314.24597094972</v>
      </c>
      <c r="F1253" t="b">
        <v>1</v>
      </c>
      <c r="G1253" t="n">
        <v/>
      </c>
      <c r="H1253" t="inlineStr">
        <is>
          <t>FXG</t>
        </is>
      </c>
      <c r="I1253" t="inlineStr">
        <is>
          <t>FELIX Gold Ltd</t>
        </is>
      </c>
      <c r="J1253" t="inlineStr">
        <is>
          <t>AUD</t>
        </is>
      </c>
      <c r="K1253" s="5" t="inlineStr">
        <is>
          <t>01a152b9-6ee2-7577-bddd-382bc3853fde</t>
        </is>
      </c>
      <c r="M1253" t="inlineStr">
        <is>
          <t>UNKNOWN</t>
        </is>
      </c>
      <c r="N1253" t="inlineStr">
        <is>
          <t>DEFAULT</t>
        </is>
      </c>
      <c r="Q1253" t="n">
        <v>0</v>
      </c>
      <c r="R1253" t="inlineStr">
        <is>
          <t>AUD</t>
        </is>
      </c>
      <c r="S1253" t="n">
        <v>0</v>
      </c>
      <c r="T1253" t="inlineStr">
        <is>
          <t>AUD</t>
        </is>
      </c>
      <c r="U1253" t="n">
        <v>0</v>
      </c>
    </row>
    <row r="1254">
      <c r="A1254" s="5" t="inlineStr">
        <is>
          <t>01a152b9-8335-72db-8129-0829b97fcd45</t>
        </is>
      </c>
      <c r="C1254" s="5" t="inlineStr">
        <is>
          <t>01a152b9-6e67-75da-8adb-b03e5d07fd21</t>
        </is>
      </c>
      <c r="D1254" s="4" t="n">
        <v>46314.24597098832</v>
      </c>
      <c r="E1254" s="4" t="n">
        <v>46314.24597098843</v>
      </c>
      <c r="F1254" t="b">
        <v>1</v>
      </c>
      <c r="G1254" t="n">
        <v/>
      </c>
      <c r="H1254" t="inlineStr">
        <is>
          <t>WWI</t>
        </is>
      </c>
      <c r="I1254" t="inlineStr">
        <is>
          <t>West Wits Mining Ltd</t>
        </is>
      </c>
      <c r="J1254" t="inlineStr">
        <is>
          <t>AUD</t>
        </is>
      </c>
      <c r="K1254" s="5" t="inlineStr">
        <is>
          <t>01a152b9-6ee2-7577-bddd-382bc3853fde</t>
        </is>
      </c>
      <c r="M1254" t="inlineStr">
        <is>
          <t>UNKNOWN</t>
        </is>
      </c>
      <c r="N1254" t="inlineStr">
        <is>
          <t>DEFAULT</t>
        </is>
      </c>
      <c r="Q1254" t="n">
        <v>0</v>
      </c>
      <c r="R1254" t="inlineStr">
        <is>
          <t>AUD</t>
        </is>
      </c>
      <c r="S1254" t="n">
        <v>0</v>
      </c>
      <c r="T1254" t="inlineStr">
        <is>
          <t>AUD</t>
        </is>
      </c>
      <c r="U1254" t="n">
        <v>0</v>
      </c>
    </row>
    <row r="1255">
      <c r="A1255" s="5" t="inlineStr">
        <is>
          <t>01a152b9-8339-7627-b57f-fa44fe3cff5d</t>
        </is>
      </c>
      <c r="C1255" s="5" t="inlineStr">
        <is>
          <t>01a152b9-6e67-75da-8adb-b03e5d07fd21</t>
        </is>
      </c>
      <c r="D1255" s="4" t="n">
        <v>46314.24597103199</v>
      </c>
      <c r="E1255" s="4" t="n">
        <v>46314.2459710321</v>
      </c>
      <c r="F1255" t="b">
        <v>1</v>
      </c>
      <c r="G1255" t="n">
        <v/>
      </c>
      <c r="H1255" t="inlineStr">
        <is>
          <t>NXS</t>
        </is>
      </c>
      <c r="I1255" t="inlineStr">
        <is>
          <t>Next Science Ltd</t>
        </is>
      </c>
      <c r="J1255" t="inlineStr">
        <is>
          <t>AUD</t>
        </is>
      </c>
      <c r="K1255" s="5" t="inlineStr">
        <is>
          <t>01a152b9-6ee2-7577-bddd-382bc3853fde</t>
        </is>
      </c>
      <c r="M1255" t="inlineStr">
        <is>
          <t>UNKNOWN</t>
        </is>
      </c>
      <c r="N1255" t="inlineStr">
        <is>
          <t>DEFAULT</t>
        </is>
      </c>
      <c r="Q1255" t="n">
        <v>0</v>
      </c>
      <c r="R1255" t="inlineStr">
        <is>
          <t>AUD</t>
        </is>
      </c>
      <c r="S1255" t="n">
        <v>0</v>
      </c>
      <c r="T1255" t="inlineStr">
        <is>
          <t>AUD</t>
        </is>
      </c>
      <c r="U1255" t="n">
        <v>0</v>
      </c>
    </row>
    <row r="1256">
      <c r="A1256" s="5" t="inlineStr">
        <is>
          <t>01a152b9-833c-73e3-94d4-286e0fec2365</t>
        </is>
      </c>
      <c r="C1256" s="5" t="inlineStr">
        <is>
          <t>01a152b9-6e67-75da-8adb-b03e5d07fd21</t>
        </is>
      </c>
      <c r="D1256" s="4" t="n">
        <v>46314.24597107068</v>
      </c>
      <c r="E1256" s="4" t="n">
        <v>46314.24597107078</v>
      </c>
      <c r="F1256" t="b">
        <v>1</v>
      </c>
      <c r="G1256" t="n">
        <v/>
      </c>
      <c r="H1256" t="inlineStr">
        <is>
          <t>FLX</t>
        </is>
      </c>
      <c r="I1256" t="inlineStr">
        <is>
          <t>FELIX Group Holdings Ltd</t>
        </is>
      </c>
      <c r="J1256" t="inlineStr">
        <is>
          <t>AUD</t>
        </is>
      </c>
      <c r="K1256" s="5" t="inlineStr">
        <is>
          <t>01a152b9-6ee2-7577-bddd-382bc3853fde</t>
        </is>
      </c>
      <c r="M1256" t="inlineStr">
        <is>
          <t>UNKNOWN</t>
        </is>
      </c>
      <c r="N1256" t="inlineStr">
        <is>
          <t>DEFAULT</t>
        </is>
      </c>
      <c r="Q1256" t="n">
        <v>0</v>
      </c>
      <c r="R1256" t="inlineStr">
        <is>
          <t>AUD</t>
        </is>
      </c>
      <c r="S1256" t="n">
        <v>0</v>
      </c>
      <c r="T1256" t="inlineStr">
        <is>
          <t>AUD</t>
        </is>
      </c>
      <c r="U1256" t="n">
        <v>0</v>
      </c>
    </row>
    <row r="1257">
      <c r="A1257" s="5" t="inlineStr">
        <is>
          <t>01a152b9-8340-742e-857d-a9c98db8440e</t>
        </is>
      </c>
      <c r="C1257" s="5" t="inlineStr">
        <is>
          <t>01a152b9-6e67-75da-8adb-b03e5d07fd21</t>
        </is>
      </c>
      <c r="D1257" s="4" t="n">
        <v>46314.24597111436</v>
      </c>
      <c r="E1257" s="4" t="n">
        <v>46314.24597111445</v>
      </c>
      <c r="F1257" t="b">
        <v>1</v>
      </c>
      <c r="G1257" t="n">
        <v/>
      </c>
      <c r="H1257" t="inlineStr">
        <is>
          <t>ESK</t>
        </is>
      </c>
      <c r="I1257" t="inlineStr">
        <is>
          <t>Etherstack Plc</t>
        </is>
      </c>
      <c r="J1257" t="inlineStr">
        <is>
          <t>AUD</t>
        </is>
      </c>
      <c r="K1257" s="5" t="inlineStr">
        <is>
          <t>01a152b9-6ee2-7577-bddd-382bc3853fde</t>
        </is>
      </c>
      <c r="M1257" t="inlineStr">
        <is>
          <t>UNKNOWN</t>
        </is>
      </c>
      <c r="N1257" t="inlineStr">
        <is>
          <t>DEFAULT</t>
        </is>
      </c>
      <c r="Q1257" t="n">
        <v>0</v>
      </c>
      <c r="R1257" t="inlineStr">
        <is>
          <t>AUD</t>
        </is>
      </c>
      <c r="S1257" t="n">
        <v>0</v>
      </c>
      <c r="T1257" t="inlineStr">
        <is>
          <t>AUD</t>
        </is>
      </c>
      <c r="U1257" t="n">
        <v>0</v>
      </c>
    </row>
    <row r="1258">
      <c r="A1258" s="5" t="inlineStr">
        <is>
          <t>01a152b9-8343-769e-aa58-5b18093b658d</t>
        </is>
      </c>
      <c r="C1258" s="5" t="inlineStr">
        <is>
          <t>01a152b9-6e67-75da-8adb-b03e5d07fd21</t>
        </is>
      </c>
      <c r="D1258" s="4" t="n">
        <v>46314.2459711497</v>
      </c>
      <c r="E1258" s="4" t="n">
        <v>46314.24597114979</v>
      </c>
      <c r="F1258" t="b">
        <v>1</v>
      </c>
      <c r="G1258" t="n">
        <v/>
      </c>
      <c r="H1258" t="inlineStr">
        <is>
          <t>AUDS</t>
        </is>
      </c>
      <c r="I1258" t="inlineStr">
        <is>
          <t>Betashares Strong Australian Dollar Fund (Hedge Fund)</t>
        </is>
      </c>
      <c r="J1258" t="inlineStr">
        <is>
          <t>AUD</t>
        </is>
      </c>
      <c r="K1258" s="5" t="inlineStr">
        <is>
          <t>01a152b9-6ee2-7577-bddd-382bc3853fde</t>
        </is>
      </c>
      <c r="M1258" t="inlineStr">
        <is>
          <t>UNKNOWN</t>
        </is>
      </c>
      <c r="N1258" t="inlineStr">
        <is>
          <t>DEFAULT</t>
        </is>
      </c>
      <c r="Q1258" t="n">
        <v>0</v>
      </c>
      <c r="R1258" t="inlineStr">
        <is>
          <t>AUD</t>
        </is>
      </c>
      <c r="S1258" t="n">
        <v>0</v>
      </c>
      <c r="T1258" t="inlineStr">
        <is>
          <t>AUD</t>
        </is>
      </c>
      <c r="U1258" t="n">
        <v>0</v>
      </c>
    </row>
    <row r="1259">
      <c r="A1259" s="5" t="inlineStr">
        <is>
          <t>01a152b9-8346-70a2-8a09-7928b6637f92</t>
        </is>
      </c>
      <c r="C1259" s="5" t="inlineStr">
        <is>
          <t>01a152b9-6e67-75da-8adb-b03e5d07fd21</t>
        </is>
      </c>
      <c r="D1259" s="4" t="n">
        <v>46314.24597118719</v>
      </c>
      <c r="E1259" s="4" t="n">
        <v>46314.24597118728</v>
      </c>
      <c r="F1259" t="b">
        <v>1</v>
      </c>
      <c r="G1259" t="n">
        <v/>
      </c>
      <c r="H1259" t="inlineStr">
        <is>
          <t>VTM</t>
        </is>
      </c>
      <c r="I1259" t="inlineStr">
        <is>
          <t>Victory Metals Ltd</t>
        </is>
      </c>
      <c r="J1259" t="inlineStr">
        <is>
          <t>AUD</t>
        </is>
      </c>
      <c r="K1259" s="5" t="inlineStr">
        <is>
          <t>01a152b9-6ee2-7577-bddd-382bc3853fde</t>
        </is>
      </c>
      <c r="M1259" t="inlineStr">
        <is>
          <t>UNKNOWN</t>
        </is>
      </c>
      <c r="N1259" t="inlineStr">
        <is>
          <t>DEFAULT</t>
        </is>
      </c>
      <c r="Q1259" t="n">
        <v>0</v>
      </c>
      <c r="R1259" t="inlineStr">
        <is>
          <t>AUD</t>
        </is>
      </c>
      <c r="S1259" t="n">
        <v>0</v>
      </c>
      <c r="T1259" t="inlineStr">
        <is>
          <t>AUD</t>
        </is>
      </c>
      <c r="U1259" t="n">
        <v>0</v>
      </c>
    </row>
    <row r="1260">
      <c r="A1260" s="5" t="inlineStr">
        <is>
          <t>01a152b9-834a-76ee-a1d8-c1110023be17</t>
        </is>
      </c>
      <c r="C1260" s="5" t="inlineStr">
        <is>
          <t>01a152b9-6e67-75da-8adb-b03e5d07fd21</t>
        </is>
      </c>
      <c r="D1260" s="4" t="n">
        <v>46314.2459712287</v>
      </c>
      <c r="E1260" s="4" t="n">
        <v>46314.24597122882</v>
      </c>
      <c r="F1260" t="b">
        <v>1</v>
      </c>
      <c r="G1260" t="n">
        <v/>
      </c>
      <c r="H1260" t="inlineStr">
        <is>
          <t>ALTB</t>
        </is>
      </c>
      <c r="I1260" t="inlineStr">
        <is>
          <t>Ishares 15+ Year Australian Government Bond ETF</t>
        </is>
      </c>
      <c r="J1260" t="inlineStr">
        <is>
          <t>AUD</t>
        </is>
      </c>
      <c r="K1260" s="5" t="inlineStr">
        <is>
          <t>01a152b9-6ee2-7577-bddd-382bc3853fde</t>
        </is>
      </c>
      <c r="M1260" t="inlineStr">
        <is>
          <t>UNKNOWN</t>
        </is>
      </c>
      <c r="N1260" t="inlineStr">
        <is>
          <t>DEFAULT</t>
        </is>
      </c>
      <c r="Q1260" t="n">
        <v>0</v>
      </c>
      <c r="R1260" t="inlineStr">
        <is>
          <t>AUD</t>
        </is>
      </c>
      <c r="S1260" t="n">
        <v>0</v>
      </c>
      <c r="T1260" t="inlineStr">
        <is>
          <t>AUD</t>
        </is>
      </c>
      <c r="U1260" t="n">
        <v>0</v>
      </c>
    </row>
    <row r="1261">
      <c r="A1261" s="5" t="inlineStr">
        <is>
          <t>01a152b9-834d-7007-af97-26c320eaf12b</t>
        </is>
      </c>
      <c r="C1261" s="5" t="inlineStr">
        <is>
          <t>01a152b9-6e67-75da-8adb-b03e5d07fd21</t>
        </is>
      </c>
      <c r="D1261" s="4" t="n">
        <v>46314.24597127138</v>
      </c>
      <c r="E1261" s="4" t="n">
        <v>46314.24597127148</v>
      </c>
      <c r="F1261" t="b">
        <v>1</v>
      </c>
      <c r="G1261" t="n">
        <v/>
      </c>
      <c r="H1261" t="inlineStr">
        <is>
          <t>XF1</t>
        </is>
      </c>
      <c r="I1261" t="inlineStr">
        <is>
          <t>Xref Ltd</t>
        </is>
      </c>
      <c r="J1261" t="inlineStr">
        <is>
          <t>AUD</t>
        </is>
      </c>
      <c r="K1261" s="5" t="inlineStr">
        <is>
          <t>01a152b9-6ee2-7577-bddd-382bc3853fde</t>
        </is>
      </c>
      <c r="M1261" t="inlineStr">
        <is>
          <t>UNKNOWN</t>
        </is>
      </c>
      <c r="N1261" t="inlineStr">
        <is>
          <t>DEFAULT</t>
        </is>
      </c>
      <c r="Q1261" t="n">
        <v>0</v>
      </c>
      <c r="R1261" t="inlineStr">
        <is>
          <t>AUD</t>
        </is>
      </c>
      <c r="S1261" t="n">
        <v>0</v>
      </c>
      <c r="T1261" t="inlineStr">
        <is>
          <t>AUD</t>
        </is>
      </c>
      <c r="U1261" t="n">
        <v>0</v>
      </c>
    </row>
    <row r="1262">
      <c r="A1262" s="5" t="inlineStr">
        <is>
          <t>01a152b9-8351-768a-8caa-555d9827ed1c</t>
        </is>
      </c>
      <c r="C1262" s="5" t="inlineStr">
        <is>
          <t>01a152b9-6e67-75da-8adb-b03e5d07fd21</t>
        </is>
      </c>
      <c r="D1262" s="4" t="n">
        <v>46314.24597131403</v>
      </c>
      <c r="E1262" s="4" t="n">
        <v>46314.24597131414</v>
      </c>
      <c r="F1262" t="b">
        <v>1</v>
      </c>
      <c r="G1262" t="n">
        <v/>
      </c>
      <c r="H1262" t="inlineStr">
        <is>
          <t>DEV</t>
        </is>
      </c>
      <c r="I1262" t="inlineStr">
        <is>
          <t>DEVEX Resources Ltd</t>
        </is>
      </c>
      <c r="J1262" t="inlineStr">
        <is>
          <t>AUD</t>
        </is>
      </c>
      <c r="K1262" s="5" t="inlineStr">
        <is>
          <t>01a152b9-6ee2-7577-bddd-382bc3853fde</t>
        </is>
      </c>
      <c r="M1262" t="inlineStr">
        <is>
          <t>UNKNOWN</t>
        </is>
      </c>
      <c r="N1262" t="inlineStr">
        <is>
          <t>DEFAULT</t>
        </is>
      </c>
      <c r="Q1262" t="n">
        <v>0</v>
      </c>
      <c r="R1262" t="inlineStr">
        <is>
          <t>AUD</t>
        </is>
      </c>
      <c r="S1262" t="n">
        <v>0</v>
      </c>
      <c r="T1262" t="inlineStr">
        <is>
          <t>AUD</t>
        </is>
      </c>
      <c r="U1262" t="n">
        <v>0</v>
      </c>
    </row>
    <row r="1263">
      <c r="A1263" s="5" t="inlineStr">
        <is>
          <t>01a152b9-8354-76da-9917-7fa4f31ec78c</t>
        </is>
      </c>
      <c r="C1263" s="5" t="inlineStr">
        <is>
          <t>01a152b9-6e67-75da-8adb-b03e5d07fd21</t>
        </is>
      </c>
      <c r="D1263" s="4" t="n">
        <v>46314.24597135566</v>
      </c>
      <c r="E1263" s="4" t="n">
        <v>46314.24597135578</v>
      </c>
      <c r="F1263" t="b">
        <v>1</v>
      </c>
      <c r="G1263" t="n">
        <v/>
      </c>
      <c r="H1263" t="inlineStr">
        <is>
          <t>GCM</t>
        </is>
      </c>
      <c r="I1263" t="inlineStr">
        <is>
          <t>Green Critical Minerals Ltd</t>
        </is>
      </c>
      <c r="J1263" t="inlineStr">
        <is>
          <t>AUD</t>
        </is>
      </c>
      <c r="K1263" s="5" t="inlineStr">
        <is>
          <t>01a152b9-6ee2-7577-bddd-382bc3853fde</t>
        </is>
      </c>
      <c r="M1263" t="inlineStr">
        <is>
          <t>UNKNOWN</t>
        </is>
      </c>
      <c r="N1263" t="inlineStr">
        <is>
          <t>DEFAULT</t>
        </is>
      </c>
      <c r="Q1263" t="n">
        <v>0</v>
      </c>
      <c r="R1263" t="inlineStr">
        <is>
          <t>AUD</t>
        </is>
      </c>
      <c r="S1263" t="n">
        <v>0</v>
      </c>
      <c r="T1263" t="inlineStr">
        <is>
          <t>AUD</t>
        </is>
      </c>
      <c r="U1263" t="n">
        <v>0</v>
      </c>
    </row>
    <row r="1264">
      <c r="A1264" s="5" t="inlineStr">
        <is>
          <t>01a152b9-8358-7547-b385-ae2532159517</t>
        </is>
      </c>
      <c r="C1264" s="5" t="inlineStr">
        <is>
          <t>01a152b9-6e67-75da-8adb-b03e5d07fd21</t>
        </is>
      </c>
      <c r="D1264" s="4" t="n">
        <v>46314.24597139924</v>
      </c>
      <c r="E1264" s="4" t="n">
        <v>46314.24597139937</v>
      </c>
      <c r="F1264" t="b">
        <v>1</v>
      </c>
      <c r="G1264" t="n">
        <v/>
      </c>
      <c r="H1264" t="inlineStr">
        <is>
          <t>JBY</t>
        </is>
      </c>
      <c r="I1264" t="inlineStr">
        <is>
          <t>James Bay Minerals Ltd</t>
        </is>
      </c>
      <c r="J1264" t="inlineStr">
        <is>
          <t>AUD</t>
        </is>
      </c>
      <c r="K1264" s="5" t="inlineStr">
        <is>
          <t>01a152b9-6ee2-7577-bddd-382bc3853fde</t>
        </is>
      </c>
      <c r="M1264" t="inlineStr">
        <is>
          <t>UNKNOWN</t>
        </is>
      </c>
      <c r="N1264" t="inlineStr">
        <is>
          <t>DEFAULT</t>
        </is>
      </c>
      <c r="Q1264" t="n">
        <v>0</v>
      </c>
      <c r="R1264" t="inlineStr">
        <is>
          <t>AUD</t>
        </is>
      </c>
      <c r="S1264" t="n">
        <v>0</v>
      </c>
      <c r="T1264" t="inlineStr">
        <is>
          <t>AUD</t>
        </is>
      </c>
      <c r="U1264" t="n">
        <v>0</v>
      </c>
    </row>
    <row r="1265">
      <c r="A1265" s="5" t="inlineStr">
        <is>
          <t>01a152b9-835b-7655-9857-69a0613fabe5</t>
        </is>
      </c>
      <c r="C1265" s="5" t="inlineStr">
        <is>
          <t>01a152b9-6e67-75da-8adb-b03e5d07fd21</t>
        </is>
      </c>
      <c r="D1265" s="4" t="n">
        <v>46314.24597143544</v>
      </c>
      <c r="E1265" s="4" t="n">
        <v>46314.24597143554</v>
      </c>
      <c r="F1265" t="b">
        <v>1</v>
      </c>
      <c r="G1265" t="n">
        <v/>
      </c>
      <c r="H1265" t="inlineStr">
        <is>
          <t>QHL</t>
        </is>
      </c>
      <c r="I1265" t="inlineStr">
        <is>
          <t>Quickstep Holdings Ltd</t>
        </is>
      </c>
      <c r="J1265" t="inlineStr">
        <is>
          <t>AUD</t>
        </is>
      </c>
      <c r="K1265" s="5" t="inlineStr">
        <is>
          <t>01a152b9-6ee2-7577-bddd-382bc3853fde</t>
        </is>
      </c>
      <c r="M1265" t="inlineStr">
        <is>
          <t>UNKNOWN</t>
        </is>
      </c>
      <c r="N1265" t="inlineStr">
        <is>
          <t>DEFAULT</t>
        </is>
      </c>
      <c r="Q1265" t="n">
        <v>0</v>
      </c>
      <c r="R1265" t="inlineStr">
        <is>
          <t>AUD</t>
        </is>
      </c>
      <c r="S1265" t="n">
        <v>0</v>
      </c>
      <c r="T1265" t="inlineStr">
        <is>
          <t>AUD</t>
        </is>
      </c>
      <c r="U1265" t="n">
        <v>0</v>
      </c>
    </row>
    <row r="1266">
      <c r="A1266" s="5" t="inlineStr">
        <is>
          <t>01a152b9-835e-74f4-9ffd-a444f131d71f</t>
        </is>
      </c>
      <c r="C1266" s="5" t="inlineStr">
        <is>
          <t>01a152b9-6e67-75da-8adb-b03e5d07fd21</t>
        </is>
      </c>
      <c r="D1266" s="4" t="n">
        <v>46314.24597146928</v>
      </c>
      <c r="E1266" s="4" t="n">
        <v>46314.24597146938</v>
      </c>
      <c r="F1266" t="b">
        <v>1</v>
      </c>
      <c r="G1266" t="n">
        <v/>
      </c>
      <c r="H1266" t="inlineStr">
        <is>
          <t>BOND</t>
        </is>
      </c>
      <c r="I1266" t="inlineStr">
        <is>
          <t>SPDR S&amp;P/ASX Australian Bond Fund</t>
        </is>
      </c>
      <c r="J1266" t="inlineStr">
        <is>
          <t>AUD</t>
        </is>
      </c>
      <c r="K1266" s="5" t="inlineStr">
        <is>
          <t>01a152b9-6ee2-7577-bddd-382bc3853fde</t>
        </is>
      </c>
      <c r="M1266" t="inlineStr">
        <is>
          <t>UNKNOWN</t>
        </is>
      </c>
      <c r="N1266" t="inlineStr">
        <is>
          <t>DEFAULT</t>
        </is>
      </c>
      <c r="Q1266" t="n">
        <v>0</v>
      </c>
      <c r="R1266" t="inlineStr">
        <is>
          <t>AUD</t>
        </is>
      </c>
      <c r="S1266" t="n">
        <v>0</v>
      </c>
      <c r="T1266" t="inlineStr">
        <is>
          <t>AUD</t>
        </is>
      </c>
      <c r="U1266" t="n">
        <v>0</v>
      </c>
    </row>
    <row r="1267">
      <c r="A1267" s="5" t="inlineStr">
        <is>
          <t>01a152b9-8361-7621-8fc5-66ea2c441299</t>
        </is>
      </c>
      <c r="C1267" s="5" t="inlineStr">
        <is>
          <t>01a152b9-6e67-75da-8adb-b03e5d07fd21</t>
        </is>
      </c>
      <c r="D1267" s="4" t="n">
        <v>46314.24597150567</v>
      </c>
      <c r="E1267" s="4" t="n">
        <v>46314.24597150576</v>
      </c>
      <c r="F1267" t="b">
        <v>1</v>
      </c>
      <c r="G1267" t="n">
        <v/>
      </c>
      <c r="H1267" t="inlineStr">
        <is>
          <t>LMG</t>
        </is>
      </c>
      <c r="I1267" t="inlineStr">
        <is>
          <t>Latrobe Magnesium Ltd</t>
        </is>
      </c>
      <c r="J1267" t="inlineStr">
        <is>
          <t>AUD</t>
        </is>
      </c>
      <c r="K1267" s="5" t="inlineStr">
        <is>
          <t>01a152b9-6ee2-7577-bddd-382bc3853fde</t>
        </is>
      </c>
      <c r="M1267" t="inlineStr">
        <is>
          <t>UNKNOWN</t>
        </is>
      </c>
      <c r="N1267" t="inlineStr">
        <is>
          <t>DEFAULT</t>
        </is>
      </c>
      <c r="Q1267" t="n">
        <v>0</v>
      </c>
      <c r="R1267" t="inlineStr">
        <is>
          <t>AUD</t>
        </is>
      </c>
      <c r="S1267" t="n">
        <v>0</v>
      </c>
      <c r="T1267" t="inlineStr">
        <is>
          <t>AUD</t>
        </is>
      </c>
      <c r="U1267" t="n">
        <v>0</v>
      </c>
    </row>
    <row r="1268">
      <c r="A1268" s="5" t="inlineStr">
        <is>
          <t>01a152b9-8365-76bf-b6a6-85bac20e3b4f</t>
        </is>
      </c>
      <c r="C1268" s="5" t="inlineStr">
        <is>
          <t>01a152b9-6e67-75da-8adb-b03e5d07fd21</t>
        </is>
      </c>
      <c r="D1268" s="4" t="n">
        <v>46314.24597155037</v>
      </c>
      <c r="E1268" s="4" t="n">
        <v>46314.2459715505</v>
      </c>
      <c r="F1268" t="b">
        <v>1</v>
      </c>
      <c r="G1268" t="n">
        <v/>
      </c>
      <c r="H1268" t="inlineStr">
        <is>
          <t>OVT</t>
        </is>
      </c>
      <c r="I1268" t="inlineStr">
        <is>
          <t>Ovanti Ltd</t>
        </is>
      </c>
      <c r="J1268" t="inlineStr">
        <is>
          <t>AUD</t>
        </is>
      </c>
      <c r="K1268" s="5" t="inlineStr">
        <is>
          <t>01a152b9-6ee2-7577-bddd-382bc3853fde</t>
        </is>
      </c>
      <c r="M1268" t="inlineStr">
        <is>
          <t>UNKNOWN</t>
        </is>
      </c>
      <c r="N1268" t="inlineStr">
        <is>
          <t>DEFAULT</t>
        </is>
      </c>
      <c r="Q1268" t="n">
        <v>0</v>
      </c>
      <c r="R1268" t="inlineStr">
        <is>
          <t>AUD</t>
        </is>
      </c>
      <c r="S1268" t="n">
        <v>0</v>
      </c>
      <c r="T1268" t="inlineStr">
        <is>
          <t>AUD</t>
        </is>
      </c>
      <c r="U1268" t="n">
        <v>0</v>
      </c>
    </row>
    <row r="1269">
      <c r="A1269" s="5" t="inlineStr">
        <is>
          <t>01a152b9-8369-704f-9957-535294b85490</t>
        </is>
      </c>
      <c r="C1269" s="5" t="inlineStr">
        <is>
          <t>01a152b9-6e67-75da-8adb-b03e5d07fd21</t>
        </is>
      </c>
      <c r="D1269" s="4" t="n">
        <v>46314.24597159438</v>
      </c>
      <c r="E1269" s="4" t="n">
        <v>46314.24597159452</v>
      </c>
      <c r="F1269" t="b">
        <v>1</v>
      </c>
      <c r="G1269" t="n">
        <v/>
      </c>
      <c r="H1269" t="inlineStr">
        <is>
          <t>PRO</t>
        </is>
      </c>
      <c r="I1269" t="inlineStr">
        <is>
          <t>Prophecy International Holdings Ltd</t>
        </is>
      </c>
      <c r="J1269" t="inlineStr">
        <is>
          <t>AUD</t>
        </is>
      </c>
      <c r="K1269" s="5" t="inlineStr">
        <is>
          <t>01a152b9-6ee2-7577-bddd-382bc3853fde</t>
        </is>
      </c>
      <c r="M1269" t="inlineStr">
        <is>
          <t>UNKNOWN</t>
        </is>
      </c>
      <c r="N1269" t="inlineStr">
        <is>
          <t>DEFAULT</t>
        </is>
      </c>
      <c r="Q1269" t="n">
        <v>0</v>
      </c>
      <c r="R1269" t="inlineStr">
        <is>
          <t>AUD</t>
        </is>
      </c>
      <c r="S1269" t="n">
        <v>0</v>
      </c>
      <c r="T1269" t="inlineStr">
        <is>
          <t>AUD</t>
        </is>
      </c>
      <c r="U1269" t="n">
        <v>0</v>
      </c>
    </row>
    <row r="1270">
      <c r="A1270" s="5" t="inlineStr">
        <is>
          <t>01a152b9-836c-75b9-b28c-496b6a2d94bd</t>
        </is>
      </c>
      <c r="C1270" s="5" t="inlineStr">
        <is>
          <t>01a152b9-6e67-75da-8adb-b03e5d07fd21</t>
        </is>
      </c>
      <c r="D1270" s="4" t="n">
        <v>46314.24597163135</v>
      </c>
      <c r="E1270" s="4" t="n">
        <v>46314.24597163145</v>
      </c>
      <c r="F1270" t="b">
        <v>1</v>
      </c>
      <c r="G1270" t="n">
        <v/>
      </c>
      <c r="H1270" t="inlineStr">
        <is>
          <t>DDB</t>
        </is>
      </c>
      <c r="I1270" t="inlineStr">
        <is>
          <t>Dynamic Group Holdings Ltd</t>
        </is>
      </c>
      <c r="J1270" t="inlineStr">
        <is>
          <t>AUD</t>
        </is>
      </c>
      <c r="K1270" s="5" t="inlineStr">
        <is>
          <t>01a152b9-6ee2-7577-bddd-382bc3853fde</t>
        </is>
      </c>
      <c r="M1270" t="inlineStr">
        <is>
          <t>UNKNOWN</t>
        </is>
      </c>
      <c r="N1270" t="inlineStr">
        <is>
          <t>DEFAULT</t>
        </is>
      </c>
      <c r="Q1270" t="n">
        <v>0</v>
      </c>
      <c r="R1270" t="inlineStr">
        <is>
          <t>AUD</t>
        </is>
      </c>
      <c r="S1270" t="n">
        <v>0</v>
      </c>
      <c r="T1270" t="inlineStr">
        <is>
          <t>AUD</t>
        </is>
      </c>
      <c r="U1270" t="n">
        <v>0</v>
      </c>
    </row>
    <row r="1271">
      <c r="A1271" s="5" t="inlineStr">
        <is>
          <t>01a152b9-8370-7013-b681-8b66faa053c4</t>
        </is>
      </c>
      <c r="C1271" s="5" t="inlineStr">
        <is>
          <t>01a152b9-6e67-75da-8adb-b03e5d07fd21</t>
        </is>
      </c>
      <c r="D1271" s="4" t="n">
        <v>46314.24597167085</v>
      </c>
      <c r="E1271" s="4" t="n">
        <v>46314.24597167093</v>
      </c>
      <c r="F1271" t="b">
        <v>1</v>
      </c>
      <c r="G1271" t="n">
        <v/>
      </c>
      <c r="H1271" t="inlineStr">
        <is>
          <t>NGE</t>
        </is>
      </c>
      <c r="I1271" t="inlineStr">
        <is>
          <t>NGE Capital Ltd</t>
        </is>
      </c>
      <c r="J1271" t="inlineStr">
        <is>
          <t>AUD</t>
        </is>
      </c>
      <c r="K1271" s="5" t="inlineStr">
        <is>
          <t>01a152b9-6ee2-7577-bddd-382bc3853fde</t>
        </is>
      </c>
      <c r="M1271" t="inlineStr">
        <is>
          <t>UNKNOWN</t>
        </is>
      </c>
      <c r="N1271" t="inlineStr">
        <is>
          <t>DEFAULT</t>
        </is>
      </c>
      <c r="Q1271" t="n">
        <v>0</v>
      </c>
      <c r="R1271" t="inlineStr">
        <is>
          <t>AUD</t>
        </is>
      </c>
      <c r="S1271" t="n">
        <v>0</v>
      </c>
      <c r="T1271" t="inlineStr">
        <is>
          <t>AUD</t>
        </is>
      </c>
      <c r="U1271" t="n">
        <v>0</v>
      </c>
    </row>
    <row r="1272">
      <c r="A1272" s="5" t="inlineStr">
        <is>
          <t>01a152b9-8373-76e9-bca2-6fecd297623b</t>
        </is>
      </c>
      <c r="C1272" s="5" t="inlineStr">
        <is>
          <t>01a152b9-6e67-75da-8adb-b03e5d07fd21</t>
        </is>
      </c>
      <c r="D1272" s="4" t="n">
        <v>46314.2459717064</v>
      </c>
      <c r="E1272" s="4" t="n">
        <v>46314.24597170651</v>
      </c>
      <c r="F1272" t="b">
        <v>1</v>
      </c>
      <c r="G1272" t="n">
        <v/>
      </c>
      <c r="H1272" t="inlineStr">
        <is>
          <t>TIG</t>
        </is>
      </c>
      <c r="I1272" t="inlineStr">
        <is>
          <t>Tigers Realm Coal Ltd</t>
        </is>
      </c>
      <c r="J1272" t="inlineStr">
        <is>
          <t>AUD</t>
        </is>
      </c>
      <c r="K1272" s="5" t="inlineStr">
        <is>
          <t>01a152b9-6ee2-7577-bddd-382bc3853fde</t>
        </is>
      </c>
      <c r="M1272" t="inlineStr">
        <is>
          <t>UNKNOWN</t>
        </is>
      </c>
      <c r="N1272" t="inlineStr">
        <is>
          <t>DEFAULT</t>
        </is>
      </c>
      <c r="Q1272" t="n">
        <v>0</v>
      </c>
      <c r="R1272" t="inlineStr">
        <is>
          <t>AUD</t>
        </is>
      </c>
      <c r="S1272" t="n">
        <v>0</v>
      </c>
      <c r="T1272" t="inlineStr">
        <is>
          <t>AUD</t>
        </is>
      </c>
      <c r="U1272" t="n">
        <v>0</v>
      </c>
    </row>
    <row r="1273">
      <c r="A1273" s="5" t="inlineStr">
        <is>
          <t>01a152b9-8376-7612-9e3d-a971f6618e5b</t>
        </is>
      </c>
      <c r="C1273" s="5" t="inlineStr">
        <is>
          <t>01a152b9-6e67-75da-8adb-b03e5d07fd21</t>
        </is>
      </c>
      <c r="D1273" s="4" t="n">
        <v>46314.24597174732</v>
      </c>
      <c r="E1273" s="4" t="n">
        <v>46314.24597174742</v>
      </c>
      <c r="F1273" t="b">
        <v>1</v>
      </c>
      <c r="G1273" t="n">
        <v/>
      </c>
      <c r="H1273" t="inlineStr">
        <is>
          <t>VBC</t>
        </is>
      </c>
      <c r="I1273" t="inlineStr">
        <is>
          <t>Verbrec Ltd</t>
        </is>
      </c>
      <c r="J1273" t="inlineStr">
        <is>
          <t>AUD</t>
        </is>
      </c>
      <c r="K1273" s="5" t="inlineStr">
        <is>
          <t>01a152b9-6ee2-7577-bddd-382bc3853fde</t>
        </is>
      </c>
      <c r="M1273" t="inlineStr">
        <is>
          <t>UNKNOWN</t>
        </is>
      </c>
      <c r="N1273" t="inlineStr">
        <is>
          <t>DEFAULT</t>
        </is>
      </c>
      <c r="Q1273" t="n">
        <v>0</v>
      </c>
      <c r="R1273" t="inlineStr">
        <is>
          <t>AUD</t>
        </is>
      </c>
      <c r="S1273" t="n">
        <v>0</v>
      </c>
      <c r="T1273" t="inlineStr">
        <is>
          <t>AUD</t>
        </is>
      </c>
      <c r="U1273" t="n">
        <v>0</v>
      </c>
    </row>
    <row r="1274">
      <c r="A1274" s="5" t="inlineStr">
        <is>
          <t>01a152b9-8379-7642-9c9e-73cd0076759c</t>
        </is>
      </c>
      <c r="C1274" s="5" t="inlineStr">
        <is>
          <t>01a152b9-6e67-75da-8adb-b03e5d07fd21</t>
        </is>
      </c>
      <c r="D1274" s="4" t="n">
        <v>46314.24597178161</v>
      </c>
      <c r="E1274" s="4" t="n">
        <v>46314.2459717817</v>
      </c>
      <c r="F1274" t="b">
        <v>1</v>
      </c>
      <c r="G1274" t="n">
        <v/>
      </c>
      <c r="H1274" t="inlineStr">
        <is>
          <t>EYE</t>
        </is>
      </c>
      <c r="I1274" t="inlineStr">
        <is>
          <t>Nova EYE Medical Ltd</t>
        </is>
      </c>
      <c r="J1274" t="inlineStr">
        <is>
          <t>AUD</t>
        </is>
      </c>
      <c r="K1274" s="5" t="inlineStr">
        <is>
          <t>01a152b9-6ee2-7577-bddd-382bc3853fde</t>
        </is>
      </c>
      <c r="M1274" t="inlineStr">
        <is>
          <t>UNKNOWN</t>
        </is>
      </c>
      <c r="N1274" t="inlineStr">
        <is>
          <t>DEFAULT</t>
        </is>
      </c>
      <c r="Q1274" t="n">
        <v>0</v>
      </c>
      <c r="R1274" t="inlineStr">
        <is>
          <t>AUD</t>
        </is>
      </c>
      <c r="S1274" t="n">
        <v>0</v>
      </c>
      <c r="T1274" t="inlineStr">
        <is>
          <t>AUD</t>
        </is>
      </c>
      <c r="U1274" t="n">
        <v>0</v>
      </c>
    </row>
    <row r="1275">
      <c r="A1275" s="5" t="inlineStr">
        <is>
          <t>01a152b9-837c-757b-86f2-076cbc5d80d4</t>
        </is>
      </c>
      <c r="C1275" s="5" t="inlineStr">
        <is>
          <t>01a152b9-6e67-75da-8adb-b03e5d07fd21</t>
        </is>
      </c>
      <c r="D1275" s="4" t="n">
        <v>46314.24597181848</v>
      </c>
      <c r="E1275" s="4" t="n">
        <v>46314.24597181858</v>
      </c>
      <c r="F1275" t="b">
        <v>1</v>
      </c>
      <c r="G1275" t="n">
        <v/>
      </c>
      <c r="H1275" t="inlineStr">
        <is>
          <t>TLM</t>
        </is>
      </c>
      <c r="I1275" t="inlineStr">
        <is>
          <t>Talisman Mining Ltd</t>
        </is>
      </c>
      <c r="J1275" t="inlineStr">
        <is>
          <t>AUD</t>
        </is>
      </c>
      <c r="K1275" s="5" t="inlineStr">
        <is>
          <t>01a152b9-6ee2-7577-bddd-382bc3853fde</t>
        </is>
      </c>
      <c r="M1275" t="inlineStr">
        <is>
          <t>UNKNOWN</t>
        </is>
      </c>
      <c r="N1275" t="inlineStr">
        <is>
          <t>DEFAULT</t>
        </is>
      </c>
      <c r="Q1275" t="n">
        <v>0</v>
      </c>
      <c r="R1275" t="inlineStr">
        <is>
          <t>AUD</t>
        </is>
      </c>
      <c r="S1275" t="n">
        <v>0</v>
      </c>
      <c r="T1275" t="inlineStr">
        <is>
          <t>AUD</t>
        </is>
      </c>
      <c r="U1275" t="n">
        <v>0</v>
      </c>
    </row>
    <row r="1276">
      <c r="A1276" s="5" t="inlineStr">
        <is>
          <t>01a152b9-8380-7450-80af-c9595799dbbd</t>
        </is>
      </c>
      <c r="C1276" s="5" t="inlineStr">
        <is>
          <t>01a152b9-6e67-75da-8adb-b03e5d07fd21</t>
        </is>
      </c>
      <c r="D1276" s="4" t="n">
        <v>46314.24597185332</v>
      </c>
      <c r="E1276" s="4" t="n">
        <v>46314.24597185342</v>
      </c>
      <c r="F1276" t="b">
        <v>1</v>
      </c>
      <c r="G1276" t="n">
        <v/>
      </c>
      <c r="H1276" t="inlineStr">
        <is>
          <t>VMT</t>
        </is>
      </c>
      <c r="I1276" t="inlineStr">
        <is>
          <t>Vmoto Ltd</t>
        </is>
      </c>
      <c r="J1276" t="inlineStr">
        <is>
          <t>AUD</t>
        </is>
      </c>
      <c r="K1276" s="5" t="inlineStr">
        <is>
          <t>01a152b9-6ee2-7577-bddd-382bc3853fde</t>
        </is>
      </c>
      <c r="M1276" t="inlineStr">
        <is>
          <t>UNKNOWN</t>
        </is>
      </c>
      <c r="N1276" t="inlineStr">
        <is>
          <t>DEFAULT</t>
        </is>
      </c>
      <c r="Q1276" t="n">
        <v>0</v>
      </c>
      <c r="R1276" t="inlineStr">
        <is>
          <t>AUD</t>
        </is>
      </c>
      <c r="S1276" t="n">
        <v>0</v>
      </c>
      <c r="T1276" t="inlineStr">
        <is>
          <t>AUD</t>
        </is>
      </c>
      <c r="U1276" t="n">
        <v>0</v>
      </c>
    </row>
    <row r="1277">
      <c r="A1277" s="5" t="inlineStr">
        <is>
          <t>01a152b9-8383-77e6-b827-febedc9df60a</t>
        </is>
      </c>
      <c r="C1277" s="5" t="inlineStr">
        <is>
          <t>01a152b9-6e67-75da-8adb-b03e5d07fd21</t>
        </is>
      </c>
      <c r="D1277" s="4" t="n">
        <v>46314.24597189193</v>
      </c>
      <c r="E1277" s="4" t="n">
        <v>46314.24597189205</v>
      </c>
      <c r="F1277" t="b">
        <v>1</v>
      </c>
      <c r="G1277" t="n">
        <v/>
      </c>
      <c r="H1277" t="inlineStr">
        <is>
          <t>BML</t>
        </is>
      </c>
      <c r="I1277" t="inlineStr">
        <is>
          <t>Boab Metals Ltd</t>
        </is>
      </c>
      <c r="J1277" t="inlineStr">
        <is>
          <t>AUD</t>
        </is>
      </c>
      <c r="K1277" s="5" t="inlineStr">
        <is>
          <t>01a152b9-6ee2-7577-bddd-382bc3853fde</t>
        </is>
      </c>
      <c r="M1277" t="inlineStr">
        <is>
          <t>UNKNOWN</t>
        </is>
      </c>
      <c r="N1277" t="inlineStr">
        <is>
          <t>DEFAULT</t>
        </is>
      </c>
      <c r="Q1277" t="n">
        <v>0</v>
      </c>
      <c r="R1277" t="inlineStr">
        <is>
          <t>AUD</t>
        </is>
      </c>
      <c r="S1277" t="n">
        <v>0</v>
      </c>
      <c r="T1277" t="inlineStr">
        <is>
          <t>AUD</t>
        </is>
      </c>
      <c r="U1277" t="n">
        <v>0</v>
      </c>
    </row>
    <row r="1278">
      <c r="A1278" s="5" t="inlineStr">
        <is>
          <t>01a152b9-8387-74c3-acc9-1e342d3b85a6</t>
        </is>
      </c>
      <c r="C1278" s="5" t="inlineStr">
        <is>
          <t>01a152b9-6e67-75da-8adb-b03e5d07fd21</t>
        </is>
      </c>
      <c r="D1278" s="4" t="n">
        <v>46314.24597193614</v>
      </c>
      <c r="E1278" s="4" t="n">
        <v>46314.24597193623</v>
      </c>
      <c r="F1278" t="b">
        <v>1</v>
      </c>
      <c r="G1278" t="n">
        <v/>
      </c>
      <c r="H1278" t="inlineStr">
        <is>
          <t>FGR</t>
        </is>
      </c>
      <c r="I1278" t="inlineStr">
        <is>
          <t>First Graphene Ltd</t>
        </is>
      </c>
      <c r="J1278" t="inlineStr">
        <is>
          <t>AUD</t>
        </is>
      </c>
      <c r="K1278" s="5" t="inlineStr">
        <is>
          <t>01a152b9-6ee2-7577-bddd-382bc3853fde</t>
        </is>
      </c>
      <c r="M1278" t="inlineStr">
        <is>
          <t>UNKNOWN</t>
        </is>
      </c>
      <c r="N1278" t="inlineStr">
        <is>
          <t>DEFAULT</t>
        </is>
      </c>
      <c r="Q1278" t="n">
        <v>0</v>
      </c>
      <c r="R1278" t="inlineStr">
        <is>
          <t>AUD</t>
        </is>
      </c>
      <c r="S1278" t="n">
        <v>0</v>
      </c>
      <c r="T1278" t="inlineStr">
        <is>
          <t>AUD</t>
        </is>
      </c>
      <c r="U1278" t="n">
        <v>0</v>
      </c>
    </row>
    <row r="1279">
      <c r="A1279" s="5" t="inlineStr">
        <is>
          <t>01a152b9-838a-72c9-bebd-bc58fc9ef7ac</t>
        </is>
      </c>
      <c r="C1279" s="5" t="inlineStr">
        <is>
          <t>01a152b9-6e67-75da-8adb-b03e5d07fd21</t>
        </is>
      </c>
      <c r="D1279" s="4" t="n">
        <v>46314.24597197132</v>
      </c>
      <c r="E1279" s="4" t="n">
        <v>46314.24597197142</v>
      </c>
      <c r="F1279" t="b">
        <v>1</v>
      </c>
      <c r="G1279" t="n">
        <v/>
      </c>
      <c r="H1279" t="inlineStr">
        <is>
          <t>RTR</t>
        </is>
      </c>
      <c r="I1279" t="inlineStr">
        <is>
          <t>Rumble Resources Ltd</t>
        </is>
      </c>
      <c r="J1279" t="inlineStr">
        <is>
          <t>AUD</t>
        </is>
      </c>
      <c r="K1279" s="5" t="inlineStr">
        <is>
          <t>01a152b9-6ee2-7577-bddd-382bc3853fde</t>
        </is>
      </c>
      <c r="M1279" t="inlineStr">
        <is>
          <t>UNKNOWN</t>
        </is>
      </c>
      <c r="N1279" t="inlineStr">
        <is>
          <t>DEFAULT</t>
        </is>
      </c>
      <c r="Q1279" t="n">
        <v>0</v>
      </c>
      <c r="R1279" t="inlineStr">
        <is>
          <t>AUD</t>
        </is>
      </c>
      <c r="S1279" t="n">
        <v>0</v>
      </c>
      <c r="T1279" t="inlineStr">
        <is>
          <t>AUD</t>
        </is>
      </c>
      <c r="U1279" t="n">
        <v>0</v>
      </c>
    </row>
    <row r="1280">
      <c r="A1280" s="5" t="inlineStr">
        <is>
          <t>01a152b9-838d-722e-8f1a-1f23a8410519</t>
        </is>
      </c>
      <c r="C1280" s="5" t="inlineStr">
        <is>
          <t>01a152b9-6e67-75da-8adb-b03e5d07fd21</t>
        </is>
      </c>
      <c r="D1280" s="4" t="n">
        <v>46314.24597200889</v>
      </c>
      <c r="E1280" s="4" t="n">
        <v>46314.24597200899</v>
      </c>
      <c r="F1280" t="b">
        <v>1</v>
      </c>
      <c r="G1280" t="n">
        <v/>
      </c>
      <c r="H1280" t="inlineStr">
        <is>
          <t>AQD</t>
        </is>
      </c>
      <c r="I1280" t="inlineStr">
        <is>
          <t>Ausquest Ltd</t>
        </is>
      </c>
      <c r="J1280" t="inlineStr">
        <is>
          <t>AUD</t>
        </is>
      </c>
      <c r="K1280" s="5" t="inlineStr">
        <is>
          <t>01a152b9-6ee2-7577-bddd-382bc3853fde</t>
        </is>
      </c>
      <c r="M1280" t="inlineStr">
        <is>
          <t>UNKNOWN</t>
        </is>
      </c>
      <c r="N1280" t="inlineStr">
        <is>
          <t>DEFAULT</t>
        </is>
      </c>
      <c r="Q1280" t="n">
        <v>0</v>
      </c>
      <c r="R1280" t="inlineStr">
        <is>
          <t>AUD</t>
        </is>
      </c>
      <c r="S1280" t="n">
        <v>0</v>
      </c>
      <c r="T1280" t="inlineStr">
        <is>
          <t>AUD</t>
        </is>
      </c>
      <c r="U1280" t="n">
        <v>0</v>
      </c>
    </row>
    <row r="1281">
      <c r="A1281" s="5" t="inlineStr">
        <is>
          <t>01a152b9-8390-724b-b062-88b7c46dcdba</t>
        </is>
      </c>
      <c r="C1281" s="5" t="inlineStr">
        <is>
          <t>01a152b9-6e67-75da-8adb-b03e5d07fd21</t>
        </is>
      </c>
      <c r="D1281" s="4" t="n">
        <v>46314.24597204549</v>
      </c>
      <c r="E1281" s="4" t="n">
        <v>46314.24597204565</v>
      </c>
      <c r="F1281" t="b">
        <v>1</v>
      </c>
      <c r="G1281" t="n">
        <v/>
      </c>
      <c r="H1281" t="inlineStr">
        <is>
          <t>SKY</t>
        </is>
      </c>
      <c r="I1281" t="inlineStr">
        <is>
          <t>SKY Metals Ltd</t>
        </is>
      </c>
      <c r="J1281" t="inlineStr">
        <is>
          <t>AUD</t>
        </is>
      </c>
      <c r="K1281" s="5" t="inlineStr">
        <is>
          <t>01a152b9-6ee2-7577-bddd-382bc3853fde</t>
        </is>
      </c>
      <c r="M1281" t="inlineStr">
        <is>
          <t>UNKNOWN</t>
        </is>
      </c>
      <c r="N1281" t="inlineStr">
        <is>
          <t>DEFAULT</t>
        </is>
      </c>
      <c r="Q1281" t="n">
        <v>0</v>
      </c>
      <c r="R1281" t="inlineStr">
        <is>
          <t>AUD</t>
        </is>
      </c>
      <c r="S1281" t="n">
        <v>0</v>
      </c>
      <c r="T1281" t="inlineStr">
        <is>
          <t>AUD</t>
        </is>
      </c>
      <c r="U1281" t="n">
        <v>0</v>
      </c>
    </row>
    <row r="1282">
      <c r="A1282" s="5" t="inlineStr">
        <is>
          <t>01a152b9-8394-77c9-8399-cd33268d330d</t>
        </is>
      </c>
      <c r="C1282" s="5" t="inlineStr">
        <is>
          <t>01a152b9-6e67-75da-8adb-b03e5d07fd21</t>
        </is>
      </c>
      <c r="D1282" s="4" t="n">
        <v>46314.24597209117</v>
      </c>
      <c r="E1282" s="4" t="n">
        <v>46314.24597209127</v>
      </c>
      <c r="F1282" t="b">
        <v>1</v>
      </c>
      <c r="G1282" t="n">
        <v/>
      </c>
      <c r="H1282" t="inlineStr">
        <is>
          <t>BANK</t>
        </is>
      </c>
      <c r="I1282" t="inlineStr">
        <is>
          <t>Global X Australian Bank Credit ETF</t>
        </is>
      </c>
      <c r="J1282" t="inlineStr">
        <is>
          <t>AUD</t>
        </is>
      </c>
      <c r="K1282" s="5" t="inlineStr">
        <is>
          <t>01a152b9-6ee2-7577-bddd-382bc3853fde</t>
        </is>
      </c>
      <c r="M1282" t="inlineStr">
        <is>
          <t>UNKNOWN</t>
        </is>
      </c>
      <c r="N1282" t="inlineStr">
        <is>
          <t>DEFAULT</t>
        </is>
      </c>
      <c r="Q1282" t="n">
        <v>0</v>
      </c>
      <c r="R1282" t="inlineStr">
        <is>
          <t>AUD</t>
        </is>
      </c>
      <c r="S1282" t="n">
        <v>0</v>
      </c>
      <c r="T1282" t="inlineStr">
        <is>
          <t>AUD</t>
        </is>
      </c>
      <c r="U1282" t="n">
        <v>0</v>
      </c>
    </row>
    <row r="1283">
      <c r="A1283" s="5" t="inlineStr">
        <is>
          <t>01a152b9-8397-7019-9aad-bbfd12ac23d6</t>
        </is>
      </c>
      <c r="C1283" s="5" t="inlineStr">
        <is>
          <t>01a152b9-6e67-75da-8adb-b03e5d07fd21</t>
        </is>
      </c>
      <c r="D1283" s="4" t="n">
        <v>46314.2459721284</v>
      </c>
      <c r="E1283" s="4" t="n">
        <v>46314.24597212853</v>
      </c>
      <c r="F1283" t="b">
        <v>1</v>
      </c>
      <c r="G1283" t="n">
        <v/>
      </c>
      <c r="H1283" t="inlineStr">
        <is>
          <t>MEC</t>
        </is>
      </c>
      <c r="I1283" t="inlineStr">
        <is>
          <t>Morphic Ethical Equities Fund Ltd</t>
        </is>
      </c>
      <c r="J1283" t="inlineStr">
        <is>
          <t>AUD</t>
        </is>
      </c>
      <c r="K1283" s="5" t="inlineStr">
        <is>
          <t>01a152b9-6ee2-7577-bddd-382bc3853fde</t>
        </is>
      </c>
      <c r="M1283" t="inlineStr">
        <is>
          <t>UNKNOWN</t>
        </is>
      </c>
      <c r="N1283" t="inlineStr">
        <is>
          <t>DEFAULT</t>
        </is>
      </c>
      <c r="Q1283" t="n">
        <v>0</v>
      </c>
      <c r="R1283" t="inlineStr">
        <is>
          <t>AUD</t>
        </is>
      </c>
      <c r="S1283" t="n">
        <v>0</v>
      </c>
      <c r="T1283" t="inlineStr">
        <is>
          <t>AUD</t>
        </is>
      </c>
      <c r="U1283" t="n">
        <v>0</v>
      </c>
    </row>
    <row r="1284">
      <c r="A1284" s="5" t="inlineStr">
        <is>
          <t>01a152b9-839b-7722-950b-36c367f6b831</t>
        </is>
      </c>
      <c r="C1284" s="5" t="inlineStr">
        <is>
          <t>01a152b9-6e67-75da-8adb-b03e5d07fd21</t>
        </is>
      </c>
      <c r="D1284" s="4" t="n">
        <v>46314.2459721702</v>
      </c>
      <c r="E1284" s="4" t="n">
        <v>46314.24597217033</v>
      </c>
      <c r="F1284" t="b">
        <v>1</v>
      </c>
      <c r="G1284" t="n">
        <v/>
      </c>
      <c r="H1284" t="inlineStr">
        <is>
          <t>DNA</t>
        </is>
      </c>
      <c r="I1284" t="inlineStr">
        <is>
          <t>Donaco International Ltd</t>
        </is>
      </c>
      <c r="J1284" t="inlineStr">
        <is>
          <t>AUD</t>
        </is>
      </c>
      <c r="K1284" s="5" t="inlineStr">
        <is>
          <t>01a152b9-6ee2-7577-bddd-382bc3853fde</t>
        </is>
      </c>
      <c r="M1284" t="inlineStr">
        <is>
          <t>UNKNOWN</t>
        </is>
      </c>
      <c r="N1284" t="inlineStr">
        <is>
          <t>DEFAULT</t>
        </is>
      </c>
      <c r="Q1284" t="n">
        <v>0</v>
      </c>
      <c r="R1284" t="inlineStr">
        <is>
          <t>AUD</t>
        </is>
      </c>
      <c r="S1284" t="n">
        <v>0</v>
      </c>
      <c r="T1284" t="inlineStr">
        <is>
          <t>AUD</t>
        </is>
      </c>
      <c r="U1284" t="n">
        <v>0</v>
      </c>
    </row>
    <row r="1285">
      <c r="A1285" s="5" t="inlineStr">
        <is>
          <t>01a152b9-839f-757f-b8a2-ede298a5cb40</t>
        </is>
      </c>
      <c r="C1285" s="5" t="inlineStr">
        <is>
          <t>01a152b9-6e67-75da-8adb-b03e5d07fd21</t>
        </is>
      </c>
      <c r="D1285" s="4" t="n">
        <v>46314.24597221978</v>
      </c>
      <c r="E1285" s="4" t="n">
        <v>46314.2459722199</v>
      </c>
      <c r="F1285" t="b">
        <v>1</v>
      </c>
      <c r="G1285" t="n">
        <v/>
      </c>
      <c r="H1285" t="inlineStr">
        <is>
          <t>PUA</t>
        </is>
      </c>
      <c r="I1285" t="inlineStr">
        <is>
          <t>Peak Minerals Ltd</t>
        </is>
      </c>
      <c r="J1285" t="inlineStr">
        <is>
          <t>AUD</t>
        </is>
      </c>
      <c r="K1285" s="5" t="inlineStr">
        <is>
          <t>01a152b9-6ee2-7577-bddd-382bc3853fde</t>
        </is>
      </c>
      <c r="M1285" t="inlineStr">
        <is>
          <t>UNKNOWN</t>
        </is>
      </c>
      <c r="N1285" t="inlineStr">
        <is>
          <t>DEFAULT</t>
        </is>
      </c>
      <c r="Q1285" t="n">
        <v>0</v>
      </c>
      <c r="R1285" t="inlineStr">
        <is>
          <t>AUD</t>
        </is>
      </c>
      <c r="S1285" t="n">
        <v>0</v>
      </c>
      <c r="T1285" t="inlineStr">
        <is>
          <t>AUD</t>
        </is>
      </c>
      <c r="U1285" t="n">
        <v>0</v>
      </c>
    </row>
    <row r="1286">
      <c r="A1286" s="5" t="inlineStr">
        <is>
          <t>01a152b9-83a4-76b1-b455-950af7b67be0</t>
        </is>
      </c>
      <c r="C1286" s="5" t="inlineStr">
        <is>
          <t>01a152b9-6e67-75da-8adb-b03e5d07fd21</t>
        </is>
      </c>
      <c r="D1286" s="4" t="n">
        <v>46314.24597227074</v>
      </c>
      <c r="E1286" s="4" t="n">
        <v>46314.2459722709</v>
      </c>
      <c r="F1286" t="b">
        <v>1</v>
      </c>
      <c r="G1286" t="n">
        <v/>
      </c>
      <c r="H1286" t="inlineStr">
        <is>
          <t>JPR</t>
        </is>
      </c>
      <c r="I1286" t="inlineStr">
        <is>
          <t>Jupiter Energy Ltd</t>
        </is>
      </c>
      <c r="J1286" t="inlineStr">
        <is>
          <t>AUD</t>
        </is>
      </c>
      <c r="K1286" s="5" t="inlineStr">
        <is>
          <t>01a152b9-6ee2-7577-bddd-382bc3853fde</t>
        </is>
      </c>
      <c r="M1286" t="inlineStr">
        <is>
          <t>UNKNOWN</t>
        </is>
      </c>
      <c r="N1286" t="inlineStr">
        <is>
          <t>DEFAULT</t>
        </is>
      </c>
      <c r="Q1286" t="n">
        <v>0</v>
      </c>
      <c r="R1286" t="inlineStr">
        <is>
          <t>AUD</t>
        </is>
      </c>
      <c r="S1286" t="n">
        <v>0</v>
      </c>
      <c r="T1286" t="inlineStr">
        <is>
          <t>AUD</t>
        </is>
      </c>
      <c r="U1286" t="n">
        <v>0</v>
      </c>
    </row>
    <row r="1287">
      <c r="A1287" s="5" t="inlineStr">
        <is>
          <t>01a152b9-83a8-733a-98c8-685c82a2189d</t>
        </is>
      </c>
      <c r="C1287" s="5" t="inlineStr">
        <is>
          <t>01a152b9-6e67-75da-8adb-b03e5d07fd21</t>
        </is>
      </c>
      <c r="D1287" s="4" t="n">
        <v>46314.24597232553</v>
      </c>
      <c r="E1287" s="4" t="n">
        <v>46314.24597232568</v>
      </c>
      <c r="F1287" t="b">
        <v>1</v>
      </c>
      <c r="G1287" t="n">
        <v/>
      </c>
      <c r="H1287" t="inlineStr">
        <is>
          <t>KAT</t>
        </is>
      </c>
      <c r="I1287" t="inlineStr">
        <is>
          <t>Katana Capital Ltd</t>
        </is>
      </c>
      <c r="J1287" t="inlineStr">
        <is>
          <t>AUD</t>
        </is>
      </c>
      <c r="K1287" s="5" t="inlineStr">
        <is>
          <t>01a152b9-6ee2-7577-bddd-382bc3853fde</t>
        </is>
      </c>
      <c r="M1287" t="inlineStr">
        <is>
          <t>UNKNOWN</t>
        </is>
      </c>
      <c r="N1287" t="inlineStr">
        <is>
          <t>DEFAULT</t>
        </is>
      </c>
      <c r="Q1287" t="n">
        <v>0</v>
      </c>
      <c r="R1287" t="inlineStr">
        <is>
          <t>AUD</t>
        </is>
      </c>
      <c r="S1287" t="n">
        <v>0</v>
      </c>
      <c r="T1287" t="inlineStr">
        <is>
          <t>AUD</t>
        </is>
      </c>
      <c r="U1287" t="n">
        <v>0</v>
      </c>
    </row>
    <row r="1288">
      <c r="A1288" s="5" t="inlineStr">
        <is>
          <t>01a152b9-83ac-715f-95f7-17f5f10aa62c</t>
        </is>
      </c>
      <c r="C1288" s="5" t="inlineStr">
        <is>
          <t>01a152b9-6e67-75da-8adb-b03e5d07fd21</t>
        </is>
      </c>
      <c r="D1288" s="4" t="n">
        <v>46314.24597237117</v>
      </c>
      <c r="E1288" s="4" t="n">
        <v>46314.24597237132</v>
      </c>
      <c r="F1288" t="b">
        <v>1</v>
      </c>
      <c r="G1288" t="n">
        <v/>
      </c>
      <c r="H1288" t="inlineStr">
        <is>
          <t>MPX</t>
        </is>
      </c>
      <c r="I1288" t="inlineStr">
        <is>
          <t>Mustera Property Group Ltd</t>
        </is>
      </c>
      <c r="J1288" t="inlineStr">
        <is>
          <t>AUD</t>
        </is>
      </c>
      <c r="K1288" s="5" t="inlineStr">
        <is>
          <t>01a152b9-6ee2-7577-bddd-382bc3853fde</t>
        </is>
      </c>
      <c r="M1288" t="inlineStr">
        <is>
          <t>UNKNOWN</t>
        </is>
      </c>
      <c r="N1288" t="inlineStr">
        <is>
          <t>DEFAULT</t>
        </is>
      </c>
      <c r="Q1288" t="n">
        <v>0</v>
      </c>
      <c r="R1288" t="inlineStr">
        <is>
          <t>AUD</t>
        </is>
      </c>
      <c r="S1288" t="n">
        <v>0</v>
      </c>
      <c r="T1288" t="inlineStr">
        <is>
          <t>AUD</t>
        </is>
      </c>
      <c r="U1288" t="n">
        <v>0</v>
      </c>
    </row>
    <row r="1289">
      <c r="A1289" s="5" t="inlineStr">
        <is>
          <t>01a152b9-83b0-7530-b307-d857e3fc12bd</t>
        </is>
      </c>
      <c r="C1289" s="5" t="inlineStr">
        <is>
          <t>01a152b9-6e67-75da-8adb-b03e5d07fd21</t>
        </is>
      </c>
      <c r="D1289" s="4" t="n">
        <v>46314.24597241499</v>
      </c>
      <c r="E1289" s="4" t="n">
        <v>46314.24597241514</v>
      </c>
      <c r="F1289" t="b">
        <v>1</v>
      </c>
      <c r="G1289" t="n">
        <v/>
      </c>
      <c r="H1289" t="inlineStr">
        <is>
          <t>ROG</t>
        </is>
      </c>
      <c r="I1289" t="inlineStr">
        <is>
          <t>Red Sky Energy Ltd</t>
        </is>
      </c>
      <c r="J1289" t="inlineStr">
        <is>
          <t>AUD</t>
        </is>
      </c>
      <c r="K1289" s="5" t="inlineStr">
        <is>
          <t>01a152b9-6ee2-7577-bddd-382bc3853fde</t>
        </is>
      </c>
      <c r="M1289" t="inlineStr">
        <is>
          <t>UNKNOWN</t>
        </is>
      </c>
      <c r="N1289" t="inlineStr">
        <is>
          <t>DEFAULT</t>
        </is>
      </c>
      <c r="Q1289" t="n">
        <v>0</v>
      </c>
      <c r="R1289" t="inlineStr">
        <is>
          <t>AUD</t>
        </is>
      </c>
      <c r="S1289" t="n">
        <v>0</v>
      </c>
      <c r="T1289" t="inlineStr">
        <is>
          <t>AUD</t>
        </is>
      </c>
      <c r="U1289" t="n">
        <v>0</v>
      </c>
    </row>
    <row r="1290">
      <c r="A1290" s="5" t="inlineStr">
        <is>
          <t>01a152b9-83b4-7293-94f4-a67b0922359e</t>
        </is>
      </c>
      <c r="C1290" s="5" t="inlineStr">
        <is>
          <t>01a152b9-6e67-75da-8adb-b03e5d07fd21</t>
        </is>
      </c>
      <c r="D1290" s="4" t="n">
        <v>46314.24597245927</v>
      </c>
      <c r="E1290" s="4" t="n">
        <v>46314.2459724594</v>
      </c>
      <c r="F1290" t="b">
        <v>1</v>
      </c>
      <c r="G1290" t="n">
        <v/>
      </c>
      <c r="H1290" t="inlineStr">
        <is>
          <t>WCN</t>
        </is>
      </c>
      <c r="I1290" t="inlineStr">
        <is>
          <t>White Cliff Minerals Ltd</t>
        </is>
      </c>
      <c r="J1290" t="inlineStr">
        <is>
          <t>AUD</t>
        </is>
      </c>
      <c r="K1290" s="5" t="inlineStr">
        <is>
          <t>01a152b9-6ee2-7577-bddd-382bc3853fde</t>
        </is>
      </c>
      <c r="M1290" t="inlineStr">
        <is>
          <t>UNKNOWN</t>
        </is>
      </c>
      <c r="N1290" t="inlineStr">
        <is>
          <t>DEFAULT</t>
        </is>
      </c>
      <c r="Q1290" t="n">
        <v>0</v>
      </c>
      <c r="R1290" t="inlineStr">
        <is>
          <t>AUD</t>
        </is>
      </c>
      <c r="S1290" t="n">
        <v>0</v>
      </c>
      <c r="T1290" t="inlineStr">
        <is>
          <t>AUD</t>
        </is>
      </c>
      <c r="U1290" t="n">
        <v>0</v>
      </c>
    </row>
    <row r="1291">
      <c r="A1291" s="5" t="inlineStr">
        <is>
          <t>01a152b9-83b8-75cd-8ef3-5968dc8c9eec</t>
        </is>
      </c>
      <c r="C1291" s="5" t="inlineStr">
        <is>
          <t>01a152b9-6e67-75da-8adb-b03e5d07fd21</t>
        </is>
      </c>
      <c r="D1291" s="4" t="n">
        <v>46314.24597250264</v>
      </c>
      <c r="E1291" s="4" t="n">
        <v>46314.24597250281</v>
      </c>
      <c r="F1291" t="b">
        <v>1</v>
      </c>
      <c r="G1291" t="n">
        <v/>
      </c>
      <c r="H1291" t="inlineStr">
        <is>
          <t>VIG</t>
        </is>
      </c>
      <c r="I1291" t="inlineStr">
        <is>
          <t>Victor Group Holdings Ltd</t>
        </is>
      </c>
      <c r="J1291" t="inlineStr">
        <is>
          <t>AUD</t>
        </is>
      </c>
      <c r="K1291" s="5" t="inlineStr">
        <is>
          <t>01a152b9-6ee2-7577-bddd-382bc3853fde</t>
        </is>
      </c>
      <c r="M1291" t="inlineStr">
        <is>
          <t>UNKNOWN</t>
        </is>
      </c>
      <c r="N1291" t="inlineStr">
        <is>
          <t>DEFAULT</t>
        </is>
      </c>
      <c r="Q1291" t="n">
        <v>0</v>
      </c>
      <c r="R1291" t="inlineStr">
        <is>
          <t>AUD</t>
        </is>
      </c>
      <c r="S1291" t="n">
        <v>0</v>
      </c>
      <c r="T1291" t="inlineStr">
        <is>
          <t>AUD</t>
        </is>
      </c>
      <c r="U1291" t="n">
        <v>0</v>
      </c>
    </row>
    <row r="1292">
      <c r="A1292" s="5" t="inlineStr">
        <is>
          <t>01a152b9-83bc-73f5-9df1-87f051749a26</t>
        </is>
      </c>
      <c r="C1292" s="5" t="inlineStr">
        <is>
          <t>01a152b9-6e67-75da-8adb-b03e5d07fd21</t>
        </is>
      </c>
      <c r="D1292" s="4" t="n">
        <v>46314.24597255445</v>
      </c>
      <c r="E1292" s="4" t="n">
        <v>46314.24597255461</v>
      </c>
      <c r="F1292" t="b">
        <v>1</v>
      </c>
      <c r="G1292" t="n">
        <v/>
      </c>
      <c r="H1292" t="inlineStr">
        <is>
          <t>QFE</t>
        </is>
      </c>
      <c r="I1292" t="inlineStr">
        <is>
          <t>Quickfee Ltd</t>
        </is>
      </c>
      <c r="J1292" t="inlineStr">
        <is>
          <t>AUD</t>
        </is>
      </c>
      <c r="K1292" s="5" t="inlineStr">
        <is>
          <t>01a152b9-6ee2-7577-bddd-382bc3853fde</t>
        </is>
      </c>
      <c r="M1292" t="inlineStr">
        <is>
          <t>UNKNOWN</t>
        </is>
      </c>
      <c r="N1292" t="inlineStr">
        <is>
          <t>DEFAULT</t>
        </is>
      </c>
      <c r="Q1292" t="n">
        <v>0</v>
      </c>
      <c r="R1292" t="inlineStr">
        <is>
          <t>AUD</t>
        </is>
      </c>
      <c r="S1292" t="n">
        <v>0</v>
      </c>
      <c r="T1292" t="inlineStr">
        <is>
          <t>AUD</t>
        </is>
      </c>
      <c r="U1292" t="n">
        <v>0</v>
      </c>
    </row>
    <row r="1293">
      <c r="A1293" s="5" t="inlineStr">
        <is>
          <t>01a152b9-83c0-70ff-b3da-832292dab756</t>
        </is>
      </c>
      <c r="C1293" s="5" t="inlineStr">
        <is>
          <t>01a152b9-6e67-75da-8adb-b03e5d07fd21</t>
        </is>
      </c>
      <c r="D1293" s="4" t="n">
        <v>46314.24597259542</v>
      </c>
      <c r="E1293" s="4" t="n">
        <v>46314.24597259557</v>
      </c>
      <c r="F1293" t="b">
        <v>1</v>
      </c>
      <c r="G1293" t="n">
        <v/>
      </c>
      <c r="H1293" t="inlineStr">
        <is>
          <t>BRU</t>
        </is>
      </c>
      <c r="I1293" t="inlineStr">
        <is>
          <t>Buru Energy Ltd</t>
        </is>
      </c>
      <c r="J1293" t="inlineStr">
        <is>
          <t>AUD</t>
        </is>
      </c>
      <c r="K1293" s="5" t="inlineStr">
        <is>
          <t>01a152b9-6ee2-7577-bddd-382bc3853fde</t>
        </is>
      </c>
      <c r="M1293" t="inlineStr">
        <is>
          <t>UNKNOWN</t>
        </is>
      </c>
      <c r="N1293" t="inlineStr">
        <is>
          <t>DEFAULT</t>
        </is>
      </c>
      <c r="Q1293" t="n">
        <v>0</v>
      </c>
      <c r="R1293" t="inlineStr">
        <is>
          <t>AUD</t>
        </is>
      </c>
      <c r="S1293" t="n">
        <v>0</v>
      </c>
      <c r="T1293" t="inlineStr">
        <is>
          <t>AUD</t>
        </is>
      </c>
      <c r="U1293" t="n">
        <v>0</v>
      </c>
    </row>
    <row r="1294">
      <c r="A1294" s="5" t="inlineStr">
        <is>
          <t>01a152b9-83c4-7321-8b14-43f95f742d6f</t>
        </is>
      </c>
      <c r="C1294" s="5" t="inlineStr">
        <is>
          <t>01a152b9-6e67-75da-8adb-b03e5d07fd21</t>
        </is>
      </c>
      <c r="D1294" s="4" t="n">
        <v>46314.24597264626</v>
      </c>
      <c r="E1294" s="4" t="n">
        <v>46314.24597264644</v>
      </c>
      <c r="F1294" t="b">
        <v>1</v>
      </c>
      <c r="G1294" t="n">
        <v/>
      </c>
      <c r="H1294" t="inlineStr">
        <is>
          <t>SUV</t>
        </is>
      </c>
      <c r="I1294" t="inlineStr">
        <is>
          <t>Suvo Strategic Minerals Ltd</t>
        </is>
      </c>
      <c r="J1294" t="inlineStr">
        <is>
          <t>AUD</t>
        </is>
      </c>
      <c r="K1294" s="5" t="inlineStr">
        <is>
          <t>01a152b9-6ee2-7577-bddd-382bc3853fde</t>
        </is>
      </c>
      <c r="M1294" t="inlineStr">
        <is>
          <t>UNKNOWN</t>
        </is>
      </c>
      <c r="N1294" t="inlineStr">
        <is>
          <t>DEFAULT</t>
        </is>
      </c>
      <c r="Q1294" t="n">
        <v>0</v>
      </c>
      <c r="R1294" t="inlineStr">
        <is>
          <t>AUD</t>
        </is>
      </c>
      <c r="S1294" t="n">
        <v>0</v>
      </c>
      <c r="T1294" t="inlineStr">
        <is>
          <t>AUD</t>
        </is>
      </c>
      <c r="U1294" t="n">
        <v>0</v>
      </c>
    </row>
    <row r="1295">
      <c r="A1295" s="5" t="inlineStr">
        <is>
          <t>01a152b9-83c8-71fb-a3c8-701252f0da23</t>
        </is>
      </c>
      <c r="C1295" s="5" t="inlineStr">
        <is>
          <t>01a152b9-6e67-75da-8adb-b03e5d07fd21</t>
        </is>
      </c>
      <c r="D1295" s="4" t="n">
        <v>46314.24597269679</v>
      </c>
      <c r="E1295" s="4" t="n">
        <v>46314.24597269697</v>
      </c>
      <c r="F1295" t="b">
        <v>1</v>
      </c>
      <c r="G1295" t="n">
        <v/>
      </c>
      <c r="H1295" t="inlineStr">
        <is>
          <t>INCM</t>
        </is>
      </c>
      <c r="I1295" t="inlineStr">
        <is>
          <t>Betashares Global Income Leaders ETF</t>
        </is>
      </c>
      <c r="J1295" t="inlineStr">
        <is>
          <t>AUD</t>
        </is>
      </c>
      <c r="K1295" s="5" t="inlineStr">
        <is>
          <t>01a152b9-6ee2-7577-bddd-382bc3853fde</t>
        </is>
      </c>
      <c r="M1295" t="inlineStr">
        <is>
          <t>UNKNOWN</t>
        </is>
      </c>
      <c r="N1295" t="inlineStr">
        <is>
          <t>DEFAULT</t>
        </is>
      </c>
      <c r="Q1295" t="n">
        <v>0</v>
      </c>
      <c r="R1295" t="inlineStr">
        <is>
          <t>AUD</t>
        </is>
      </c>
      <c r="S1295" t="n">
        <v>0</v>
      </c>
      <c r="T1295" t="inlineStr">
        <is>
          <t>AUD</t>
        </is>
      </c>
      <c r="U1295" t="n">
        <v>0</v>
      </c>
    </row>
    <row r="1296">
      <c r="A1296" s="5" t="inlineStr">
        <is>
          <t>01a152b9-83cd-729b-bb82-c7caf10e2c91</t>
        </is>
      </c>
      <c r="C1296" s="5" t="inlineStr">
        <is>
          <t>01a152b9-6e67-75da-8adb-b03e5d07fd21</t>
        </is>
      </c>
      <c r="D1296" s="4" t="n">
        <v>46314.24597274775</v>
      </c>
      <c r="E1296" s="4" t="n">
        <v>46314.24597274789</v>
      </c>
      <c r="F1296" t="b">
        <v>1</v>
      </c>
      <c r="G1296" t="n">
        <v/>
      </c>
      <c r="H1296" t="inlineStr">
        <is>
          <t>YOJ</t>
        </is>
      </c>
      <c r="I1296" t="inlineStr">
        <is>
          <t>Yojee Ltd</t>
        </is>
      </c>
      <c r="J1296" t="inlineStr">
        <is>
          <t>AUD</t>
        </is>
      </c>
      <c r="K1296" s="5" t="inlineStr">
        <is>
          <t>01a152b9-6ee2-7577-bddd-382bc3853fde</t>
        </is>
      </c>
      <c r="M1296" t="inlineStr">
        <is>
          <t>UNKNOWN</t>
        </is>
      </c>
      <c r="N1296" t="inlineStr">
        <is>
          <t>DEFAULT</t>
        </is>
      </c>
      <c r="Q1296" t="n">
        <v>0</v>
      </c>
      <c r="R1296" t="inlineStr">
        <is>
          <t>AUD</t>
        </is>
      </c>
      <c r="S1296" t="n">
        <v>0</v>
      </c>
      <c r="T1296" t="inlineStr">
        <is>
          <t>AUD</t>
        </is>
      </c>
      <c r="U1296" t="n">
        <v>0</v>
      </c>
    </row>
    <row r="1297">
      <c r="A1297" s="5" t="inlineStr">
        <is>
          <t>01a152b9-83d1-72ab-8fb8-d56f0f017851</t>
        </is>
      </c>
      <c r="C1297" s="5" t="inlineStr">
        <is>
          <t>01a152b9-6e67-75da-8adb-b03e5d07fd21</t>
        </is>
      </c>
      <c r="D1297" s="4" t="n">
        <v>46314.24597279112</v>
      </c>
      <c r="E1297" s="4" t="n">
        <v>46314.24597279124</v>
      </c>
      <c r="F1297" t="b">
        <v>1</v>
      </c>
      <c r="G1297" t="n">
        <v/>
      </c>
      <c r="H1297" t="inlineStr">
        <is>
          <t>GBR</t>
        </is>
      </c>
      <c r="I1297" t="inlineStr">
        <is>
          <t>Great Boulder Resources Ltd</t>
        </is>
      </c>
      <c r="J1297" t="inlineStr">
        <is>
          <t>AUD</t>
        </is>
      </c>
      <c r="K1297" s="5" t="inlineStr">
        <is>
          <t>01a152b9-6ee2-7577-bddd-382bc3853fde</t>
        </is>
      </c>
      <c r="M1297" t="inlineStr">
        <is>
          <t>UNKNOWN</t>
        </is>
      </c>
      <c r="N1297" t="inlineStr">
        <is>
          <t>DEFAULT</t>
        </is>
      </c>
      <c r="Q1297" t="n">
        <v>0</v>
      </c>
      <c r="R1297" t="inlineStr">
        <is>
          <t>AUD</t>
        </is>
      </c>
      <c r="S1297" t="n">
        <v>0</v>
      </c>
      <c r="T1297" t="inlineStr">
        <is>
          <t>AUD</t>
        </is>
      </c>
      <c r="U1297" t="n">
        <v>0</v>
      </c>
    </row>
    <row r="1298">
      <c r="A1298" s="5" t="inlineStr">
        <is>
          <t>01a152b9-83d4-7101-849e-591c2d92959c</t>
        </is>
      </c>
      <c r="C1298" s="5" t="inlineStr">
        <is>
          <t>01a152b9-6e67-75da-8adb-b03e5d07fd21</t>
        </is>
      </c>
      <c r="D1298" s="4" t="n">
        <v>46314.24597283136</v>
      </c>
      <c r="E1298" s="4" t="n">
        <v>46314.24597283148</v>
      </c>
      <c r="F1298" t="b">
        <v>1</v>
      </c>
      <c r="G1298" t="n">
        <v/>
      </c>
      <c r="H1298" t="inlineStr">
        <is>
          <t>PH2</t>
        </is>
      </c>
      <c r="I1298" t="inlineStr">
        <is>
          <t>Pure Hydrogen Corporation Ltd</t>
        </is>
      </c>
      <c r="J1298" t="inlineStr">
        <is>
          <t>AUD</t>
        </is>
      </c>
      <c r="K1298" s="5" t="inlineStr">
        <is>
          <t>01a152b9-6ee2-7577-bddd-382bc3853fde</t>
        </is>
      </c>
      <c r="M1298" t="inlineStr">
        <is>
          <t>UNKNOWN</t>
        </is>
      </c>
      <c r="N1298" t="inlineStr">
        <is>
          <t>DEFAULT</t>
        </is>
      </c>
      <c r="Q1298" t="n">
        <v>0</v>
      </c>
      <c r="R1298" t="inlineStr">
        <is>
          <t>AUD</t>
        </is>
      </c>
      <c r="S1298" t="n">
        <v>0</v>
      </c>
      <c r="T1298" t="inlineStr">
        <is>
          <t>AUD</t>
        </is>
      </c>
      <c r="U1298" t="n">
        <v>0</v>
      </c>
    </row>
    <row r="1299">
      <c r="A1299" s="5" t="inlineStr">
        <is>
          <t>01a152b9-83d8-71a9-ad89-3d891207c861</t>
        </is>
      </c>
      <c r="C1299" s="5" t="inlineStr">
        <is>
          <t>01a152b9-6e67-75da-8adb-b03e5d07fd21</t>
        </is>
      </c>
      <c r="D1299" s="4" t="n">
        <v>46314.24597287605</v>
      </c>
      <c r="E1299" s="4" t="n">
        <v>46314.24597287618</v>
      </c>
      <c r="F1299" t="b">
        <v>1</v>
      </c>
      <c r="G1299" t="n">
        <v/>
      </c>
      <c r="H1299" t="inlineStr">
        <is>
          <t>PPL</t>
        </is>
      </c>
      <c r="I1299" t="inlineStr">
        <is>
          <t>Pureprofile Ltd</t>
        </is>
      </c>
      <c r="J1299" t="inlineStr">
        <is>
          <t>AUD</t>
        </is>
      </c>
      <c r="K1299" s="5" t="inlineStr">
        <is>
          <t>01a152b9-6ee2-7577-bddd-382bc3853fde</t>
        </is>
      </c>
      <c r="M1299" t="inlineStr">
        <is>
          <t>UNKNOWN</t>
        </is>
      </c>
      <c r="N1299" t="inlineStr">
        <is>
          <t>DEFAULT</t>
        </is>
      </c>
      <c r="Q1299" t="n">
        <v>0</v>
      </c>
      <c r="R1299" t="inlineStr">
        <is>
          <t>AUD</t>
        </is>
      </c>
      <c r="S1299" t="n">
        <v>0</v>
      </c>
      <c r="T1299" t="inlineStr">
        <is>
          <t>AUD</t>
        </is>
      </c>
      <c r="U1299" t="n">
        <v>0</v>
      </c>
    </row>
    <row r="1300">
      <c r="A1300" s="5" t="inlineStr">
        <is>
          <t>01a152b9-83db-7012-a831-2381c221d372</t>
        </is>
      </c>
      <c r="C1300" s="5" t="inlineStr">
        <is>
          <t>01a152b9-6e67-75da-8adb-b03e5d07fd21</t>
        </is>
      </c>
      <c r="D1300" s="4" t="n">
        <v>46314.2459729167</v>
      </c>
      <c r="E1300" s="4" t="n">
        <v>46314.24597291684</v>
      </c>
      <c r="F1300" t="b">
        <v>1</v>
      </c>
      <c r="G1300" t="n">
        <v/>
      </c>
      <c r="H1300" t="inlineStr">
        <is>
          <t>CVB</t>
        </is>
      </c>
      <c r="I1300" t="inlineStr">
        <is>
          <t>Curvebeam Ai Ltd</t>
        </is>
      </c>
      <c r="J1300" t="inlineStr">
        <is>
          <t>AUD</t>
        </is>
      </c>
      <c r="K1300" s="5" t="inlineStr">
        <is>
          <t>01a152b9-6ee2-7577-bddd-382bc3853fde</t>
        </is>
      </c>
      <c r="M1300" t="inlineStr">
        <is>
          <t>UNKNOWN</t>
        </is>
      </c>
      <c r="N1300" t="inlineStr">
        <is>
          <t>DEFAULT</t>
        </is>
      </c>
      <c r="Q1300" t="n">
        <v>0</v>
      </c>
      <c r="R1300" t="inlineStr">
        <is>
          <t>AUD</t>
        </is>
      </c>
      <c r="S1300" t="n">
        <v>0</v>
      </c>
      <c r="T1300" t="inlineStr">
        <is>
          <t>AUD</t>
        </is>
      </c>
      <c r="U1300" t="n">
        <v>0</v>
      </c>
    </row>
    <row r="1301">
      <c r="A1301" s="5" t="inlineStr">
        <is>
          <t>01a152b9-83e0-7721-8024-d72af232760a</t>
        </is>
      </c>
      <c r="C1301" s="5" t="inlineStr">
        <is>
          <t>01a152b9-6e67-75da-8adb-b03e5d07fd21</t>
        </is>
      </c>
      <c r="D1301" s="4" t="n">
        <v>46314.24597296624</v>
      </c>
      <c r="E1301" s="4" t="n">
        <v>46314.24597296635</v>
      </c>
      <c r="F1301" t="b">
        <v>1</v>
      </c>
      <c r="G1301" t="n">
        <v/>
      </c>
      <c r="H1301" t="inlineStr">
        <is>
          <t>KAI</t>
        </is>
      </c>
      <c r="I1301" t="inlineStr">
        <is>
          <t>Kairos Minerals Ltd</t>
        </is>
      </c>
      <c r="J1301" t="inlineStr">
        <is>
          <t>AUD</t>
        </is>
      </c>
      <c r="K1301" s="5" t="inlineStr">
        <is>
          <t>01a152b9-6ee2-7577-bddd-382bc3853fde</t>
        </is>
      </c>
      <c r="M1301" t="inlineStr">
        <is>
          <t>UNKNOWN</t>
        </is>
      </c>
      <c r="N1301" t="inlineStr">
        <is>
          <t>DEFAULT</t>
        </is>
      </c>
      <c r="Q1301" t="n">
        <v>0</v>
      </c>
      <c r="R1301" t="inlineStr">
        <is>
          <t>AUD</t>
        </is>
      </c>
      <c r="S1301" t="n">
        <v>0</v>
      </c>
      <c r="T1301" t="inlineStr">
        <is>
          <t>AUD</t>
        </is>
      </c>
      <c r="U1301" t="n">
        <v>0</v>
      </c>
    </row>
    <row r="1302">
      <c r="A1302" s="5" t="inlineStr">
        <is>
          <t>01a152b9-83e3-77e6-9d79-64d417633bd0</t>
        </is>
      </c>
      <c r="C1302" s="5" t="inlineStr">
        <is>
          <t>01a152b9-6e67-75da-8adb-b03e5d07fd21</t>
        </is>
      </c>
      <c r="D1302" s="4" t="n">
        <v>46314.24597300906</v>
      </c>
      <c r="E1302" s="4" t="n">
        <v>46314.24597300917</v>
      </c>
      <c r="F1302" t="b">
        <v>1</v>
      </c>
      <c r="G1302" t="n">
        <v/>
      </c>
      <c r="H1302" t="inlineStr">
        <is>
          <t>STG</t>
        </is>
      </c>
      <c r="I1302" t="inlineStr">
        <is>
          <t>Straker Ltd</t>
        </is>
      </c>
      <c r="J1302" t="inlineStr">
        <is>
          <t>AUD</t>
        </is>
      </c>
      <c r="K1302" s="5" t="inlineStr">
        <is>
          <t>01a152b9-6ee2-7577-bddd-382bc3853fde</t>
        </is>
      </c>
      <c r="M1302" t="inlineStr">
        <is>
          <t>UNKNOWN</t>
        </is>
      </c>
      <c r="N1302" t="inlineStr">
        <is>
          <t>DEFAULT</t>
        </is>
      </c>
      <c r="Q1302" t="n">
        <v>0</v>
      </c>
      <c r="R1302" t="inlineStr">
        <is>
          <t>AUD</t>
        </is>
      </c>
      <c r="S1302" t="n">
        <v>0</v>
      </c>
      <c r="T1302" t="inlineStr">
        <is>
          <t>AUD</t>
        </is>
      </c>
      <c r="U1302" t="n">
        <v>0</v>
      </c>
    </row>
    <row r="1303">
      <c r="A1303" s="5" t="inlineStr">
        <is>
          <t>01a152b9-83e7-7753-b6dd-f801d86af83d</t>
        </is>
      </c>
      <c r="C1303" s="5" t="inlineStr">
        <is>
          <t>01a152b9-6e67-75da-8adb-b03e5d07fd21</t>
        </is>
      </c>
      <c r="D1303" s="4" t="n">
        <v>46314.24597305569</v>
      </c>
      <c r="E1303" s="4" t="n">
        <v>46314.24597305581</v>
      </c>
      <c r="F1303" t="b">
        <v>1</v>
      </c>
      <c r="G1303" t="n">
        <v/>
      </c>
      <c r="H1303" t="inlineStr">
        <is>
          <t>CSX</t>
        </is>
      </c>
      <c r="I1303" t="inlineStr">
        <is>
          <t>Cleanspace Holdings Ltd</t>
        </is>
      </c>
      <c r="J1303" t="inlineStr">
        <is>
          <t>AUD</t>
        </is>
      </c>
      <c r="K1303" s="5" t="inlineStr">
        <is>
          <t>01a152b9-6ee2-7577-bddd-382bc3853fde</t>
        </is>
      </c>
      <c r="M1303" t="inlineStr">
        <is>
          <t>UNKNOWN</t>
        </is>
      </c>
      <c r="N1303" t="inlineStr">
        <is>
          <t>DEFAULT</t>
        </is>
      </c>
      <c r="Q1303" t="n">
        <v>0</v>
      </c>
      <c r="R1303" t="inlineStr">
        <is>
          <t>AUD</t>
        </is>
      </c>
      <c r="S1303" t="n">
        <v>0</v>
      </c>
      <c r="T1303" t="inlineStr">
        <is>
          <t>AUD</t>
        </is>
      </c>
      <c r="U1303" t="n">
        <v>0</v>
      </c>
    </row>
    <row r="1304">
      <c r="A1304" s="5" t="inlineStr">
        <is>
          <t>01a152b9-83eb-751e-b393-0b159a53d9c1</t>
        </is>
      </c>
      <c r="C1304" s="5" t="inlineStr">
        <is>
          <t>01a152b9-6e67-75da-8adb-b03e5d07fd21</t>
        </is>
      </c>
      <c r="D1304" s="4" t="n">
        <v>46314.2459730987</v>
      </c>
      <c r="E1304" s="4" t="n">
        <v>46314.2459730988</v>
      </c>
      <c r="F1304" t="b">
        <v>1</v>
      </c>
      <c r="G1304" t="n">
        <v/>
      </c>
      <c r="H1304" t="inlineStr">
        <is>
          <t>SIX</t>
        </is>
      </c>
      <c r="I1304" t="inlineStr">
        <is>
          <t>Sprintex Ltd</t>
        </is>
      </c>
      <c r="J1304" t="inlineStr">
        <is>
          <t>AUD</t>
        </is>
      </c>
      <c r="K1304" s="5" t="inlineStr">
        <is>
          <t>01a152b9-6ee2-7577-bddd-382bc3853fde</t>
        </is>
      </c>
      <c r="M1304" t="inlineStr">
        <is>
          <t>UNKNOWN</t>
        </is>
      </c>
      <c r="N1304" t="inlineStr">
        <is>
          <t>DEFAULT</t>
        </is>
      </c>
      <c r="Q1304" t="n">
        <v>0</v>
      </c>
      <c r="R1304" t="inlineStr">
        <is>
          <t>AUD</t>
        </is>
      </c>
      <c r="S1304" t="n">
        <v>0</v>
      </c>
      <c r="T1304" t="inlineStr">
        <is>
          <t>AUD</t>
        </is>
      </c>
      <c r="U1304" t="n">
        <v>0</v>
      </c>
    </row>
    <row r="1305">
      <c r="A1305" s="5" t="inlineStr">
        <is>
          <t>01a152b9-83ef-7147-81a2-d9afd81bda72</t>
        </is>
      </c>
      <c r="C1305" s="5" t="inlineStr">
        <is>
          <t>01a152b9-6e67-75da-8adb-b03e5d07fd21</t>
        </is>
      </c>
      <c r="D1305" s="4" t="n">
        <v>46314.2459731438</v>
      </c>
      <c r="E1305" s="4" t="n">
        <v>46314.24597314391</v>
      </c>
      <c r="F1305" t="b">
        <v>1</v>
      </c>
      <c r="G1305" t="n">
        <v/>
      </c>
      <c r="H1305" t="inlineStr">
        <is>
          <t>RVT</t>
        </is>
      </c>
      <c r="I1305" t="inlineStr">
        <is>
          <t>Richmond Vanadium Technology Ltd</t>
        </is>
      </c>
      <c r="J1305" t="inlineStr">
        <is>
          <t>AUD</t>
        </is>
      </c>
      <c r="K1305" s="5" t="inlineStr">
        <is>
          <t>01a152b9-6ee2-7577-bddd-382bc3853fde</t>
        </is>
      </c>
      <c r="M1305" t="inlineStr">
        <is>
          <t>UNKNOWN</t>
        </is>
      </c>
      <c r="N1305" t="inlineStr">
        <is>
          <t>DEFAULT</t>
        </is>
      </c>
      <c r="Q1305" t="n">
        <v>0</v>
      </c>
      <c r="R1305" t="inlineStr">
        <is>
          <t>AUD</t>
        </is>
      </c>
      <c r="S1305" t="n">
        <v>0</v>
      </c>
      <c r="T1305" t="inlineStr">
        <is>
          <t>AUD</t>
        </is>
      </c>
      <c r="U1305" t="n">
        <v>0</v>
      </c>
    </row>
    <row r="1306">
      <c r="A1306" s="5" t="inlineStr">
        <is>
          <t>01a152b9-83f2-708e-9e42-4d77ab79ea33</t>
        </is>
      </c>
      <c r="C1306" s="5" t="inlineStr">
        <is>
          <t>01a152b9-6e67-75da-8adb-b03e5d07fd21</t>
        </is>
      </c>
      <c r="D1306" s="4" t="n">
        <v>46314.24597318376</v>
      </c>
      <c r="E1306" s="4" t="n">
        <v>46314.2459731839</v>
      </c>
      <c r="F1306" t="b">
        <v>1</v>
      </c>
      <c r="G1306" t="n">
        <v/>
      </c>
      <c r="H1306" t="inlineStr">
        <is>
          <t>SWP</t>
        </is>
      </c>
      <c r="I1306" t="inlineStr">
        <is>
          <t>Swoop Holdings Ltd</t>
        </is>
      </c>
      <c r="J1306" t="inlineStr">
        <is>
          <t>AUD</t>
        </is>
      </c>
      <c r="K1306" s="5" t="inlineStr">
        <is>
          <t>01a152b9-6ee2-7577-bddd-382bc3853fde</t>
        </is>
      </c>
      <c r="M1306" t="inlineStr">
        <is>
          <t>UNKNOWN</t>
        </is>
      </c>
      <c r="N1306" t="inlineStr">
        <is>
          <t>DEFAULT</t>
        </is>
      </c>
      <c r="Q1306" t="n">
        <v>0</v>
      </c>
      <c r="R1306" t="inlineStr">
        <is>
          <t>AUD</t>
        </is>
      </c>
      <c r="S1306" t="n">
        <v>0</v>
      </c>
      <c r="T1306" t="inlineStr">
        <is>
          <t>AUD</t>
        </is>
      </c>
      <c r="U1306" t="n">
        <v>0</v>
      </c>
    </row>
    <row r="1307">
      <c r="A1307" s="5" t="inlineStr">
        <is>
          <t>01a152b9-83f6-7475-9351-87730fc7ac89</t>
        </is>
      </c>
      <c r="C1307" s="5" t="inlineStr">
        <is>
          <t>01a152b9-6e67-75da-8adb-b03e5d07fd21</t>
        </is>
      </c>
      <c r="D1307" s="4" t="n">
        <v>46314.2459732238</v>
      </c>
      <c r="E1307" s="4" t="n">
        <v>46314.24597322391</v>
      </c>
      <c r="F1307" t="b">
        <v>1</v>
      </c>
      <c r="G1307" t="n">
        <v/>
      </c>
      <c r="H1307" t="inlineStr">
        <is>
          <t>HE8</t>
        </is>
      </c>
      <c r="I1307" t="inlineStr">
        <is>
          <t>Helios Energy Ltd</t>
        </is>
      </c>
      <c r="J1307" t="inlineStr">
        <is>
          <t>AUD</t>
        </is>
      </c>
      <c r="K1307" s="5" t="inlineStr">
        <is>
          <t>01a152b9-6ee2-7577-bddd-382bc3853fde</t>
        </is>
      </c>
      <c r="M1307" t="inlineStr">
        <is>
          <t>UNKNOWN</t>
        </is>
      </c>
      <c r="N1307" t="inlineStr">
        <is>
          <t>DEFAULT</t>
        </is>
      </c>
      <c r="Q1307" t="n">
        <v>0</v>
      </c>
      <c r="R1307" t="inlineStr">
        <is>
          <t>AUD</t>
        </is>
      </c>
      <c r="S1307" t="n">
        <v>0</v>
      </c>
      <c r="T1307" t="inlineStr">
        <is>
          <t>AUD</t>
        </is>
      </c>
      <c r="U1307" t="n">
        <v>0</v>
      </c>
    </row>
    <row r="1308">
      <c r="A1308" s="5" t="inlineStr">
        <is>
          <t>01a152b9-83f9-7025-920c-6246b5978231</t>
        </is>
      </c>
      <c r="C1308" s="5" t="inlineStr">
        <is>
          <t>01a152b9-6e67-75da-8adb-b03e5d07fd21</t>
        </is>
      </c>
      <c r="D1308" s="4" t="n">
        <v>46314.24597326262</v>
      </c>
      <c r="E1308" s="4" t="n">
        <v>46314.24597326272</v>
      </c>
      <c r="F1308" t="b">
        <v>1</v>
      </c>
      <c r="G1308" t="n">
        <v/>
      </c>
      <c r="H1308" t="inlineStr">
        <is>
          <t>RTH</t>
        </is>
      </c>
      <c r="I1308" t="inlineStr">
        <is>
          <t>Ras Technology Holdings Ltd</t>
        </is>
      </c>
      <c r="J1308" t="inlineStr">
        <is>
          <t>AUD</t>
        </is>
      </c>
      <c r="K1308" s="5" t="inlineStr">
        <is>
          <t>01a152b9-6ee2-7577-bddd-382bc3853fde</t>
        </is>
      </c>
      <c r="M1308" t="inlineStr">
        <is>
          <t>UNKNOWN</t>
        </is>
      </c>
      <c r="N1308" t="inlineStr">
        <is>
          <t>DEFAULT</t>
        </is>
      </c>
      <c r="Q1308" t="n">
        <v>0</v>
      </c>
      <c r="R1308" t="inlineStr">
        <is>
          <t>AUD</t>
        </is>
      </c>
      <c r="S1308" t="n">
        <v>0</v>
      </c>
      <c r="T1308" t="inlineStr">
        <is>
          <t>AUD</t>
        </is>
      </c>
      <c r="U1308" t="n">
        <v>0</v>
      </c>
    </row>
    <row r="1309">
      <c r="A1309" s="5" t="inlineStr">
        <is>
          <t>01a152b9-83fd-700c-be04-42a9fcc8c841</t>
        </is>
      </c>
      <c r="C1309" s="5" t="inlineStr">
        <is>
          <t>01a152b9-6e67-75da-8adb-b03e5d07fd21</t>
        </is>
      </c>
      <c r="D1309" s="4" t="n">
        <v>46314.2459733012</v>
      </c>
      <c r="E1309" s="4" t="n">
        <v>46314.24597330133</v>
      </c>
      <c r="F1309" t="b">
        <v>1</v>
      </c>
      <c r="G1309" t="n">
        <v/>
      </c>
      <c r="H1309" t="inlineStr">
        <is>
          <t>LGP</t>
        </is>
      </c>
      <c r="I1309" t="inlineStr">
        <is>
          <t>Little Green Pharma Ltd</t>
        </is>
      </c>
      <c r="J1309" t="inlineStr">
        <is>
          <t>AUD</t>
        </is>
      </c>
      <c r="K1309" s="5" t="inlineStr">
        <is>
          <t>01a152b9-6ee2-7577-bddd-382bc3853fde</t>
        </is>
      </c>
      <c r="M1309" t="inlineStr">
        <is>
          <t>UNKNOWN</t>
        </is>
      </c>
      <c r="N1309" t="inlineStr">
        <is>
          <t>DEFAULT</t>
        </is>
      </c>
      <c r="Q1309" t="n">
        <v>0</v>
      </c>
      <c r="R1309" t="inlineStr">
        <is>
          <t>AUD</t>
        </is>
      </c>
      <c r="S1309" t="n">
        <v>0</v>
      </c>
      <c r="T1309" t="inlineStr">
        <is>
          <t>AUD</t>
        </is>
      </c>
      <c r="U1309" t="n">
        <v>0</v>
      </c>
    </row>
    <row r="1310">
      <c r="A1310" s="5" t="inlineStr">
        <is>
          <t>01a152b9-8401-72e0-97a3-41571b767109</t>
        </is>
      </c>
      <c r="C1310" s="5" t="inlineStr">
        <is>
          <t>01a152b9-6e67-75da-8adb-b03e5d07fd21</t>
        </is>
      </c>
      <c r="D1310" s="4" t="n">
        <v>46314.24597335096</v>
      </c>
      <c r="E1310" s="4" t="n">
        <v>46314.24597335108</v>
      </c>
      <c r="F1310" t="b">
        <v>1</v>
      </c>
      <c r="G1310" t="n">
        <v/>
      </c>
      <c r="H1310" t="inlineStr">
        <is>
          <t>CURE</t>
        </is>
      </c>
      <c r="I1310" t="inlineStr">
        <is>
          <t>Global X S&amp;P Biotech ETF</t>
        </is>
      </c>
      <c r="J1310" t="inlineStr">
        <is>
          <t>AUD</t>
        </is>
      </c>
      <c r="K1310" s="5" t="inlineStr">
        <is>
          <t>01a152b9-6ee2-7577-bddd-382bc3853fde</t>
        </is>
      </c>
      <c r="M1310" t="inlineStr">
        <is>
          <t>UNKNOWN</t>
        </is>
      </c>
      <c r="N1310" t="inlineStr">
        <is>
          <t>DEFAULT</t>
        </is>
      </c>
      <c r="Q1310" t="n">
        <v>0</v>
      </c>
      <c r="R1310" t="inlineStr">
        <is>
          <t>AUD</t>
        </is>
      </c>
      <c r="S1310" t="n">
        <v>0</v>
      </c>
      <c r="T1310" t="inlineStr">
        <is>
          <t>AUD</t>
        </is>
      </c>
      <c r="U1310" t="n">
        <v>0</v>
      </c>
    </row>
    <row r="1311">
      <c r="A1311" s="5" t="inlineStr">
        <is>
          <t>01a152b9-8405-76e3-8e83-40ced63e69f0</t>
        </is>
      </c>
      <c r="C1311" s="5" t="inlineStr">
        <is>
          <t>01a152b9-6e67-75da-8adb-b03e5d07fd21</t>
        </is>
      </c>
      <c r="D1311" s="4" t="n">
        <v>46314.24597339492</v>
      </c>
      <c r="E1311" s="4" t="n">
        <v>46314.24597339506</v>
      </c>
      <c r="F1311" t="b">
        <v>1</v>
      </c>
      <c r="G1311" t="n">
        <v/>
      </c>
      <c r="H1311" t="inlineStr">
        <is>
          <t>AQI</t>
        </is>
      </c>
      <c r="I1311" t="inlineStr">
        <is>
          <t>Alicanto Minerals Ltd</t>
        </is>
      </c>
      <c r="J1311" t="inlineStr">
        <is>
          <t>AUD</t>
        </is>
      </c>
      <c r="K1311" s="5" t="inlineStr">
        <is>
          <t>01a152b9-6ee2-7577-bddd-382bc3853fde</t>
        </is>
      </c>
      <c r="M1311" t="inlineStr">
        <is>
          <t>UNKNOWN</t>
        </is>
      </c>
      <c r="N1311" t="inlineStr">
        <is>
          <t>DEFAULT</t>
        </is>
      </c>
      <c r="Q1311" t="n">
        <v>0</v>
      </c>
      <c r="R1311" t="inlineStr">
        <is>
          <t>AUD</t>
        </is>
      </c>
      <c r="S1311" t="n">
        <v>0</v>
      </c>
      <c r="T1311" t="inlineStr">
        <is>
          <t>AUD</t>
        </is>
      </c>
      <c r="U1311" t="n">
        <v>0</v>
      </c>
    </row>
    <row r="1312">
      <c r="A1312" s="5" t="inlineStr">
        <is>
          <t>01a152b9-8409-7188-8b65-b877bb287a15</t>
        </is>
      </c>
      <c r="C1312" s="5" t="inlineStr">
        <is>
          <t>01a152b9-6e67-75da-8adb-b03e5d07fd21</t>
        </is>
      </c>
      <c r="D1312" s="4" t="n">
        <v>46314.24597344146</v>
      </c>
      <c r="E1312" s="4" t="n">
        <v>46314.24597344162</v>
      </c>
      <c r="F1312" t="b">
        <v>1</v>
      </c>
      <c r="G1312" t="n">
        <v/>
      </c>
      <c r="H1312" t="inlineStr">
        <is>
          <t>STM</t>
        </is>
      </c>
      <c r="I1312" t="inlineStr">
        <is>
          <t>Sunstone Metals Ltd</t>
        </is>
      </c>
      <c r="J1312" t="inlineStr">
        <is>
          <t>AUD</t>
        </is>
      </c>
      <c r="K1312" s="5" t="inlineStr">
        <is>
          <t>01a152b9-6ee2-7577-bddd-382bc3853fde</t>
        </is>
      </c>
      <c r="M1312" t="inlineStr">
        <is>
          <t>UNKNOWN</t>
        </is>
      </c>
      <c r="N1312" t="inlineStr">
        <is>
          <t>DEFAULT</t>
        </is>
      </c>
      <c r="Q1312" t="n">
        <v>0</v>
      </c>
      <c r="R1312" t="inlineStr">
        <is>
          <t>AUD</t>
        </is>
      </c>
      <c r="S1312" t="n">
        <v>0</v>
      </c>
      <c r="T1312" t="inlineStr">
        <is>
          <t>AUD</t>
        </is>
      </c>
      <c r="U1312" t="n">
        <v>0</v>
      </c>
    </row>
    <row r="1313">
      <c r="A1313" s="5" t="inlineStr">
        <is>
          <t>01a152b9-840c-77f5-bceb-82d0754c41c2</t>
        </is>
      </c>
      <c r="C1313" s="5" t="inlineStr">
        <is>
          <t>01a152b9-6e67-75da-8adb-b03e5d07fd21</t>
        </is>
      </c>
      <c r="D1313" s="4" t="n">
        <v>46314.24597348081</v>
      </c>
      <c r="E1313" s="4" t="n">
        <v>46314.24597348092</v>
      </c>
      <c r="F1313" t="b">
        <v>1</v>
      </c>
      <c r="G1313" t="n">
        <v/>
      </c>
      <c r="H1313" t="inlineStr">
        <is>
          <t>TSO</t>
        </is>
      </c>
      <c r="I1313" t="inlineStr">
        <is>
          <t>Tesoro Gold Ltd</t>
        </is>
      </c>
      <c r="J1313" t="inlineStr">
        <is>
          <t>AUD</t>
        </is>
      </c>
      <c r="K1313" s="5" t="inlineStr">
        <is>
          <t>01a152b9-6ee2-7577-bddd-382bc3853fde</t>
        </is>
      </c>
      <c r="M1313" t="inlineStr">
        <is>
          <t>UNKNOWN</t>
        </is>
      </c>
      <c r="N1313" t="inlineStr">
        <is>
          <t>DEFAULT</t>
        </is>
      </c>
      <c r="Q1313" t="n">
        <v>0</v>
      </c>
      <c r="R1313" t="inlineStr">
        <is>
          <t>AUD</t>
        </is>
      </c>
      <c r="S1313" t="n">
        <v>0</v>
      </c>
      <c r="T1313" t="inlineStr">
        <is>
          <t>AUD</t>
        </is>
      </c>
      <c r="U1313" t="n">
        <v>0</v>
      </c>
    </row>
    <row r="1314">
      <c r="A1314" s="5" t="inlineStr">
        <is>
          <t>01a152b9-8410-7043-8aa7-8ba17a038709</t>
        </is>
      </c>
      <c r="C1314" s="5" t="inlineStr">
        <is>
          <t>01a152b9-6e67-75da-8adb-b03e5d07fd21</t>
        </is>
      </c>
      <c r="D1314" s="4" t="n">
        <v>46314.24597352357</v>
      </c>
      <c r="E1314" s="4" t="n">
        <v>46314.24597352366</v>
      </c>
      <c r="F1314" t="b">
        <v>1</v>
      </c>
      <c r="G1314" t="n">
        <v/>
      </c>
      <c r="H1314" t="inlineStr">
        <is>
          <t>AMD</t>
        </is>
      </c>
      <c r="I1314" t="inlineStr">
        <is>
          <t>Arrow Minerals Ltd</t>
        </is>
      </c>
      <c r="J1314" t="inlineStr">
        <is>
          <t>AUD</t>
        </is>
      </c>
      <c r="K1314" s="5" t="inlineStr">
        <is>
          <t>01a152b9-6ee2-7577-bddd-382bc3853fde</t>
        </is>
      </c>
      <c r="M1314" t="inlineStr">
        <is>
          <t>UNKNOWN</t>
        </is>
      </c>
      <c r="N1314" t="inlineStr">
        <is>
          <t>DEFAULT</t>
        </is>
      </c>
      <c r="Q1314" t="n">
        <v>0</v>
      </c>
      <c r="R1314" t="inlineStr">
        <is>
          <t>AUD</t>
        </is>
      </c>
      <c r="S1314" t="n">
        <v>0</v>
      </c>
      <c r="T1314" t="inlineStr">
        <is>
          <t>AUD</t>
        </is>
      </c>
      <c r="U1314" t="n">
        <v>0</v>
      </c>
    </row>
    <row r="1315">
      <c r="A1315" s="5" t="inlineStr">
        <is>
          <t>01a152b9-8413-7585-a871-3c993fa03d15</t>
        </is>
      </c>
      <c r="C1315" s="5" t="inlineStr">
        <is>
          <t>01a152b9-6e67-75da-8adb-b03e5d07fd21</t>
        </is>
      </c>
      <c r="D1315" s="4" t="n">
        <v>46314.24597356147</v>
      </c>
      <c r="E1315" s="4" t="n">
        <v>46314.24597356158</v>
      </c>
      <c r="F1315" t="b">
        <v>1</v>
      </c>
      <c r="G1315" t="n">
        <v/>
      </c>
      <c r="H1315" t="inlineStr">
        <is>
          <t>EAFZ</t>
        </is>
      </c>
      <c r="I1315" t="inlineStr">
        <is>
          <t>Ellerston Asia Growth Fund (Hedge Fund)</t>
        </is>
      </c>
      <c r="J1315" t="inlineStr">
        <is>
          <t>AUD</t>
        </is>
      </c>
      <c r="K1315" s="5" t="inlineStr">
        <is>
          <t>01a152b9-6ee2-7577-bddd-382bc3853fde</t>
        </is>
      </c>
      <c r="M1315" t="inlineStr">
        <is>
          <t>UNKNOWN</t>
        </is>
      </c>
      <c r="N1315" t="inlineStr">
        <is>
          <t>DEFAULT</t>
        </is>
      </c>
      <c r="Q1315" t="n">
        <v>0</v>
      </c>
      <c r="R1315" t="inlineStr">
        <is>
          <t>AUD</t>
        </is>
      </c>
      <c r="S1315" t="n">
        <v>0</v>
      </c>
      <c r="T1315" t="inlineStr">
        <is>
          <t>AUD</t>
        </is>
      </c>
      <c r="U1315" t="n">
        <v>0</v>
      </c>
    </row>
    <row r="1316">
      <c r="A1316" s="5" t="inlineStr">
        <is>
          <t>01a152b9-8416-72fa-9cef-3fe02b8dd778</t>
        </is>
      </c>
      <c r="C1316" s="5" t="inlineStr">
        <is>
          <t>01a152b9-6e67-75da-8adb-b03e5d07fd21</t>
        </is>
      </c>
      <c r="D1316" s="4" t="n">
        <v>46314.24597359852</v>
      </c>
      <c r="E1316" s="4" t="n">
        <v>46314.24597359862</v>
      </c>
      <c r="F1316" t="b">
        <v>1</v>
      </c>
      <c r="G1316" t="n">
        <v/>
      </c>
      <c r="H1316" t="inlineStr">
        <is>
          <t>IPT</t>
        </is>
      </c>
      <c r="I1316" t="inlineStr">
        <is>
          <t>Impact Minerals Ltd</t>
        </is>
      </c>
      <c r="J1316" t="inlineStr">
        <is>
          <t>AUD</t>
        </is>
      </c>
      <c r="K1316" s="5" t="inlineStr">
        <is>
          <t>01a152b9-6ee2-7577-bddd-382bc3853fde</t>
        </is>
      </c>
      <c r="M1316" t="inlineStr">
        <is>
          <t>UNKNOWN</t>
        </is>
      </c>
      <c r="N1316" t="inlineStr">
        <is>
          <t>DEFAULT</t>
        </is>
      </c>
      <c r="Q1316" t="n">
        <v>0</v>
      </c>
      <c r="R1316" t="inlineStr">
        <is>
          <t>AUD</t>
        </is>
      </c>
      <c r="S1316" t="n">
        <v>0</v>
      </c>
      <c r="T1316" t="inlineStr">
        <is>
          <t>AUD</t>
        </is>
      </c>
      <c r="U1316" t="n">
        <v>0</v>
      </c>
    </row>
    <row r="1317">
      <c r="A1317" s="5" t="inlineStr">
        <is>
          <t>01a152b9-841a-72c7-b3e5-ff4a4fdbb99c</t>
        </is>
      </c>
      <c r="C1317" s="5" t="inlineStr">
        <is>
          <t>01a152b9-6e67-75da-8adb-b03e5d07fd21</t>
        </is>
      </c>
      <c r="D1317" s="4" t="n">
        <v>46314.24597364188</v>
      </c>
      <c r="E1317" s="4" t="n">
        <v>46314.24597364199</v>
      </c>
      <c r="F1317" t="b">
        <v>1</v>
      </c>
      <c r="G1317" t="n">
        <v/>
      </c>
      <c r="H1317" t="inlineStr">
        <is>
          <t>CTE</t>
        </is>
      </c>
      <c r="I1317" t="inlineStr">
        <is>
          <t>Cryosite Ltd</t>
        </is>
      </c>
      <c r="J1317" t="inlineStr">
        <is>
          <t>AUD</t>
        </is>
      </c>
      <c r="K1317" s="5" t="inlineStr">
        <is>
          <t>01a152b9-6ee2-7577-bddd-382bc3853fde</t>
        </is>
      </c>
      <c r="M1317" t="inlineStr">
        <is>
          <t>UNKNOWN</t>
        </is>
      </c>
      <c r="N1317" t="inlineStr">
        <is>
          <t>DEFAULT</t>
        </is>
      </c>
      <c r="Q1317" t="n">
        <v>0</v>
      </c>
      <c r="R1317" t="inlineStr">
        <is>
          <t>AUD</t>
        </is>
      </c>
      <c r="S1317" t="n">
        <v>0</v>
      </c>
      <c r="T1317" t="inlineStr">
        <is>
          <t>AUD</t>
        </is>
      </c>
      <c r="U1317" t="n">
        <v>0</v>
      </c>
    </row>
    <row r="1318">
      <c r="A1318" s="5" t="inlineStr">
        <is>
          <t>01a152b9-841e-72d7-b623-b56eff807a49</t>
        </is>
      </c>
      <c r="C1318" s="5" t="inlineStr">
        <is>
          <t>01a152b9-6e67-75da-8adb-b03e5d07fd21</t>
        </is>
      </c>
      <c r="D1318" s="4" t="n">
        <v>46314.24597368213</v>
      </c>
      <c r="E1318" s="4" t="n">
        <v>46314.24597368224</v>
      </c>
      <c r="F1318" t="b">
        <v>1</v>
      </c>
      <c r="G1318" t="n">
        <v/>
      </c>
      <c r="H1318" t="inlineStr">
        <is>
          <t>DCOR</t>
        </is>
      </c>
      <c r="I1318" t="inlineStr">
        <is>
          <t>Daintree Core Income Active ETF</t>
        </is>
      </c>
      <c r="J1318" t="inlineStr">
        <is>
          <t>AUD</t>
        </is>
      </c>
      <c r="K1318" s="5" t="inlineStr">
        <is>
          <t>01a152b9-6ee2-7577-bddd-382bc3853fde</t>
        </is>
      </c>
      <c r="M1318" t="inlineStr">
        <is>
          <t>UNKNOWN</t>
        </is>
      </c>
      <c r="N1318" t="inlineStr">
        <is>
          <t>DEFAULT</t>
        </is>
      </c>
      <c r="Q1318" t="n">
        <v>0</v>
      </c>
      <c r="R1318" t="inlineStr">
        <is>
          <t>AUD</t>
        </is>
      </c>
      <c r="S1318" t="n">
        <v>0</v>
      </c>
      <c r="T1318" t="inlineStr">
        <is>
          <t>AUD</t>
        </is>
      </c>
      <c r="U1318" t="n">
        <v>0</v>
      </c>
    </row>
    <row r="1319">
      <c r="A1319" s="5" t="inlineStr">
        <is>
          <t>01a152b9-8421-7143-bf39-4185124c13e6</t>
        </is>
      </c>
      <c r="C1319" s="5" t="inlineStr">
        <is>
          <t>01a152b9-6e67-75da-8adb-b03e5d07fd21</t>
        </is>
      </c>
      <c r="D1319" s="4" t="n">
        <v>46314.24597372287</v>
      </c>
      <c r="E1319" s="4" t="n">
        <v>46314.24597372297</v>
      </c>
      <c r="F1319" t="b">
        <v>1</v>
      </c>
      <c r="G1319" t="n">
        <v/>
      </c>
      <c r="H1319" t="inlineStr">
        <is>
          <t>DGH</t>
        </is>
      </c>
      <c r="I1319" t="inlineStr">
        <is>
          <t>Desane Group Holdings Ltd</t>
        </is>
      </c>
      <c r="J1319" t="inlineStr">
        <is>
          <t>AUD</t>
        </is>
      </c>
      <c r="K1319" s="5" t="inlineStr">
        <is>
          <t>01a152b9-6ee2-7577-bddd-382bc3853fde</t>
        </is>
      </c>
      <c r="M1319" t="inlineStr">
        <is>
          <t>UNKNOWN</t>
        </is>
      </c>
      <c r="N1319" t="inlineStr">
        <is>
          <t>DEFAULT</t>
        </is>
      </c>
      <c r="Q1319" t="n">
        <v>0</v>
      </c>
      <c r="R1319" t="inlineStr">
        <is>
          <t>AUD</t>
        </is>
      </c>
      <c r="S1319" t="n">
        <v>0</v>
      </c>
      <c r="T1319" t="inlineStr">
        <is>
          <t>AUD</t>
        </is>
      </c>
      <c r="U1319" t="n">
        <v>0</v>
      </c>
    </row>
    <row r="1320">
      <c r="A1320" s="5" t="inlineStr">
        <is>
          <t>01a152b9-8424-758e-a68a-87eb3e394aef</t>
        </is>
      </c>
      <c r="C1320" s="5" t="inlineStr">
        <is>
          <t>01a152b9-6e67-75da-8adb-b03e5d07fd21</t>
        </is>
      </c>
      <c r="D1320" s="4" t="n">
        <v>46314.24597375959</v>
      </c>
      <c r="E1320" s="4" t="n">
        <v>46314.24597375969</v>
      </c>
      <c r="F1320" t="b">
        <v>1</v>
      </c>
      <c r="G1320" t="n">
        <v/>
      </c>
      <c r="H1320" t="inlineStr">
        <is>
          <t>IVR</t>
        </is>
      </c>
      <c r="I1320" t="inlineStr">
        <is>
          <t>Investigator Resources Ltd</t>
        </is>
      </c>
      <c r="J1320" t="inlineStr">
        <is>
          <t>AUD</t>
        </is>
      </c>
      <c r="K1320" s="5" t="inlineStr">
        <is>
          <t>01a152b9-6ee2-7577-bddd-382bc3853fde</t>
        </is>
      </c>
      <c r="M1320" t="inlineStr">
        <is>
          <t>UNKNOWN</t>
        </is>
      </c>
      <c r="N1320" t="inlineStr">
        <is>
          <t>DEFAULT</t>
        </is>
      </c>
      <c r="Q1320" t="n">
        <v>0</v>
      </c>
      <c r="R1320" t="inlineStr">
        <is>
          <t>AUD</t>
        </is>
      </c>
      <c r="S1320" t="n">
        <v>0</v>
      </c>
      <c r="T1320" t="inlineStr">
        <is>
          <t>AUD</t>
        </is>
      </c>
      <c r="U1320" t="n">
        <v>0</v>
      </c>
    </row>
    <row r="1321">
      <c r="A1321" s="5" t="inlineStr">
        <is>
          <t>01a152b9-8427-740e-a4b9-c69b35d4c042</t>
        </is>
      </c>
      <c r="C1321" s="5" t="inlineStr">
        <is>
          <t>01a152b9-6e67-75da-8adb-b03e5d07fd21</t>
        </is>
      </c>
      <c r="D1321" s="4" t="n">
        <v>46314.24597379309</v>
      </c>
      <c r="E1321" s="4" t="n">
        <v>46314.24597379317</v>
      </c>
      <c r="F1321" t="b">
        <v>1</v>
      </c>
      <c r="G1321" t="n">
        <v/>
      </c>
      <c r="H1321" t="inlineStr">
        <is>
          <t>S2R</t>
        </is>
      </c>
      <c r="I1321" t="inlineStr">
        <is>
          <t>S2 Resources Ltd</t>
        </is>
      </c>
      <c r="J1321" t="inlineStr">
        <is>
          <t>AUD</t>
        </is>
      </c>
      <c r="K1321" s="5" t="inlineStr">
        <is>
          <t>01a152b9-6ee2-7577-bddd-382bc3853fde</t>
        </is>
      </c>
      <c r="M1321" t="inlineStr">
        <is>
          <t>UNKNOWN</t>
        </is>
      </c>
      <c r="N1321" t="inlineStr">
        <is>
          <t>DEFAULT</t>
        </is>
      </c>
      <c r="Q1321" t="n">
        <v>0</v>
      </c>
      <c r="R1321" t="inlineStr">
        <is>
          <t>AUD</t>
        </is>
      </c>
      <c r="S1321" t="n">
        <v>0</v>
      </c>
      <c r="T1321" t="inlineStr">
        <is>
          <t>AUD</t>
        </is>
      </c>
      <c r="U1321" t="n">
        <v>0</v>
      </c>
    </row>
    <row r="1322">
      <c r="A1322" s="5" t="inlineStr">
        <is>
          <t>01a152b9-842a-73b8-9b6b-74e46330e883</t>
        </is>
      </c>
      <c r="C1322" s="5" t="inlineStr">
        <is>
          <t>01a152b9-6e67-75da-8adb-b03e5d07fd21</t>
        </is>
      </c>
      <c r="D1322" s="4" t="n">
        <v>46314.24597382962</v>
      </c>
      <c r="E1322" s="4" t="n">
        <v>46314.24597382973</v>
      </c>
      <c r="F1322" t="b">
        <v>1</v>
      </c>
      <c r="G1322" t="n">
        <v/>
      </c>
      <c r="H1322" t="inlineStr">
        <is>
          <t>CETF</t>
        </is>
      </c>
      <c r="I1322" t="inlineStr">
        <is>
          <t>Vaneck Ftse China A50 ETF</t>
        </is>
      </c>
      <c r="J1322" t="inlineStr">
        <is>
          <t>AUD</t>
        </is>
      </c>
      <c r="K1322" s="5" t="inlineStr">
        <is>
          <t>01a152b9-6ee2-7577-bddd-382bc3853fde</t>
        </is>
      </c>
      <c r="M1322" t="inlineStr">
        <is>
          <t>UNKNOWN</t>
        </is>
      </c>
      <c r="N1322" t="inlineStr">
        <is>
          <t>DEFAULT</t>
        </is>
      </c>
      <c r="Q1322" t="n">
        <v>0</v>
      </c>
      <c r="R1322" t="inlineStr">
        <is>
          <t>AUD</t>
        </is>
      </c>
      <c r="S1322" t="n">
        <v>0</v>
      </c>
      <c r="T1322" t="inlineStr">
        <is>
          <t>AUD</t>
        </is>
      </c>
      <c r="U1322" t="n">
        <v>0</v>
      </c>
    </row>
    <row r="1323">
      <c r="A1323" s="5" t="inlineStr">
        <is>
          <t>01a152b9-842e-74e3-b75c-0c7c442c456e</t>
        </is>
      </c>
      <c r="C1323" s="5" t="inlineStr">
        <is>
          <t>01a152b9-6e67-75da-8adb-b03e5d07fd21</t>
        </is>
      </c>
      <c r="D1323" s="4" t="n">
        <v>46314.24597386854</v>
      </c>
      <c r="E1323" s="4" t="n">
        <v>46314.24597386867</v>
      </c>
      <c r="F1323" t="b">
        <v>1</v>
      </c>
      <c r="G1323" t="n">
        <v/>
      </c>
      <c r="H1323" t="inlineStr">
        <is>
          <t>ABV</t>
        </is>
      </c>
      <c r="I1323" t="inlineStr">
        <is>
          <t>Advanced Braking Technology Ltd</t>
        </is>
      </c>
      <c r="J1323" t="inlineStr">
        <is>
          <t>AUD</t>
        </is>
      </c>
      <c r="K1323" s="5" t="inlineStr">
        <is>
          <t>01a152b9-6ee2-7577-bddd-382bc3853fde</t>
        </is>
      </c>
      <c r="M1323" t="inlineStr">
        <is>
          <t>UNKNOWN</t>
        </is>
      </c>
      <c r="N1323" t="inlineStr">
        <is>
          <t>DEFAULT</t>
        </is>
      </c>
      <c r="Q1323" t="n">
        <v>0</v>
      </c>
      <c r="R1323" t="inlineStr">
        <is>
          <t>AUD</t>
        </is>
      </c>
      <c r="S1323" t="n">
        <v>0</v>
      </c>
      <c r="T1323" t="inlineStr">
        <is>
          <t>AUD</t>
        </is>
      </c>
      <c r="U1323" t="n">
        <v>0</v>
      </c>
    </row>
    <row r="1324">
      <c r="A1324" s="5" t="inlineStr">
        <is>
          <t>01a152b9-8431-73ec-8558-8ef2e2d3fab1</t>
        </is>
      </c>
      <c r="C1324" s="5" t="inlineStr">
        <is>
          <t>01a152b9-6e67-75da-8adb-b03e5d07fd21</t>
        </is>
      </c>
      <c r="D1324" s="4" t="n">
        <v>46314.2459739083</v>
      </c>
      <c r="E1324" s="4" t="n">
        <v>46314.2459739084</v>
      </c>
      <c r="F1324" t="b">
        <v>1</v>
      </c>
      <c r="G1324" t="n">
        <v/>
      </c>
      <c r="H1324" t="inlineStr">
        <is>
          <t>GHM</t>
        </is>
      </c>
      <c r="I1324" t="inlineStr">
        <is>
          <t>Golden Horse Minerals Ltd</t>
        </is>
      </c>
      <c r="J1324" t="inlineStr">
        <is>
          <t>AUD</t>
        </is>
      </c>
      <c r="K1324" s="5" t="inlineStr">
        <is>
          <t>01a152b9-6ee2-7577-bddd-382bc3853fde</t>
        </is>
      </c>
      <c r="M1324" t="inlineStr">
        <is>
          <t>UNKNOWN</t>
        </is>
      </c>
      <c r="N1324" t="inlineStr">
        <is>
          <t>DEFAULT</t>
        </is>
      </c>
      <c r="Q1324" t="n">
        <v>0</v>
      </c>
      <c r="R1324" t="inlineStr">
        <is>
          <t>AUD</t>
        </is>
      </c>
      <c r="S1324" t="n">
        <v>0</v>
      </c>
      <c r="T1324" t="inlineStr">
        <is>
          <t>AUD</t>
        </is>
      </c>
      <c r="U1324" t="n">
        <v>0</v>
      </c>
    </row>
    <row r="1325">
      <c r="A1325" s="5" t="inlineStr">
        <is>
          <t>01a152b9-8435-730e-a102-5e2bb55e25d3</t>
        </is>
      </c>
      <c r="C1325" s="5" t="inlineStr">
        <is>
          <t>01a152b9-6e67-75da-8adb-b03e5d07fd21</t>
        </is>
      </c>
      <c r="D1325" s="4" t="n">
        <v>46314.24597395014</v>
      </c>
      <c r="E1325" s="4" t="n">
        <v>46314.24597395024</v>
      </c>
      <c r="F1325" t="b">
        <v>1</v>
      </c>
      <c r="G1325" t="n">
        <v/>
      </c>
      <c r="H1325" t="inlineStr">
        <is>
          <t>FCT</t>
        </is>
      </c>
      <c r="I1325" t="inlineStr">
        <is>
          <t>Firstwave Cloud Technology Ltd</t>
        </is>
      </c>
      <c r="J1325" t="inlineStr">
        <is>
          <t>AUD</t>
        </is>
      </c>
      <c r="K1325" s="5" t="inlineStr">
        <is>
          <t>01a152b9-6ee2-7577-bddd-382bc3853fde</t>
        </is>
      </c>
      <c r="M1325" t="inlineStr">
        <is>
          <t>UNKNOWN</t>
        </is>
      </c>
      <c r="N1325" t="inlineStr">
        <is>
          <t>DEFAULT</t>
        </is>
      </c>
      <c r="Q1325" t="n">
        <v>0</v>
      </c>
      <c r="R1325" t="inlineStr">
        <is>
          <t>AUD</t>
        </is>
      </c>
      <c r="S1325" t="n">
        <v>0</v>
      </c>
      <c r="T1325" t="inlineStr">
        <is>
          <t>AUD</t>
        </is>
      </c>
      <c r="U1325" t="n">
        <v>0</v>
      </c>
    </row>
    <row r="1326">
      <c r="A1326" s="5" t="inlineStr">
        <is>
          <t>01a152b9-8438-7124-b526-61fd352e0ef5</t>
        </is>
      </c>
      <c r="C1326" s="5" t="inlineStr">
        <is>
          <t>01a152b9-6e67-75da-8adb-b03e5d07fd21</t>
        </is>
      </c>
      <c r="D1326" s="4" t="n">
        <v>46314.24597398942</v>
      </c>
      <c r="E1326" s="4" t="n">
        <v>46314.24597398953</v>
      </c>
      <c r="F1326" t="b">
        <v>1</v>
      </c>
      <c r="G1326" t="n">
        <v/>
      </c>
      <c r="H1326" t="inlineStr">
        <is>
          <t>WTL</t>
        </is>
      </c>
      <c r="I1326" t="inlineStr">
        <is>
          <t>WT Financial Group Ltd</t>
        </is>
      </c>
      <c r="J1326" t="inlineStr">
        <is>
          <t>AUD</t>
        </is>
      </c>
      <c r="K1326" s="5" t="inlineStr">
        <is>
          <t>01a152b9-6ee2-7577-bddd-382bc3853fde</t>
        </is>
      </c>
      <c r="M1326" t="inlineStr">
        <is>
          <t>UNKNOWN</t>
        </is>
      </c>
      <c r="N1326" t="inlineStr">
        <is>
          <t>DEFAULT</t>
        </is>
      </c>
      <c r="Q1326" t="n">
        <v>0</v>
      </c>
      <c r="R1326" t="inlineStr">
        <is>
          <t>AUD</t>
        </is>
      </c>
      <c r="S1326" t="n">
        <v>0</v>
      </c>
      <c r="T1326" t="inlineStr">
        <is>
          <t>AUD</t>
        </is>
      </c>
      <c r="U1326" t="n">
        <v>0</v>
      </c>
    </row>
    <row r="1327">
      <c r="A1327" s="5" t="inlineStr">
        <is>
          <t>01a152b9-843b-7000-b219-2675f379f110</t>
        </is>
      </c>
      <c r="C1327" s="5" t="inlineStr">
        <is>
          <t>01a152b9-6e67-75da-8adb-b03e5d07fd21</t>
        </is>
      </c>
      <c r="D1327" s="4" t="n">
        <v>46314.24597402631</v>
      </c>
      <c r="E1327" s="4" t="n">
        <v>46314.2459740264</v>
      </c>
      <c r="F1327" t="b">
        <v>1</v>
      </c>
      <c r="G1327" t="n">
        <v/>
      </c>
      <c r="H1327" t="inlineStr">
        <is>
          <t>VRX</t>
        </is>
      </c>
      <c r="I1327" t="inlineStr">
        <is>
          <t>VRX Silica Ltd</t>
        </is>
      </c>
      <c r="J1327" t="inlineStr">
        <is>
          <t>AUD</t>
        </is>
      </c>
      <c r="K1327" s="5" t="inlineStr">
        <is>
          <t>01a152b9-6ee2-7577-bddd-382bc3853fde</t>
        </is>
      </c>
      <c r="M1327" t="inlineStr">
        <is>
          <t>UNKNOWN</t>
        </is>
      </c>
      <c r="N1327" t="inlineStr">
        <is>
          <t>DEFAULT</t>
        </is>
      </c>
      <c r="Q1327" t="n">
        <v>0</v>
      </c>
      <c r="R1327" t="inlineStr">
        <is>
          <t>AUD</t>
        </is>
      </c>
      <c r="S1327" t="n">
        <v>0</v>
      </c>
      <c r="T1327" t="inlineStr">
        <is>
          <t>AUD</t>
        </is>
      </c>
      <c r="U1327" t="n">
        <v>0</v>
      </c>
    </row>
    <row r="1328">
      <c r="A1328" s="5" t="inlineStr">
        <is>
          <t>01a152b9-843f-77a0-ab37-dc93da0f4328</t>
        </is>
      </c>
      <c r="C1328" s="5" t="inlineStr">
        <is>
          <t>01a152b9-6e67-75da-8adb-b03e5d07fd21</t>
        </is>
      </c>
      <c r="D1328" s="4" t="n">
        <v>46314.2459740645</v>
      </c>
      <c r="E1328" s="4" t="n">
        <v>46314.24597406461</v>
      </c>
      <c r="F1328" t="b">
        <v>1</v>
      </c>
      <c r="G1328" t="n">
        <v/>
      </c>
      <c r="H1328" t="inlineStr">
        <is>
          <t>BDX</t>
        </is>
      </c>
      <c r="I1328" t="inlineStr">
        <is>
          <t>Bcal Diagnostics Ltd</t>
        </is>
      </c>
      <c r="J1328" t="inlineStr">
        <is>
          <t>AUD</t>
        </is>
      </c>
      <c r="K1328" s="5" t="inlineStr">
        <is>
          <t>01a152b9-6ee2-7577-bddd-382bc3853fde</t>
        </is>
      </c>
      <c r="M1328" t="inlineStr">
        <is>
          <t>UNKNOWN</t>
        </is>
      </c>
      <c r="N1328" t="inlineStr">
        <is>
          <t>DEFAULT</t>
        </is>
      </c>
      <c r="Q1328" t="n">
        <v>0</v>
      </c>
      <c r="R1328" t="inlineStr">
        <is>
          <t>AUD</t>
        </is>
      </c>
      <c r="S1328" t="n">
        <v>0</v>
      </c>
      <c r="T1328" t="inlineStr">
        <is>
          <t>AUD</t>
        </is>
      </c>
      <c r="U1328" t="n">
        <v>0</v>
      </c>
    </row>
    <row r="1329">
      <c r="A1329" s="5" t="inlineStr">
        <is>
          <t>01a152b9-8442-752c-b4f1-253003bc1bbf</t>
        </is>
      </c>
      <c r="C1329" s="5" t="inlineStr">
        <is>
          <t>01a152b9-6e67-75da-8adb-b03e5d07fd21</t>
        </is>
      </c>
      <c r="D1329" s="4" t="n">
        <v>46314.24597410359</v>
      </c>
      <c r="E1329" s="4" t="n">
        <v>46314.24597410368</v>
      </c>
      <c r="F1329" t="b">
        <v>1</v>
      </c>
      <c r="G1329" t="n">
        <v/>
      </c>
      <c r="H1329" t="inlineStr">
        <is>
          <t>TMG</t>
        </is>
      </c>
      <c r="I1329" t="inlineStr">
        <is>
          <t>Trigg Minerals Ltd</t>
        </is>
      </c>
      <c r="J1329" t="inlineStr">
        <is>
          <t>AUD</t>
        </is>
      </c>
      <c r="K1329" s="5" t="inlineStr">
        <is>
          <t>01a152b9-6ee2-7577-bddd-382bc3853fde</t>
        </is>
      </c>
      <c r="M1329" t="inlineStr">
        <is>
          <t>UNKNOWN</t>
        </is>
      </c>
      <c r="N1329" t="inlineStr">
        <is>
          <t>DEFAULT</t>
        </is>
      </c>
      <c r="Q1329" t="n">
        <v>0</v>
      </c>
      <c r="R1329" t="inlineStr">
        <is>
          <t>AUD</t>
        </is>
      </c>
      <c r="S1329" t="n">
        <v>0</v>
      </c>
      <c r="T1329" t="inlineStr">
        <is>
          <t>AUD</t>
        </is>
      </c>
      <c r="U1329" t="n">
        <v>0</v>
      </c>
    </row>
    <row r="1330">
      <c r="A1330" s="5" t="inlineStr">
        <is>
          <t>01a152b9-8445-71a2-a8ba-0576a8b6a288</t>
        </is>
      </c>
      <c r="C1330" s="5" t="inlineStr">
        <is>
          <t>01a152b9-6e67-75da-8adb-b03e5d07fd21</t>
        </is>
      </c>
      <c r="D1330" s="4" t="n">
        <v>46314.24597413981</v>
      </c>
      <c r="E1330" s="4" t="n">
        <v>46314.24597413991</v>
      </c>
      <c r="F1330" t="b">
        <v>1</v>
      </c>
      <c r="G1330" t="n">
        <v/>
      </c>
      <c r="H1330" t="inlineStr">
        <is>
          <t>MHK</t>
        </is>
      </c>
      <c r="I1330" t="inlineStr">
        <is>
          <t>Metal Hawk Ltd</t>
        </is>
      </c>
      <c r="J1330" t="inlineStr">
        <is>
          <t>AUD</t>
        </is>
      </c>
      <c r="K1330" s="5" t="inlineStr">
        <is>
          <t>01a152b9-6ee2-7577-bddd-382bc3853fde</t>
        </is>
      </c>
      <c r="M1330" t="inlineStr">
        <is>
          <t>UNKNOWN</t>
        </is>
      </c>
      <c r="N1330" t="inlineStr">
        <is>
          <t>DEFAULT</t>
        </is>
      </c>
      <c r="Q1330" t="n">
        <v>0</v>
      </c>
      <c r="R1330" t="inlineStr">
        <is>
          <t>AUD</t>
        </is>
      </c>
      <c r="S1330" t="n">
        <v>0</v>
      </c>
      <c r="T1330" t="inlineStr">
        <is>
          <t>AUD</t>
        </is>
      </c>
      <c r="U1330" t="n">
        <v>0</v>
      </c>
    </row>
    <row r="1331">
      <c r="A1331" s="5" t="inlineStr">
        <is>
          <t>01a152b9-8448-7112-ad33-bebc6ea475ad</t>
        </is>
      </c>
      <c r="C1331" s="5" t="inlineStr">
        <is>
          <t>01a152b9-6e67-75da-8adb-b03e5d07fd21</t>
        </is>
      </c>
      <c r="D1331" s="4" t="n">
        <v>46314.2459741752</v>
      </c>
      <c r="E1331" s="4" t="n">
        <v>46314.24597417529</v>
      </c>
      <c r="F1331" t="b">
        <v>1</v>
      </c>
      <c r="G1331" t="n">
        <v/>
      </c>
      <c r="H1331" t="inlineStr">
        <is>
          <t>BBC</t>
        </is>
      </c>
      <c r="I1331" t="inlineStr">
        <is>
          <t>BNK Banking Corporation Ltd</t>
        </is>
      </c>
      <c r="J1331" t="inlineStr">
        <is>
          <t>AUD</t>
        </is>
      </c>
      <c r="K1331" s="5" t="inlineStr">
        <is>
          <t>01a152b9-6ee2-7577-bddd-382bc3853fde</t>
        </is>
      </c>
      <c r="M1331" t="inlineStr">
        <is>
          <t>UNKNOWN</t>
        </is>
      </c>
      <c r="N1331" t="inlineStr">
        <is>
          <t>DEFAULT</t>
        </is>
      </c>
      <c r="Q1331" t="n">
        <v>0</v>
      </c>
      <c r="R1331" t="inlineStr">
        <is>
          <t>AUD</t>
        </is>
      </c>
      <c r="S1331" t="n">
        <v>0</v>
      </c>
      <c r="T1331" t="inlineStr">
        <is>
          <t>AUD</t>
        </is>
      </c>
      <c r="U1331" t="n">
        <v>0</v>
      </c>
    </row>
    <row r="1332">
      <c r="A1332" s="5" t="inlineStr">
        <is>
          <t>01a152b9-844b-7224-a5aa-050785a496ad</t>
        </is>
      </c>
      <c r="C1332" s="5" t="inlineStr">
        <is>
          <t>01a152b9-6e67-75da-8adb-b03e5d07fd21</t>
        </is>
      </c>
      <c r="D1332" s="4" t="n">
        <v>46314.24597421123</v>
      </c>
      <c r="E1332" s="4" t="n">
        <v>46314.24597421132</v>
      </c>
      <c r="F1332" t="b">
        <v>1</v>
      </c>
      <c r="G1332" t="n">
        <v/>
      </c>
      <c r="H1332" t="inlineStr">
        <is>
          <t>NGY</t>
        </is>
      </c>
      <c r="I1332" t="inlineStr">
        <is>
          <t>Nuenergy Gas Ltd</t>
        </is>
      </c>
      <c r="J1332" t="inlineStr">
        <is>
          <t>AUD</t>
        </is>
      </c>
      <c r="K1332" s="5" t="inlineStr">
        <is>
          <t>01a152b9-6ee2-7577-bddd-382bc3853fde</t>
        </is>
      </c>
      <c r="M1332" t="inlineStr">
        <is>
          <t>UNKNOWN</t>
        </is>
      </c>
      <c r="N1332" t="inlineStr">
        <is>
          <t>DEFAULT</t>
        </is>
      </c>
      <c r="Q1332" t="n">
        <v>0</v>
      </c>
      <c r="R1332" t="inlineStr">
        <is>
          <t>AUD</t>
        </is>
      </c>
      <c r="S1332" t="n">
        <v>0</v>
      </c>
      <c r="T1332" t="inlineStr">
        <is>
          <t>AUD</t>
        </is>
      </c>
      <c r="U1332" t="n">
        <v>0</v>
      </c>
    </row>
    <row r="1333">
      <c r="A1333" s="5" t="inlineStr">
        <is>
          <t>01a152b9-844f-77e2-891f-92129e4769e8</t>
        </is>
      </c>
      <c r="C1333" s="5" t="inlineStr">
        <is>
          <t>01a152b9-6e67-75da-8adb-b03e5d07fd21</t>
        </is>
      </c>
      <c r="D1333" s="4" t="n">
        <v>46314.24597425089</v>
      </c>
      <c r="E1333" s="4" t="n">
        <v>46314.24597425098</v>
      </c>
      <c r="F1333" t="b">
        <v>1</v>
      </c>
      <c r="G1333" t="n">
        <v/>
      </c>
      <c r="H1333" t="inlineStr">
        <is>
          <t>CAMG</t>
        </is>
      </c>
      <c r="I1333" t="inlineStr">
        <is>
          <t>Clime Capital Ltd</t>
        </is>
      </c>
      <c r="J1333" t="inlineStr">
        <is>
          <t>AUD</t>
        </is>
      </c>
      <c r="K1333" s="5" t="inlineStr">
        <is>
          <t>01a152b9-6ee2-7577-bddd-382bc3853fde</t>
        </is>
      </c>
      <c r="M1333" t="inlineStr">
        <is>
          <t>UNKNOWN</t>
        </is>
      </c>
      <c r="N1333" t="inlineStr">
        <is>
          <t>DEFAULT</t>
        </is>
      </c>
      <c r="Q1333" t="n">
        <v>0</v>
      </c>
      <c r="R1333" t="inlineStr">
        <is>
          <t>AUD</t>
        </is>
      </c>
      <c r="S1333" t="n">
        <v>0</v>
      </c>
      <c r="T1333" t="inlineStr">
        <is>
          <t>AUD</t>
        </is>
      </c>
      <c r="U1333" t="n">
        <v>0</v>
      </c>
    </row>
    <row r="1334">
      <c r="A1334" s="5" t="inlineStr">
        <is>
          <t>01a152b9-8452-71df-a701-04574b9df69e</t>
        </is>
      </c>
      <c r="C1334" s="5" t="inlineStr">
        <is>
          <t>01a152b9-6e67-75da-8adb-b03e5d07fd21</t>
        </is>
      </c>
      <c r="D1334" s="4" t="n">
        <v>46314.2459742861</v>
      </c>
      <c r="E1334" s="4" t="n">
        <v>46314.24597428619</v>
      </c>
      <c r="F1334" t="b">
        <v>1</v>
      </c>
      <c r="G1334" t="n">
        <v/>
      </c>
      <c r="H1334" t="inlineStr">
        <is>
          <t>PPK</t>
        </is>
      </c>
      <c r="I1334" t="inlineStr">
        <is>
          <t>PPK Group Ltd</t>
        </is>
      </c>
      <c r="J1334" t="inlineStr">
        <is>
          <t>AUD</t>
        </is>
      </c>
      <c r="K1334" s="5" t="inlineStr">
        <is>
          <t>01a152b9-6ee2-7577-bddd-382bc3853fde</t>
        </is>
      </c>
      <c r="M1334" t="inlineStr">
        <is>
          <t>UNKNOWN</t>
        </is>
      </c>
      <c r="N1334" t="inlineStr">
        <is>
          <t>DEFAULT</t>
        </is>
      </c>
      <c r="Q1334" t="n">
        <v>0</v>
      </c>
      <c r="R1334" t="inlineStr">
        <is>
          <t>AUD</t>
        </is>
      </c>
      <c r="S1334" t="n">
        <v>0</v>
      </c>
      <c r="T1334" t="inlineStr">
        <is>
          <t>AUD</t>
        </is>
      </c>
      <c r="U1334" t="n">
        <v>0</v>
      </c>
    </row>
    <row r="1335">
      <c r="A1335" s="5" t="inlineStr">
        <is>
          <t>01a152b9-8455-75ee-8836-57a2f1cec1df</t>
        </is>
      </c>
      <c r="C1335" s="5" t="inlineStr">
        <is>
          <t>01a152b9-6e67-75da-8adb-b03e5d07fd21</t>
        </is>
      </c>
      <c r="D1335" s="4" t="n">
        <v>46314.24597432391</v>
      </c>
      <c r="E1335" s="4" t="n">
        <v>46314.245974324</v>
      </c>
      <c r="F1335" t="b">
        <v>1</v>
      </c>
      <c r="G1335" t="n">
        <v/>
      </c>
      <c r="H1335" t="inlineStr">
        <is>
          <t>AW1</t>
        </is>
      </c>
      <c r="I1335" t="inlineStr">
        <is>
          <t>American West Metals Ltd</t>
        </is>
      </c>
      <c r="J1335" t="inlineStr">
        <is>
          <t>AUD</t>
        </is>
      </c>
      <c r="K1335" s="5" t="inlineStr">
        <is>
          <t>01a152b9-6ee2-7577-bddd-382bc3853fde</t>
        </is>
      </c>
      <c r="M1335" t="inlineStr">
        <is>
          <t>UNKNOWN</t>
        </is>
      </c>
      <c r="N1335" t="inlineStr">
        <is>
          <t>DEFAULT</t>
        </is>
      </c>
      <c r="Q1335" t="n">
        <v>0</v>
      </c>
      <c r="R1335" t="inlineStr">
        <is>
          <t>AUD</t>
        </is>
      </c>
      <c r="S1335" t="n">
        <v>0</v>
      </c>
      <c r="T1335" t="inlineStr">
        <is>
          <t>AUD</t>
        </is>
      </c>
      <c r="U1335" t="n">
        <v>0</v>
      </c>
    </row>
    <row r="1336">
      <c r="A1336" s="5" t="inlineStr">
        <is>
          <t>01a152b9-8458-749d-9632-8c84f73b28e6</t>
        </is>
      </c>
      <c r="C1336" s="5" t="inlineStr">
        <is>
          <t>01a152b9-6e67-75da-8adb-b03e5d07fd21</t>
        </is>
      </c>
      <c r="D1336" s="4" t="n">
        <v>46314.2459743625</v>
      </c>
      <c r="E1336" s="4" t="n">
        <v>46314.2459743626</v>
      </c>
      <c r="F1336" t="b">
        <v>1</v>
      </c>
      <c r="G1336" t="n">
        <v/>
      </c>
      <c r="H1336" t="inlineStr">
        <is>
          <t>AGC</t>
        </is>
      </c>
      <c r="I1336" t="inlineStr">
        <is>
          <t>Australian Gold and Copper Ltd</t>
        </is>
      </c>
      <c r="J1336" t="inlineStr">
        <is>
          <t>AUD</t>
        </is>
      </c>
      <c r="K1336" s="5" t="inlineStr">
        <is>
          <t>01a152b9-6ee2-7577-bddd-382bc3853fde</t>
        </is>
      </c>
      <c r="M1336" t="inlineStr">
        <is>
          <t>UNKNOWN</t>
        </is>
      </c>
      <c r="N1336" t="inlineStr">
        <is>
          <t>DEFAULT</t>
        </is>
      </c>
      <c r="Q1336" t="n">
        <v>0</v>
      </c>
      <c r="R1336" t="inlineStr">
        <is>
          <t>AUD</t>
        </is>
      </c>
      <c r="S1336" t="n">
        <v>0</v>
      </c>
      <c r="T1336" t="inlineStr">
        <is>
          <t>AUD</t>
        </is>
      </c>
      <c r="U1336" t="n">
        <v>0</v>
      </c>
    </row>
    <row r="1337">
      <c r="A1337" s="5" t="inlineStr">
        <is>
          <t>01a152b9-845d-7563-ae18-3bcca369633f</t>
        </is>
      </c>
      <c r="C1337" s="5" t="inlineStr">
        <is>
          <t>01a152b9-6e67-75da-8adb-b03e5d07fd21</t>
        </is>
      </c>
      <c r="D1337" s="4" t="n">
        <v>46314.24597441212</v>
      </c>
      <c r="E1337" s="4" t="n">
        <v>46314.24597441227</v>
      </c>
      <c r="F1337" t="b">
        <v>1</v>
      </c>
      <c r="G1337" t="n">
        <v/>
      </c>
      <c r="H1337" t="inlineStr">
        <is>
          <t>SRZ</t>
        </is>
      </c>
      <c r="I1337" t="inlineStr">
        <is>
          <t>Stellar Resources Ltd</t>
        </is>
      </c>
      <c r="J1337" t="inlineStr">
        <is>
          <t>AUD</t>
        </is>
      </c>
      <c r="K1337" s="5" t="inlineStr">
        <is>
          <t>01a152b9-6ee2-7577-bddd-382bc3853fde</t>
        </is>
      </c>
      <c r="M1337" t="inlineStr">
        <is>
          <t>UNKNOWN</t>
        </is>
      </c>
      <c r="N1337" t="inlineStr">
        <is>
          <t>DEFAULT</t>
        </is>
      </c>
      <c r="Q1337" t="n">
        <v>0</v>
      </c>
      <c r="R1337" t="inlineStr">
        <is>
          <t>AUD</t>
        </is>
      </c>
      <c r="S1337" t="n">
        <v>0</v>
      </c>
      <c r="T1337" t="inlineStr">
        <is>
          <t>AUD</t>
        </is>
      </c>
      <c r="U1337" t="n">
        <v>0</v>
      </c>
    </row>
    <row r="1338">
      <c r="A1338" s="5" t="inlineStr">
        <is>
          <t>01a152b9-8460-7161-9a77-c9f669a8a07a</t>
        </is>
      </c>
      <c r="C1338" s="5" t="inlineStr">
        <is>
          <t>01a152b9-6e67-75da-8adb-b03e5d07fd21</t>
        </is>
      </c>
      <c r="D1338" s="4" t="n">
        <v>46314.24597445668</v>
      </c>
      <c r="E1338" s="4" t="n">
        <v>46314.24597445678</v>
      </c>
      <c r="F1338" t="b">
        <v>1</v>
      </c>
      <c r="G1338" t="n">
        <v/>
      </c>
      <c r="H1338" t="inlineStr">
        <is>
          <t>PWN</t>
        </is>
      </c>
      <c r="I1338" t="inlineStr">
        <is>
          <t>Parkway Corporate Ltd</t>
        </is>
      </c>
      <c r="J1338" t="inlineStr">
        <is>
          <t>AUD</t>
        </is>
      </c>
      <c r="K1338" s="5" t="inlineStr">
        <is>
          <t>01a152b9-6ee2-7577-bddd-382bc3853fde</t>
        </is>
      </c>
      <c r="M1338" t="inlineStr">
        <is>
          <t>UNKNOWN</t>
        </is>
      </c>
      <c r="N1338" t="inlineStr">
        <is>
          <t>DEFAULT</t>
        </is>
      </c>
      <c r="Q1338" t="n">
        <v>0</v>
      </c>
      <c r="R1338" t="inlineStr">
        <is>
          <t>AUD</t>
        </is>
      </c>
      <c r="S1338" t="n">
        <v>0</v>
      </c>
      <c r="T1338" t="inlineStr">
        <is>
          <t>AUD</t>
        </is>
      </c>
      <c r="U1338" t="n">
        <v>0</v>
      </c>
    </row>
    <row r="1339">
      <c r="A1339" s="5" t="inlineStr">
        <is>
          <t>01a152b9-8465-7579-94b1-168cd002c57d</t>
        </is>
      </c>
      <c r="C1339" s="5" t="inlineStr">
        <is>
          <t>01a152b9-6e67-75da-8adb-b03e5d07fd21</t>
        </is>
      </c>
      <c r="D1339" s="4" t="n">
        <v>46314.24597450784</v>
      </c>
      <c r="E1339" s="4" t="n">
        <v>46314.245974508</v>
      </c>
      <c r="F1339" t="b">
        <v>1</v>
      </c>
      <c r="G1339" t="n">
        <v/>
      </c>
      <c r="H1339" t="inlineStr">
        <is>
          <t>TCF</t>
        </is>
      </c>
      <c r="I1339" t="inlineStr">
        <is>
          <t>360 Capital Mortgage REIT</t>
        </is>
      </c>
      <c r="J1339" t="inlineStr">
        <is>
          <t>AUD</t>
        </is>
      </c>
      <c r="K1339" s="5" t="inlineStr">
        <is>
          <t>01a152b9-6ee2-7577-bddd-382bc3853fde</t>
        </is>
      </c>
      <c r="M1339" t="inlineStr">
        <is>
          <t>UNKNOWN</t>
        </is>
      </c>
      <c r="N1339" t="inlineStr">
        <is>
          <t>DEFAULT</t>
        </is>
      </c>
      <c r="Q1339" t="n">
        <v>0</v>
      </c>
      <c r="R1339" t="inlineStr">
        <is>
          <t>AUD</t>
        </is>
      </c>
      <c r="S1339" t="n">
        <v>0</v>
      </c>
      <c r="T1339" t="inlineStr">
        <is>
          <t>AUD</t>
        </is>
      </c>
      <c r="U1339" t="n">
        <v>0</v>
      </c>
    </row>
    <row r="1340">
      <c r="A1340" s="5" t="inlineStr">
        <is>
          <t>01a152b9-8469-74b6-8565-43c77fdef68e</t>
        </is>
      </c>
      <c r="C1340" s="5" t="inlineStr">
        <is>
          <t>01a152b9-6e67-75da-8adb-b03e5d07fd21</t>
        </is>
      </c>
      <c r="D1340" s="4" t="n">
        <v>46314.24597455202</v>
      </c>
      <c r="E1340" s="4" t="n">
        <v>46314.24597455214</v>
      </c>
      <c r="F1340" t="b">
        <v>1</v>
      </c>
      <c r="G1340" t="n">
        <v/>
      </c>
      <c r="H1340" t="inlineStr">
        <is>
          <t>CFLO</t>
        </is>
      </c>
      <c r="I1340" t="inlineStr">
        <is>
          <t>Betashares Global Cash Flow Kings ETF</t>
        </is>
      </c>
      <c r="J1340" t="inlineStr">
        <is>
          <t>AUD</t>
        </is>
      </c>
      <c r="K1340" s="5" t="inlineStr">
        <is>
          <t>01a152b9-6ee2-7577-bddd-382bc3853fde</t>
        </is>
      </c>
      <c r="M1340" t="inlineStr">
        <is>
          <t>UNKNOWN</t>
        </is>
      </c>
      <c r="N1340" t="inlineStr">
        <is>
          <t>DEFAULT</t>
        </is>
      </c>
      <c r="Q1340" t="n">
        <v>0</v>
      </c>
      <c r="R1340" t="inlineStr">
        <is>
          <t>AUD</t>
        </is>
      </c>
      <c r="S1340" t="n">
        <v>0</v>
      </c>
      <c r="T1340" t="inlineStr">
        <is>
          <t>AUD</t>
        </is>
      </c>
      <c r="U1340" t="n">
        <v>0</v>
      </c>
    </row>
    <row r="1341">
      <c r="A1341" s="5" t="inlineStr">
        <is>
          <t>01a152b9-846d-74ea-a5cd-31aeec76f74b</t>
        </is>
      </c>
      <c r="C1341" s="5" t="inlineStr">
        <is>
          <t>01a152b9-6e67-75da-8adb-b03e5d07fd21</t>
        </is>
      </c>
      <c r="D1341" s="4" t="n">
        <v>46314.24597459869</v>
      </c>
      <c r="E1341" s="4" t="n">
        <v>46314.24597459882</v>
      </c>
      <c r="F1341" t="b">
        <v>1</v>
      </c>
      <c r="G1341" t="n">
        <v/>
      </c>
      <c r="H1341" t="inlineStr">
        <is>
          <t>MPA</t>
        </is>
      </c>
      <c r="I1341" t="inlineStr">
        <is>
          <t>Mad Paws Holdings Ltd</t>
        </is>
      </c>
      <c r="J1341" t="inlineStr">
        <is>
          <t>AUD</t>
        </is>
      </c>
      <c r="K1341" s="5" t="inlineStr">
        <is>
          <t>01a152b9-6ee2-7577-bddd-382bc3853fde</t>
        </is>
      </c>
      <c r="M1341" t="inlineStr">
        <is>
          <t>UNKNOWN</t>
        </is>
      </c>
      <c r="N1341" t="inlineStr">
        <is>
          <t>DEFAULT</t>
        </is>
      </c>
      <c r="Q1341" t="n">
        <v>0</v>
      </c>
      <c r="R1341" t="inlineStr">
        <is>
          <t>AUD</t>
        </is>
      </c>
      <c r="S1341" t="n">
        <v>0</v>
      </c>
      <c r="T1341" t="inlineStr">
        <is>
          <t>AUD</t>
        </is>
      </c>
      <c r="U1341" t="n">
        <v>0</v>
      </c>
    </row>
    <row r="1342">
      <c r="A1342" s="5" t="inlineStr">
        <is>
          <t>01a152b9-8471-761f-9717-df7a1cd76f11</t>
        </is>
      </c>
      <c r="C1342" s="5" t="inlineStr">
        <is>
          <t>01a152b9-6e67-75da-8adb-b03e5d07fd21</t>
        </is>
      </c>
      <c r="D1342" s="4" t="n">
        <v>46314.24597464666</v>
      </c>
      <c r="E1342" s="4" t="n">
        <v>46314.24597464678</v>
      </c>
      <c r="F1342" t="b">
        <v>1</v>
      </c>
      <c r="G1342" t="n">
        <v/>
      </c>
      <c r="H1342" t="inlineStr">
        <is>
          <t>TAM</t>
        </is>
      </c>
      <c r="I1342" t="inlineStr">
        <is>
          <t>Tanami Gold NL</t>
        </is>
      </c>
      <c r="J1342" t="inlineStr">
        <is>
          <t>AUD</t>
        </is>
      </c>
      <c r="K1342" s="5" t="inlineStr">
        <is>
          <t>01a152b9-6ee2-7577-bddd-382bc3853fde</t>
        </is>
      </c>
      <c r="M1342" t="inlineStr">
        <is>
          <t>UNKNOWN</t>
        </is>
      </c>
      <c r="N1342" t="inlineStr">
        <is>
          <t>DEFAULT</t>
        </is>
      </c>
      <c r="Q1342" t="n">
        <v>0</v>
      </c>
      <c r="R1342" t="inlineStr">
        <is>
          <t>AUD</t>
        </is>
      </c>
      <c r="S1342" t="n">
        <v>0</v>
      </c>
      <c r="T1342" t="inlineStr">
        <is>
          <t>AUD</t>
        </is>
      </c>
      <c r="U1342" t="n">
        <v>0</v>
      </c>
    </row>
    <row r="1343">
      <c r="A1343" s="5" t="inlineStr">
        <is>
          <t>01a152b9-8475-75c7-8490-c60131a017ee</t>
        </is>
      </c>
      <c r="C1343" s="5" t="inlineStr">
        <is>
          <t>01a152b9-6e67-75da-8adb-b03e5d07fd21</t>
        </is>
      </c>
      <c r="D1343" s="4" t="n">
        <v>46314.24597469447</v>
      </c>
      <c r="E1343" s="4" t="n">
        <v>46314.24597469463</v>
      </c>
      <c r="F1343" t="b">
        <v>1</v>
      </c>
      <c r="G1343" t="n">
        <v/>
      </c>
      <c r="H1343" t="inlineStr">
        <is>
          <t>GAP</t>
        </is>
      </c>
      <c r="I1343" t="inlineStr">
        <is>
          <t>Gale Pacific Ltd</t>
        </is>
      </c>
      <c r="J1343" t="inlineStr">
        <is>
          <t>AUD</t>
        </is>
      </c>
      <c r="K1343" s="5" t="inlineStr">
        <is>
          <t>01a152b9-6ee2-7577-bddd-382bc3853fde</t>
        </is>
      </c>
      <c r="M1343" t="inlineStr">
        <is>
          <t>UNKNOWN</t>
        </is>
      </c>
      <c r="N1343" t="inlineStr">
        <is>
          <t>DEFAULT</t>
        </is>
      </c>
      <c r="Q1343" t="n">
        <v>0</v>
      </c>
      <c r="R1343" t="inlineStr">
        <is>
          <t>AUD</t>
        </is>
      </c>
      <c r="S1343" t="n">
        <v>0</v>
      </c>
      <c r="T1343" t="inlineStr">
        <is>
          <t>AUD</t>
        </is>
      </c>
      <c r="U1343" t="n">
        <v>0</v>
      </c>
    </row>
    <row r="1344">
      <c r="A1344" s="5" t="inlineStr">
        <is>
          <t>01a152b9-847a-7114-8c72-2f3a6ef4fc85</t>
        </is>
      </c>
      <c r="C1344" s="5" t="inlineStr">
        <is>
          <t>01a152b9-6e67-75da-8adb-b03e5d07fd21</t>
        </is>
      </c>
      <c r="D1344" s="4" t="n">
        <v>46314.24597474794</v>
      </c>
      <c r="E1344" s="4" t="n">
        <v>46314.24597474811</v>
      </c>
      <c r="F1344" t="b">
        <v>1</v>
      </c>
      <c r="G1344" t="n">
        <v/>
      </c>
      <c r="H1344" t="inlineStr">
        <is>
          <t>EIGA</t>
        </is>
      </c>
      <c r="I1344" t="inlineStr">
        <is>
          <t>Perennial Income Generator Fund (Managed Fund)</t>
        </is>
      </c>
      <c r="J1344" t="inlineStr">
        <is>
          <t>AUD</t>
        </is>
      </c>
      <c r="K1344" s="5" t="inlineStr">
        <is>
          <t>01a152b9-6ee2-7577-bddd-382bc3853fde</t>
        </is>
      </c>
      <c r="M1344" t="inlineStr">
        <is>
          <t>UNKNOWN</t>
        </is>
      </c>
      <c r="N1344" t="inlineStr">
        <is>
          <t>DEFAULT</t>
        </is>
      </c>
      <c r="Q1344" t="n">
        <v>0</v>
      </c>
      <c r="R1344" t="inlineStr">
        <is>
          <t>AUD</t>
        </is>
      </c>
      <c r="S1344" t="n">
        <v>0</v>
      </c>
      <c r="T1344" t="inlineStr">
        <is>
          <t>AUD</t>
        </is>
      </c>
      <c r="U1344" t="n">
        <v>0</v>
      </c>
    </row>
    <row r="1345">
      <c r="A1345" s="5" t="inlineStr">
        <is>
          <t>01a152b9-847e-72d1-a3a6-124abd8f23bc</t>
        </is>
      </c>
      <c r="C1345" s="5" t="inlineStr">
        <is>
          <t>01a152b9-6e67-75da-8adb-b03e5d07fd21</t>
        </is>
      </c>
      <c r="D1345" s="4" t="n">
        <v>46314.24597480175</v>
      </c>
      <c r="E1345" s="4" t="n">
        <v>46314.24597480193</v>
      </c>
      <c r="F1345" t="b">
        <v>1</v>
      </c>
      <c r="G1345" t="n">
        <v/>
      </c>
      <c r="H1345" t="inlineStr">
        <is>
          <t>GAL</t>
        </is>
      </c>
      <c r="I1345" t="inlineStr">
        <is>
          <t>Galileo Mining Ltd</t>
        </is>
      </c>
      <c r="J1345" t="inlineStr">
        <is>
          <t>AUD</t>
        </is>
      </c>
      <c r="K1345" s="5" t="inlineStr">
        <is>
          <t>01a152b9-6ee2-7577-bddd-382bc3853fde</t>
        </is>
      </c>
      <c r="M1345" t="inlineStr">
        <is>
          <t>UNKNOWN</t>
        </is>
      </c>
      <c r="N1345" t="inlineStr">
        <is>
          <t>DEFAULT</t>
        </is>
      </c>
      <c r="Q1345" t="n">
        <v>0</v>
      </c>
      <c r="R1345" t="inlineStr">
        <is>
          <t>AUD</t>
        </is>
      </c>
      <c r="S1345" t="n">
        <v>0</v>
      </c>
      <c r="T1345" t="inlineStr">
        <is>
          <t>AUD</t>
        </is>
      </c>
      <c r="U1345" t="n">
        <v>0</v>
      </c>
    </row>
    <row r="1346">
      <c r="A1346" s="5" t="inlineStr">
        <is>
          <t>01a152b9-8483-748f-881b-f3b98169e5f8</t>
        </is>
      </c>
      <c r="C1346" s="5" t="inlineStr">
        <is>
          <t>01a152b9-6e67-75da-8adb-b03e5d07fd21</t>
        </is>
      </c>
      <c r="D1346" s="4" t="n">
        <v>46314.24597485297</v>
      </c>
      <c r="E1346" s="4" t="n">
        <v>46314.24597485316</v>
      </c>
      <c r="F1346" t="b">
        <v>1</v>
      </c>
      <c r="G1346" t="n">
        <v/>
      </c>
      <c r="H1346" t="inlineStr">
        <is>
          <t>ENL</t>
        </is>
      </c>
      <c r="I1346" t="inlineStr">
        <is>
          <t>Enlitic Inc</t>
        </is>
      </c>
      <c r="J1346" t="inlineStr">
        <is>
          <t>AUD</t>
        </is>
      </c>
      <c r="K1346" s="5" t="inlineStr">
        <is>
          <t>01a152b9-6ee2-7577-bddd-382bc3853fde</t>
        </is>
      </c>
      <c r="M1346" t="inlineStr">
        <is>
          <t>UNKNOWN</t>
        </is>
      </c>
      <c r="N1346" t="inlineStr">
        <is>
          <t>DEFAULT</t>
        </is>
      </c>
      <c r="Q1346" t="n">
        <v>0</v>
      </c>
      <c r="R1346" t="inlineStr">
        <is>
          <t>AUD</t>
        </is>
      </c>
      <c r="S1346" t="n">
        <v>0</v>
      </c>
      <c r="T1346" t="inlineStr">
        <is>
          <t>AUD</t>
        </is>
      </c>
      <c r="U1346" t="n">
        <v>0</v>
      </c>
    </row>
    <row r="1347">
      <c r="A1347" s="5" t="inlineStr">
        <is>
          <t>01a152b9-8488-725f-bfd5-287555274d1b</t>
        </is>
      </c>
      <c r="C1347" s="5" t="inlineStr">
        <is>
          <t>01a152b9-6e67-75da-8adb-b03e5d07fd21</t>
        </is>
      </c>
      <c r="D1347" s="4" t="n">
        <v>46314.24597491106</v>
      </c>
      <c r="E1347" s="4" t="n">
        <v>46314.24597491125</v>
      </c>
      <c r="F1347" t="b">
        <v>1</v>
      </c>
      <c r="G1347" t="n">
        <v/>
      </c>
      <c r="H1347" t="inlineStr">
        <is>
          <t>AII</t>
        </is>
      </c>
      <c r="I1347" t="inlineStr">
        <is>
          <t>Almonty Industries Inc</t>
        </is>
      </c>
      <c r="J1347" t="inlineStr">
        <is>
          <t>AUD</t>
        </is>
      </c>
      <c r="K1347" s="5" t="inlineStr">
        <is>
          <t>01a152b9-6ee2-7577-bddd-382bc3853fde</t>
        </is>
      </c>
      <c r="M1347" t="inlineStr">
        <is>
          <t>UNKNOWN</t>
        </is>
      </c>
      <c r="N1347" t="inlineStr">
        <is>
          <t>DEFAULT</t>
        </is>
      </c>
      <c r="Q1347" t="n">
        <v>0</v>
      </c>
      <c r="R1347" t="inlineStr">
        <is>
          <t>AUD</t>
        </is>
      </c>
      <c r="S1347" t="n">
        <v>0</v>
      </c>
      <c r="T1347" t="inlineStr">
        <is>
          <t>AUD</t>
        </is>
      </c>
      <c r="U1347" t="n">
        <v>0</v>
      </c>
    </row>
    <row r="1348">
      <c r="A1348" s="5" t="inlineStr">
        <is>
          <t>01a152b9-848c-74b9-a304-42f3c0e5ccb0</t>
        </is>
      </c>
      <c r="C1348" s="5" t="inlineStr">
        <is>
          <t>01a152b9-6e67-75da-8adb-b03e5d07fd21</t>
        </is>
      </c>
      <c r="D1348" s="4" t="n">
        <v>46314.24597496421</v>
      </c>
      <c r="E1348" s="4" t="n">
        <v>46314.24597496442</v>
      </c>
      <c r="F1348" t="b">
        <v>1</v>
      </c>
      <c r="G1348" t="n">
        <v/>
      </c>
      <c r="H1348" t="inlineStr">
        <is>
          <t>MFD</t>
        </is>
      </c>
      <c r="I1348" t="inlineStr">
        <is>
          <t>Mayfield Childcare Ltd</t>
        </is>
      </c>
      <c r="J1348" t="inlineStr">
        <is>
          <t>AUD</t>
        </is>
      </c>
      <c r="K1348" s="5" t="inlineStr">
        <is>
          <t>01a152b9-6ee2-7577-bddd-382bc3853fde</t>
        </is>
      </c>
      <c r="M1348" t="inlineStr">
        <is>
          <t>UNKNOWN</t>
        </is>
      </c>
      <c r="N1348" t="inlineStr">
        <is>
          <t>DEFAULT</t>
        </is>
      </c>
      <c r="Q1348" t="n">
        <v>0</v>
      </c>
      <c r="R1348" t="inlineStr">
        <is>
          <t>AUD</t>
        </is>
      </c>
      <c r="S1348" t="n">
        <v>0</v>
      </c>
      <c r="T1348" t="inlineStr">
        <is>
          <t>AUD</t>
        </is>
      </c>
      <c r="U1348" t="n">
        <v>0</v>
      </c>
    </row>
    <row r="1349">
      <c r="A1349" s="5" t="inlineStr">
        <is>
          <t>01a152b9-8491-72c0-8d66-bde738b39ea7</t>
        </is>
      </c>
      <c r="C1349" s="5" t="inlineStr">
        <is>
          <t>01a152b9-6e67-75da-8adb-b03e5d07fd21</t>
        </is>
      </c>
      <c r="D1349" s="4" t="n">
        <v>46314.2459750144</v>
      </c>
      <c r="E1349" s="4" t="n">
        <v>46314.24597501456</v>
      </c>
      <c r="F1349" t="b">
        <v>1</v>
      </c>
      <c r="G1349" t="n">
        <v/>
      </c>
      <c r="H1349" t="inlineStr">
        <is>
          <t>DBBF</t>
        </is>
      </c>
      <c r="I1349" t="inlineStr">
        <is>
          <t>Betashares Ethical Diversified Balanced ETF</t>
        </is>
      </c>
      <c r="J1349" t="inlineStr">
        <is>
          <t>AUD</t>
        </is>
      </c>
      <c r="K1349" s="5" t="inlineStr">
        <is>
          <t>01a152b9-6ee2-7577-bddd-382bc3853fde</t>
        </is>
      </c>
      <c r="M1349" t="inlineStr">
        <is>
          <t>UNKNOWN</t>
        </is>
      </c>
      <c r="N1349" t="inlineStr">
        <is>
          <t>DEFAULT</t>
        </is>
      </c>
      <c r="Q1349" t="n">
        <v>0</v>
      </c>
      <c r="R1349" t="inlineStr">
        <is>
          <t>AUD</t>
        </is>
      </c>
      <c r="S1349" t="n">
        <v>0</v>
      </c>
      <c r="T1349" t="inlineStr">
        <is>
          <t>AUD</t>
        </is>
      </c>
      <c r="U1349" t="n">
        <v>0</v>
      </c>
    </row>
    <row r="1350">
      <c r="A1350" s="5" t="inlineStr">
        <is>
          <t>01a152b9-8495-7204-af5b-de5eab1de894</t>
        </is>
      </c>
      <c r="C1350" s="5" t="inlineStr">
        <is>
          <t>01a152b9-6e67-75da-8adb-b03e5d07fd21</t>
        </is>
      </c>
      <c r="D1350" s="4" t="n">
        <v>46314.24597506741</v>
      </c>
      <c r="E1350" s="4" t="n">
        <v>46314.24597506753</v>
      </c>
      <c r="F1350" t="b">
        <v>1</v>
      </c>
      <c r="G1350" t="n">
        <v/>
      </c>
      <c r="H1350" t="inlineStr">
        <is>
          <t>GTI</t>
        </is>
      </c>
      <c r="I1350" t="inlineStr">
        <is>
          <t>Gratifii Ltd</t>
        </is>
      </c>
      <c r="J1350" t="inlineStr">
        <is>
          <t>AUD</t>
        </is>
      </c>
      <c r="K1350" s="5" t="inlineStr">
        <is>
          <t>01a152b9-6ee2-7577-bddd-382bc3853fde</t>
        </is>
      </c>
      <c r="M1350" t="inlineStr">
        <is>
          <t>UNKNOWN</t>
        </is>
      </c>
      <c r="N1350" t="inlineStr">
        <is>
          <t>DEFAULT</t>
        </is>
      </c>
      <c r="Q1350" t="n">
        <v>0</v>
      </c>
      <c r="R1350" t="inlineStr">
        <is>
          <t>AUD</t>
        </is>
      </c>
      <c r="S1350" t="n">
        <v>0</v>
      </c>
      <c r="T1350" t="inlineStr">
        <is>
          <t>AUD</t>
        </is>
      </c>
      <c r="U1350" t="n">
        <v>0</v>
      </c>
    </row>
    <row r="1351">
      <c r="A1351" s="5" t="inlineStr">
        <is>
          <t>01a152b9-8499-7683-abaf-2ec2f5f962a1</t>
        </is>
      </c>
      <c r="C1351" s="5" t="inlineStr">
        <is>
          <t>01a152b9-6e67-75da-8adb-b03e5d07fd21</t>
        </is>
      </c>
      <c r="D1351" s="4" t="n">
        <v>46314.24597511395</v>
      </c>
      <c r="E1351" s="4" t="n">
        <v>46314.2459751141</v>
      </c>
      <c r="F1351" t="b">
        <v>1</v>
      </c>
      <c r="G1351" t="n">
        <v/>
      </c>
      <c r="H1351" t="inlineStr">
        <is>
          <t>AUST</t>
        </is>
      </c>
      <c r="I1351" t="inlineStr">
        <is>
          <t>Betashares Managed Risk AUS SH Fund (Managed Fund)</t>
        </is>
      </c>
      <c r="J1351" t="inlineStr">
        <is>
          <t>AUD</t>
        </is>
      </c>
      <c r="K1351" s="5" t="inlineStr">
        <is>
          <t>01a152b9-6ee2-7577-bddd-382bc3853fde</t>
        </is>
      </c>
      <c r="M1351" t="inlineStr">
        <is>
          <t>UNKNOWN</t>
        </is>
      </c>
      <c r="N1351" t="inlineStr">
        <is>
          <t>DEFAULT</t>
        </is>
      </c>
      <c r="Q1351" t="n">
        <v>0</v>
      </c>
      <c r="R1351" t="inlineStr">
        <is>
          <t>AUD</t>
        </is>
      </c>
      <c r="S1351" t="n">
        <v>0</v>
      </c>
      <c r="T1351" t="inlineStr">
        <is>
          <t>AUD</t>
        </is>
      </c>
      <c r="U1351" t="n">
        <v>0</v>
      </c>
    </row>
    <row r="1352">
      <c r="A1352" s="5" t="inlineStr">
        <is>
          <t>01a152b9-849e-76da-8fe5-471b8a275b13</t>
        </is>
      </c>
      <c r="C1352" s="5" t="inlineStr">
        <is>
          <t>01a152b9-6e67-75da-8adb-b03e5d07fd21</t>
        </is>
      </c>
      <c r="D1352" s="4" t="n">
        <v>46314.24597516481</v>
      </c>
      <c r="E1352" s="4" t="n">
        <v>46314.24597516495</v>
      </c>
      <c r="F1352" t="b">
        <v>1</v>
      </c>
      <c r="G1352" t="n">
        <v/>
      </c>
      <c r="H1352" t="inlineStr">
        <is>
          <t>I88</t>
        </is>
      </c>
      <c r="I1352" t="inlineStr">
        <is>
          <t>Infini Resources Ltd</t>
        </is>
      </c>
      <c r="J1352" t="inlineStr">
        <is>
          <t>AUD</t>
        </is>
      </c>
      <c r="K1352" s="5" t="inlineStr">
        <is>
          <t>01a152b9-6ee2-7577-bddd-382bc3853fde</t>
        </is>
      </c>
      <c r="M1352" t="inlineStr">
        <is>
          <t>UNKNOWN</t>
        </is>
      </c>
      <c r="N1352" t="inlineStr">
        <is>
          <t>DEFAULT</t>
        </is>
      </c>
      <c r="Q1352" t="n">
        <v>0</v>
      </c>
      <c r="R1352" t="inlineStr">
        <is>
          <t>AUD</t>
        </is>
      </c>
      <c r="S1352" t="n">
        <v>0</v>
      </c>
      <c r="T1352" t="inlineStr">
        <is>
          <t>AUD</t>
        </is>
      </c>
      <c r="U1352" t="n">
        <v>0</v>
      </c>
    </row>
    <row r="1353">
      <c r="A1353" s="5" t="inlineStr">
        <is>
          <t>01a152b9-84a2-7357-8c9a-551ee0cb8021</t>
        </is>
      </c>
      <c r="C1353" s="5" t="inlineStr">
        <is>
          <t>01a152b9-6e67-75da-8adb-b03e5d07fd21</t>
        </is>
      </c>
      <c r="D1353" s="4" t="n">
        <v>46314.24597521612</v>
      </c>
      <c r="E1353" s="4" t="n">
        <v>46314.24597521626</v>
      </c>
      <c r="F1353" t="b">
        <v>1</v>
      </c>
      <c r="G1353" t="n">
        <v/>
      </c>
      <c r="H1353" t="inlineStr">
        <is>
          <t>DEM</t>
        </is>
      </c>
      <c r="I1353" t="inlineStr">
        <is>
          <t>De.Mem Ltd</t>
        </is>
      </c>
      <c r="J1353" t="inlineStr">
        <is>
          <t>AUD</t>
        </is>
      </c>
      <c r="K1353" s="5" t="inlineStr">
        <is>
          <t>01a152b9-6ee2-7577-bddd-382bc3853fde</t>
        </is>
      </c>
      <c r="M1353" t="inlineStr">
        <is>
          <t>UNKNOWN</t>
        </is>
      </c>
      <c r="N1353" t="inlineStr">
        <is>
          <t>DEFAULT</t>
        </is>
      </c>
      <c r="Q1353" t="n">
        <v>0</v>
      </c>
      <c r="R1353" t="inlineStr">
        <is>
          <t>AUD</t>
        </is>
      </c>
      <c r="S1353" t="n">
        <v>0</v>
      </c>
      <c r="T1353" t="inlineStr">
        <is>
          <t>AUD</t>
        </is>
      </c>
      <c r="U1353" t="n">
        <v>0</v>
      </c>
    </row>
    <row r="1354">
      <c r="A1354" s="5" t="inlineStr">
        <is>
          <t>01a152b9-84a6-74c8-8125-8ac67d809bcb</t>
        </is>
      </c>
      <c r="C1354" s="5" t="inlineStr">
        <is>
          <t>01a152b9-6e67-75da-8adb-b03e5d07fd21</t>
        </is>
      </c>
      <c r="D1354" s="4" t="n">
        <v>46314.24597526396</v>
      </c>
      <c r="E1354" s="4" t="n">
        <v>46314.24597526407</v>
      </c>
      <c r="F1354" t="b">
        <v>1</v>
      </c>
      <c r="G1354" t="n">
        <v/>
      </c>
      <c r="H1354" t="inlineStr">
        <is>
          <t>SGQ</t>
        </is>
      </c>
      <c r="I1354" t="inlineStr">
        <is>
          <t>ST George Mining Ltd</t>
        </is>
      </c>
      <c r="J1354" t="inlineStr">
        <is>
          <t>AUD</t>
        </is>
      </c>
      <c r="K1354" s="5" t="inlineStr">
        <is>
          <t>01a152b9-6ee2-7577-bddd-382bc3853fde</t>
        </is>
      </c>
      <c r="M1354" t="inlineStr">
        <is>
          <t>UNKNOWN</t>
        </is>
      </c>
      <c r="N1354" t="inlineStr">
        <is>
          <t>DEFAULT</t>
        </is>
      </c>
      <c r="Q1354" t="n">
        <v>0</v>
      </c>
      <c r="R1354" t="inlineStr">
        <is>
          <t>AUD</t>
        </is>
      </c>
      <c r="S1354" t="n">
        <v>0</v>
      </c>
      <c r="T1354" t="inlineStr">
        <is>
          <t>AUD</t>
        </is>
      </c>
      <c r="U1354" t="n">
        <v>0</v>
      </c>
    </row>
    <row r="1355">
      <c r="A1355" s="5" t="inlineStr">
        <is>
          <t>01a152b9-84ab-7278-85bc-8d09347e538d</t>
        </is>
      </c>
      <c r="C1355" s="5" t="inlineStr">
        <is>
          <t>01a152b9-6e67-75da-8adb-b03e5d07fd21</t>
        </is>
      </c>
      <c r="D1355" s="4" t="n">
        <v>46314.24597531647</v>
      </c>
      <c r="E1355" s="4" t="n">
        <v>46314.24597531661</v>
      </c>
      <c r="F1355" t="b">
        <v>1</v>
      </c>
      <c r="G1355" t="n">
        <v/>
      </c>
      <c r="H1355" t="inlineStr">
        <is>
          <t>AVA</t>
        </is>
      </c>
      <c r="I1355" t="inlineStr">
        <is>
          <t>AVA Risk Group Ltd</t>
        </is>
      </c>
      <c r="J1355" t="inlineStr">
        <is>
          <t>AUD</t>
        </is>
      </c>
      <c r="K1355" s="5" t="inlineStr">
        <is>
          <t>01a152b9-6ee2-7577-bddd-382bc3853fde</t>
        </is>
      </c>
      <c r="M1355" t="inlineStr">
        <is>
          <t>UNKNOWN</t>
        </is>
      </c>
      <c r="N1355" t="inlineStr">
        <is>
          <t>DEFAULT</t>
        </is>
      </c>
      <c r="Q1355" t="n">
        <v>0</v>
      </c>
      <c r="R1355" t="inlineStr">
        <is>
          <t>AUD</t>
        </is>
      </c>
      <c r="S1355" t="n">
        <v>0</v>
      </c>
      <c r="T1355" t="inlineStr">
        <is>
          <t>AUD</t>
        </is>
      </c>
      <c r="U1355" t="n">
        <v>0</v>
      </c>
    </row>
    <row r="1356">
      <c r="A1356" s="5" t="inlineStr">
        <is>
          <t>01a152b9-84af-774a-b5f9-64da0ad5136f</t>
        </is>
      </c>
      <c r="C1356" s="5" t="inlineStr">
        <is>
          <t>01a152b9-6e67-75da-8adb-b03e5d07fd21</t>
        </is>
      </c>
      <c r="D1356" s="4" t="n">
        <v>46314.24597536867</v>
      </c>
      <c r="E1356" s="4" t="n">
        <v>46314.24597536879</v>
      </c>
      <c r="F1356" t="b">
        <v>1</v>
      </c>
      <c r="G1356" t="n">
        <v/>
      </c>
      <c r="H1356" t="inlineStr">
        <is>
          <t>AUN</t>
        </is>
      </c>
      <c r="I1356" t="inlineStr">
        <is>
          <t>Aurumin Ltd</t>
        </is>
      </c>
      <c r="J1356" t="inlineStr">
        <is>
          <t>AUD</t>
        </is>
      </c>
      <c r="K1356" s="5" t="inlineStr">
        <is>
          <t>01a152b9-6ee2-7577-bddd-382bc3853fde</t>
        </is>
      </c>
      <c r="M1356" t="inlineStr">
        <is>
          <t>UNKNOWN</t>
        </is>
      </c>
      <c r="N1356" t="inlineStr">
        <is>
          <t>DEFAULT</t>
        </is>
      </c>
      <c r="Q1356" t="n">
        <v>0</v>
      </c>
      <c r="R1356" t="inlineStr">
        <is>
          <t>AUD</t>
        </is>
      </c>
      <c r="S1356" t="n">
        <v>0</v>
      </c>
      <c r="T1356" t="inlineStr">
        <is>
          <t>AUD</t>
        </is>
      </c>
      <c r="U1356" t="n">
        <v>0</v>
      </c>
    </row>
    <row r="1357">
      <c r="A1357" s="5" t="inlineStr">
        <is>
          <t>01a152b9-84b3-76e1-a0b3-603b7fb112f5</t>
        </is>
      </c>
      <c r="C1357" s="5" t="inlineStr">
        <is>
          <t>01a152b9-6e67-75da-8adb-b03e5d07fd21</t>
        </is>
      </c>
      <c r="D1357" s="4" t="n">
        <v>46314.24597541131</v>
      </c>
      <c r="E1357" s="4" t="n">
        <v>46314.24597541141</v>
      </c>
      <c r="F1357" t="b">
        <v>1</v>
      </c>
      <c r="G1357" t="n">
        <v/>
      </c>
      <c r="H1357" t="inlineStr">
        <is>
          <t>FRM</t>
        </is>
      </c>
      <c r="I1357" t="inlineStr">
        <is>
          <t>Farm Pride Foods Ltd</t>
        </is>
      </c>
      <c r="J1357" t="inlineStr">
        <is>
          <t>AUD</t>
        </is>
      </c>
      <c r="K1357" s="5" t="inlineStr">
        <is>
          <t>01a152b9-6ee2-7577-bddd-382bc3853fde</t>
        </is>
      </c>
      <c r="M1357" t="inlineStr">
        <is>
          <t>UNKNOWN</t>
        </is>
      </c>
      <c r="N1357" t="inlineStr">
        <is>
          <t>DEFAULT</t>
        </is>
      </c>
      <c r="Q1357" t="n">
        <v>0</v>
      </c>
      <c r="R1357" t="inlineStr">
        <is>
          <t>AUD</t>
        </is>
      </c>
      <c r="S1357" t="n">
        <v>0</v>
      </c>
      <c r="T1357" t="inlineStr">
        <is>
          <t>AUD</t>
        </is>
      </c>
      <c r="U1357" t="n">
        <v>0</v>
      </c>
    </row>
    <row r="1358">
      <c r="A1358" s="5" t="inlineStr">
        <is>
          <t>01a152b9-84b6-7257-9c46-1eb90592229e</t>
        </is>
      </c>
      <c r="C1358" s="5" t="inlineStr">
        <is>
          <t>01a152b9-6e67-75da-8adb-b03e5d07fd21</t>
        </is>
      </c>
      <c r="D1358" s="4" t="n">
        <v>46314.24597544954</v>
      </c>
      <c r="E1358" s="4" t="n">
        <v>46314.24597544964</v>
      </c>
      <c r="F1358" t="b">
        <v>1</v>
      </c>
      <c r="G1358" t="n">
        <v/>
      </c>
      <c r="H1358" t="inlineStr">
        <is>
          <t>ATX</t>
        </is>
      </c>
      <c r="I1358" t="inlineStr">
        <is>
          <t>Amplia Therapeutics Ltd</t>
        </is>
      </c>
      <c r="J1358" t="inlineStr">
        <is>
          <t>AUD</t>
        </is>
      </c>
      <c r="K1358" s="5" t="inlineStr">
        <is>
          <t>01a152b9-6ee2-7577-bddd-382bc3853fde</t>
        </is>
      </c>
      <c r="M1358" t="inlineStr">
        <is>
          <t>UNKNOWN</t>
        </is>
      </c>
      <c r="N1358" t="inlineStr">
        <is>
          <t>DEFAULT</t>
        </is>
      </c>
      <c r="Q1358" t="n">
        <v>0</v>
      </c>
      <c r="R1358" t="inlineStr">
        <is>
          <t>AUD</t>
        </is>
      </c>
      <c r="S1358" t="n">
        <v>0</v>
      </c>
      <c r="T1358" t="inlineStr">
        <is>
          <t>AUD</t>
        </is>
      </c>
      <c r="U1358" t="n">
        <v>0</v>
      </c>
    </row>
    <row r="1359">
      <c r="A1359" s="5" t="inlineStr">
        <is>
          <t>01a152b9-84ba-75f6-90ce-7ee5b5cca8af</t>
        </is>
      </c>
      <c r="C1359" s="5" t="inlineStr">
        <is>
          <t>01a152b9-6e67-75da-8adb-b03e5d07fd21</t>
        </is>
      </c>
      <c r="D1359" s="4" t="n">
        <v>46314.24597548944</v>
      </c>
      <c r="E1359" s="4" t="n">
        <v>46314.24597548955</v>
      </c>
      <c r="F1359" t="b">
        <v>1</v>
      </c>
      <c r="G1359" t="n">
        <v/>
      </c>
      <c r="H1359" t="inlineStr">
        <is>
          <t>A3D</t>
        </is>
      </c>
      <c r="I1359" t="inlineStr">
        <is>
          <t>Aurora Labs Ltd</t>
        </is>
      </c>
      <c r="J1359" t="inlineStr">
        <is>
          <t>AUD</t>
        </is>
      </c>
      <c r="K1359" s="5" t="inlineStr">
        <is>
          <t>01a152b9-6ee2-7577-bddd-382bc3853fde</t>
        </is>
      </c>
      <c r="M1359" t="inlineStr">
        <is>
          <t>UNKNOWN</t>
        </is>
      </c>
      <c r="N1359" t="inlineStr">
        <is>
          <t>DEFAULT</t>
        </is>
      </c>
      <c r="Q1359" t="n">
        <v>0</v>
      </c>
      <c r="R1359" t="inlineStr">
        <is>
          <t>AUD</t>
        </is>
      </c>
      <c r="S1359" t="n">
        <v>0</v>
      </c>
      <c r="T1359" t="inlineStr">
        <is>
          <t>AUD</t>
        </is>
      </c>
      <c r="U1359" t="n">
        <v>0</v>
      </c>
    </row>
    <row r="1360">
      <c r="A1360" s="5" t="inlineStr">
        <is>
          <t>01a152b9-84be-71d3-a7c8-e773b7fcf4d8</t>
        </is>
      </c>
      <c r="C1360" s="5" t="inlineStr">
        <is>
          <t>01a152b9-6e67-75da-8adb-b03e5d07fd21</t>
        </is>
      </c>
      <c r="D1360" s="4" t="n">
        <v>46314.24597553692</v>
      </c>
      <c r="E1360" s="4" t="n">
        <v>46314.24597553731</v>
      </c>
      <c r="F1360" t="b">
        <v>1</v>
      </c>
      <c r="G1360" t="n">
        <v/>
      </c>
      <c r="H1360" t="inlineStr">
        <is>
          <t>SNS</t>
        </is>
      </c>
      <c r="I1360" t="inlineStr">
        <is>
          <t>Sensen Networks Ltd</t>
        </is>
      </c>
      <c r="J1360" t="inlineStr">
        <is>
          <t>AUD</t>
        </is>
      </c>
      <c r="K1360" s="5" t="inlineStr">
        <is>
          <t>01a152b9-6ee2-7577-bddd-382bc3853fde</t>
        </is>
      </c>
      <c r="M1360" t="inlineStr">
        <is>
          <t>UNKNOWN</t>
        </is>
      </c>
      <c r="N1360" t="inlineStr">
        <is>
          <t>DEFAULT</t>
        </is>
      </c>
      <c r="Q1360" t="n">
        <v>0</v>
      </c>
      <c r="R1360" t="inlineStr">
        <is>
          <t>AUD</t>
        </is>
      </c>
      <c r="S1360" t="n">
        <v>0</v>
      </c>
      <c r="T1360" t="inlineStr">
        <is>
          <t>AUD</t>
        </is>
      </c>
      <c r="U1360" t="n">
        <v>0</v>
      </c>
    </row>
    <row r="1361">
      <c r="A1361" s="5" t="inlineStr">
        <is>
          <t>01a152b9-84c1-77f4-b1df-2b2f00c3d55b</t>
        </is>
      </c>
      <c r="C1361" s="5" t="inlineStr">
        <is>
          <t>01a152b9-6e67-75da-8adb-b03e5d07fd21</t>
        </is>
      </c>
      <c r="D1361" s="4" t="n">
        <v>46314.2459755769</v>
      </c>
      <c r="E1361" s="4" t="n">
        <v>46314.245975577</v>
      </c>
      <c r="F1361" t="b">
        <v>1</v>
      </c>
      <c r="G1361" t="n">
        <v/>
      </c>
      <c r="H1361" t="inlineStr">
        <is>
          <t>VMM</t>
        </is>
      </c>
      <c r="I1361" t="inlineStr">
        <is>
          <t>Viridis Mining and Minerals Ltd</t>
        </is>
      </c>
      <c r="J1361" t="inlineStr">
        <is>
          <t>AUD</t>
        </is>
      </c>
      <c r="K1361" s="5" t="inlineStr">
        <is>
          <t>01a152b9-6ee2-7577-bddd-382bc3853fde</t>
        </is>
      </c>
      <c r="M1361" t="inlineStr">
        <is>
          <t>UNKNOWN</t>
        </is>
      </c>
      <c r="N1361" t="inlineStr">
        <is>
          <t>DEFAULT</t>
        </is>
      </c>
      <c r="Q1361" t="n">
        <v>0</v>
      </c>
      <c r="R1361" t="inlineStr">
        <is>
          <t>AUD</t>
        </is>
      </c>
      <c r="S1361" t="n">
        <v>0</v>
      </c>
      <c r="T1361" t="inlineStr">
        <is>
          <t>AUD</t>
        </is>
      </c>
      <c r="U1361" t="n">
        <v>0</v>
      </c>
    </row>
    <row r="1362">
      <c r="A1362" s="5" t="inlineStr">
        <is>
          <t>01a152b9-84c5-7416-87f4-5482a823b81e</t>
        </is>
      </c>
      <c r="C1362" s="5" t="inlineStr">
        <is>
          <t>01a152b9-6e67-75da-8adb-b03e5d07fd21</t>
        </is>
      </c>
      <c r="D1362" s="4" t="n">
        <v>46314.24597562038</v>
      </c>
      <c r="E1362" s="4" t="n">
        <v>46314.24597562048</v>
      </c>
      <c r="F1362" t="b">
        <v>1</v>
      </c>
      <c r="G1362" t="n">
        <v/>
      </c>
      <c r="H1362" t="inlineStr">
        <is>
          <t>LDX</t>
        </is>
      </c>
      <c r="I1362" t="inlineStr">
        <is>
          <t>Lumos Diagnostics Holdings Ltd</t>
        </is>
      </c>
      <c r="J1362" t="inlineStr">
        <is>
          <t>AUD</t>
        </is>
      </c>
      <c r="K1362" s="5" t="inlineStr">
        <is>
          <t>01a152b9-6ee2-7577-bddd-382bc3853fde</t>
        </is>
      </c>
      <c r="M1362" t="inlineStr">
        <is>
          <t>UNKNOWN</t>
        </is>
      </c>
      <c r="N1362" t="inlineStr">
        <is>
          <t>DEFAULT</t>
        </is>
      </c>
      <c r="Q1362" t="n">
        <v>0</v>
      </c>
      <c r="R1362" t="inlineStr">
        <is>
          <t>AUD</t>
        </is>
      </c>
      <c r="S1362" t="n">
        <v>0</v>
      </c>
      <c r="T1362" t="inlineStr">
        <is>
          <t>AUD</t>
        </is>
      </c>
      <c r="U1362" t="n">
        <v>0</v>
      </c>
    </row>
    <row r="1363">
      <c r="A1363" s="5" t="inlineStr">
        <is>
          <t>01a152b9-84c9-77e9-90cd-4db817add5fc</t>
        </is>
      </c>
      <c r="C1363" s="5" t="inlineStr">
        <is>
          <t>01a152b9-6e67-75da-8adb-b03e5d07fd21</t>
        </is>
      </c>
      <c r="D1363" s="4" t="n">
        <v>46314.24597566186</v>
      </c>
      <c r="E1363" s="4" t="n">
        <v>46314.24597566196</v>
      </c>
      <c r="F1363" t="b">
        <v>1</v>
      </c>
      <c r="G1363" t="n">
        <v/>
      </c>
      <c r="H1363" t="inlineStr">
        <is>
          <t>WAK</t>
        </is>
      </c>
      <c r="I1363" t="inlineStr">
        <is>
          <t>Wa Kaolin Ltd</t>
        </is>
      </c>
      <c r="J1363" t="inlineStr">
        <is>
          <t>AUD</t>
        </is>
      </c>
      <c r="K1363" s="5" t="inlineStr">
        <is>
          <t>01a152b9-6ee2-7577-bddd-382bc3853fde</t>
        </is>
      </c>
      <c r="M1363" t="inlineStr">
        <is>
          <t>UNKNOWN</t>
        </is>
      </c>
      <c r="N1363" t="inlineStr">
        <is>
          <t>DEFAULT</t>
        </is>
      </c>
      <c r="Q1363" t="n">
        <v>0</v>
      </c>
      <c r="R1363" t="inlineStr">
        <is>
          <t>AUD</t>
        </is>
      </c>
      <c r="S1363" t="n">
        <v>0</v>
      </c>
      <c r="T1363" t="inlineStr">
        <is>
          <t>AUD</t>
        </is>
      </c>
      <c r="U1363" t="n">
        <v>0</v>
      </c>
    </row>
    <row r="1364">
      <c r="A1364" s="5" t="inlineStr">
        <is>
          <t>01a152b9-84cc-7478-a0ff-2ba9994c5f90</t>
        </is>
      </c>
      <c r="C1364" s="5" t="inlineStr">
        <is>
          <t>01a152b9-6e67-75da-8adb-b03e5d07fd21</t>
        </is>
      </c>
      <c r="D1364" s="4" t="n">
        <v>46314.24597570461</v>
      </c>
      <c r="E1364" s="4" t="n">
        <v>46314.24597570471</v>
      </c>
      <c r="F1364" t="b">
        <v>1</v>
      </c>
      <c r="G1364" t="n">
        <v/>
      </c>
      <c r="H1364" t="inlineStr">
        <is>
          <t>IXR</t>
        </is>
      </c>
      <c r="I1364" t="inlineStr">
        <is>
          <t>Ionic Rare EARTHS Ltd</t>
        </is>
      </c>
      <c r="J1364" t="inlineStr">
        <is>
          <t>AUD</t>
        </is>
      </c>
      <c r="K1364" s="5" t="inlineStr">
        <is>
          <t>01a152b9-6ee2-7577-bddd-382bc3853fde</t>
        </is>
      </c>
      <c r="M1364" t="inlineStr">
        <is>
          <t>UNKNOWN</t>
        </is>
      </c>
      <c r="N1364" t="inlineStr">
        <is>
          <t>DEFAULT</t>
        </is>
      </c>
      <c r="Q1364" t="n">
        <v>0</v>
      </c>
      <c r="R1364" t="inlineStr">
        <is>
          <t>AUD</t>
        </is>
      </c>
      <c r="S1364" t="n">
        <v>0</v>
      </c>
      <c r="T1364" t="inlineStr">
        <is>
          <t>AUD</t>
        </is>
      </c>
      <c r="U1364" t="n">
        <v>0</v>
      </c>
    </row>
    <row r="1365">
      <c r="A1365" s="5" t="inlineStr">
        <is>
          <t>01a152b9-84d0-710a-a0ee-09663be45fbc</t>
        </is>
      </c>
      <c r="C1365" s="5" t="inlineStr">
        <is>
          <t>01a152b9-6e67-75da-8adb-b03e5d07fd21</t>
        </is>
      </c>
      <c r="D1365" s="4" t="n">
        <v>46314.24597574332</v>
      </c>
      <c r="E1365" s="4" t="n">
        <v>46314.24597574343</v>
      </c>
      <c r="F1365" t="b">
        <v>1</v>
      </c>
      <c r="G1365" t="n">
        <v/>
      </c>
      <c r="H1365" t="inlineStr">
        <is>
          <t>EMC</t>
        </is>
      </c>
      <c r="I1365" t="inlineStr">
        <is>
          <t>Everest Metals Corporation Ltd</t>
        </is>
      </c>
      <c r="J1365" t="inlineStr">
        <is>
          <t>AUD</t>
        </is>
      </c>
      <c r="K1365" s="5" t="inlineStr">
        <is>
          <t>01a152b9-6ee2-7577-bddd-382bc3853fde</t>
        </is>
      </c>
      <c r="M1365" t="inlineStr">
        <is>
          <t>UNKNOWN</t>
        </is>
      </c>
      <c r="N1365" t="inlineStr">
        <is>
          <t>DEFAULT</t>
        </is>
      </c>
      <c r="Q1365" t="n">
        <v>0</v>
      </c>
      <c r="R1365" t="inlineStr">
        <is>
          <t>AUD</t>
        </is>
      </c>
      <c r="S1365" t="n">
        <v>0</v>
      </c>
      <c r="T1365" t="inlineStr">
        <is>
          <t>AUD</t>
        </is>
      </c>
      <c r="U1365" t="n">
        <v>0</v>
      </c>
    </row>
    <row r="1366">
      <c r="A1366" s="5" t="inlineStr">
        <is>
          <t>01a152b9-84d3-721c-918a-886971d8b267</t>
        </is>
      </c>
      <c r="C1366" s="5" t="inlineStr">
        <is>
          <t>01a152b9-6e67-75da-8adb-b03e5d07fd21</t>
        </is>
      </c>
      <c r="D1366" s="4" t="n">
        <v>46314.24597577919</v>
      </c>
      <c r="E1366" s="4" t="n">
        <v>46314.2459757793</v>
      </c>
      <c r="F1366" t="b">
        <v>1</v>
      </c>
      <c r="G1366" t="n">
        <v/>
      </c>
      <c r="H1366" t="inlineStr">
        <is>
          <t>TRE</t>
        </is>
      </c>
      <c r="I1366" t="inlineStr">
        <is>
          <t>Toubani Resources Ltd</t>
        </is>
      </c>
      <c r="J1366" t="inlineStr">
        <is>
          <t>AUD</t>
        </is>
      </c>
      <c r="K1366" s="5" t="inlineStr">
        <is>
          <t>01a152b9-6ee2-7577-bddd-382bc3853fde</t>
        </is>
      </c>
      <c r="M1366" t="inlineStr">
        <is>
          <t>UNKNOWN</t>
        </is>
      </c>
      <c r="N1366" t="inlineStr">
        <is>
          <t>DEFAULT</t>
        </is>
      </c>
      <c r="Q1366" t="n">
        <v>0</v>
      </c>
      <c r="R1366" t="inlineStr">
        <is>
          <t>AUD</t>
        </is>
      </c>
      <c r="S1366" t="n">
        <v>0</v>
      </c>
      <c r="T1366" t="inlineStr">
        <is>
          <t>AUD</t>
        </is>
      </c>
      <c r="U1366" t="n">
        <v>0</v>
      </c>
    </row>
    <row r="1367">
      <c r="A1367" s="5" t="inlineStr">
        <is>
          <t>01a152b9-84d6-74a4-81e3-ebbfa0f0f86d</t>
        </is>
      </c>
      <c r="C1367" s="5" t="inlineStr">
        <is>
          <t>01a152b9-6e67-75da-8adb-b03e5d07fd21</t>
        </is>
      </c>
      <c r="D1367" s="4" t="n">
        <v>46314.24597581676</v>
      </c>
      <c r="E1367" s="4" t="n">
        <v>46314.24597581686</v>
      </c>
      <c r="F1367" t="b">
        <v>1</v>
      </c>
      <c r="G1367" t="n">
        <v/>
      </c>
      <c r="H1367" t="inlineStr">
        <is>
          <t>DEL</t>
        </is>
      </c>
      <c r="I1367" t="inlineStr">
        <is>
          <t>Delorean Corporation Ltd</t>
        </is>
      </c>
      <c r="J1367" t="inlineStr">
        <is>
          <t>AUD</t>
        </is>
      </c>
      <c r="K1367" s="5" t="inlineStr">
        <is>
          <t>01a152b9-6ee2-7577-bddd-382bc3853fde</t>
        </is>
      </c>
      <c r="M1367" t="inlineStr">
        <is>
          <t>UNKNOWN</t>
        </is>
      </c>
      <c r="N1367" t="inlineStr">
        <is>
          <t>DEFAULT</t>
        </is>
      </c>
      <c r="Q1367" t="n">
        <v>0</v>
      </c>
      <c r="R1367" t="inlineStr">
        <is>
          <t>AUD</t>
        </is>
      </c>
      <c r="S1367" t="n">
        <v>0</v>
      </c>
      <c r="T1367" t="inlineStr">
        <is>
          <t>AUD</t>
        </is>
      </c>
      <c r="U1367" t="n">
        <v>0</v>
      </c>
    </row>
    <row r="1368">
      <c r="A1368" s="5" t="inlineStr">
        <is>
          <t>01a152b9-84d9-7287-8c71-b69e78f21c48</t>
        </is>
      </c>
      <c r="C1368" s="5" t="inlineStr">
        <is>
          <t>01a152b9-6e67-75da-8adb-b03e5d07fd21</t>
        </is>
      </c>
      <c r="D1368" s="4" t="n">
        <v>46314.24597585404</v>
      </c>
      <c r="E1368" s="4" t="n">
        <v>46314.24597585413</v>
      </c>
      <c r="F1368" t="b">
        <v>1</v>
      </c>
      <c r="G1368" t="n">
        <v/>
      </c>
      <c r="H1368" t="inlineStr">
        <is>
          <t>BEZ</t>
        </is>
      </c>
      <c r="I1368" t="inlineStr">
        <is>
          <t>Besra Gold Inc</t>
        </is>
      </c>
      <c r="J1368" t="inlineStr">
        <is>
          <t>AUD</t>
        </is>
      </c>
      <c r="K1368" s="5" t="inlineStr">
        <is>
          <t>01a152b9-6ee2-7577-bddd-382bc3853fde</t>
        </is>
      </c>
      <c r="M1368" t="inlineStr">
        <is>
          <t>UNKNOWN</t>
        </is>
      </c>
      <c r="N1368" t="inlineStr">
        <is>
          <t>DEFAULT</t>
        </is>
      </c>
      <c r="Q1368" t="n">
        <v>0</v>
      </c>
      <c r="R1368" t="inlineStr">
        <is>
          <t>AUD</t>
        </is>
      </c>
      <c r="S1368" t="n">
        <v>0</v>
      </c>
      <c r="T1368" t="inlineStr">
        <is>
          <t>AUD</t>
        </is>
      </c>
      <c r="U1368" t="n">
        <v>0</v>
      </c>
    </row>
    <row r="1369">
      <c r="A1369" s="5" t="inlineStr">
        <is>
          <t>01a152b9-84dc-76ff-b8bb-d027af91b91c</t>
        </is>
      </c>
      <c r="C1369" s="5" t="inlineStr">
        <is>
          <t>01a152b9-6e67-75da-8adb-b03e5d07fd21</t>
        </is>
      </c>
      <c r="D1369" s="4" t="n">
        <v>46314.24597589001</v>
      </c>
      <c r="E1369" s="4" t="n">
        <v>46314.2459758901</v>
      </c>
      <c r="F1369" t="b">
        <v>1</v>
      </c>
      <c r="G1369" t="n">
        <v/>
      </c>
      <c r="H1369" t="inlineStr">
        <is>
          <t>HCRD</t>
        </is>
      </c>
      <c r="I1369" t="inlineStr">
        <is>
          <t>Betashares Interest Rate Hedged Aus Corp Bond ETF</t>
        </is>
      </c>
      <c r="J1369" t="inlineStr">
        <is>
          <t>AUD</t>
        </is>
      </c>
      <c r="K1369" s="5" t="inlineStr">
        <is>
          <t>01a152b9-6ee2-7577-bddd-382bc3853fde</t>
        </is>
      </c>
      <c r="M1369" t="inlineStr">
        <is>
          <t>UNKNOWN</t>
        </is>
      </c>
      <c r="N1369" t="inlineStr">
        <is>
          <t>DEFAULT</t>
        </is>
      </c>
      <c r="Q1369" t="n">
        <v>0</v>
      </c>
      <c r="R1369" t="inlineStr">
        <is>
          <t>AUD</t>
        </is>
      </c>
      <c r="S1369" t="n">
        <v>0</v>
      </c>
      <c r="T1369" t="inlineStr">
        <is>
          <t>AUD</t>
        </is>
      </c>
      <c r="U1369" t="n">
        <v>0</v>
      </c>
    </row>
    <row r="1370">
      <c r="A1370" s="5" t="inlineStr">
        <is>
          <t>01a152b9-84e0-7728-886b-0c9312db0eee</t>
        </is>
      </c>
      <c r="C1370" s="5" t="inlineStr">
        <is>
          <t>01a152b9-6e67-75da-8adb-b03e5d07fd21</t>
        </is>
      </c>
      <c r="D1370" s="4" t="n">
        <v>46314.24597593064</v>
      </c>
      <c r="E1370" s="4" t="n">
        <v>46314.24597593073</v>
      </c>
      <c r="F1370" t="b">
        <v>1</v>
      </c>
      <c r="G1370" t="n">
        <v/>
      </c>
      <c r="H1370" t="inlineStr">
        <is>
          <t>CAE</t>
        </is>
      </c>
      <c r="I1370" t="inlineStr">
        <is>
          <t>Cannindah Resources Ltd</t>
        </is>
      </c>
      <c r="J1370" t="inlineStr">
        <is>
          <t>AUD</t>
        </is>
      </c>
      <c r="K1370" s="5" t="inlineStr">
        <is>
          <t>01a152b9-6ee2-7577-bddd-382bc3853fde</t>
        </is>
      </c>
      <c r="M1370" t="inlineStr">
        <is>
          <t>UNKNOWN</t>
        </is>
      </c>
      <c r="N1370" t="inlineStr">
        <is>
          <t>DEFAULT</t>
        </is>
      </c>
      <c r="Q1370" t="n">
        <v>0</v>
      </c>
      <c r="R1370" t="inlineStr">
        <is>
          <t>AUD</t>
        </is>
      </c>
      <c r="S1370" t="n">
        <v>0</v>
      </c>
      <c r="T1370" t="inlineStr">
        <is>
          <t>AUD</t>
        </is>
      </c>
      <c r="U1370" t="n">
        <v>0</v>
      </c>
    </row>
    <row r="1371">
      <c r="A1371" s="5" t="inlineStr">
        <is>
          <t>01a152b9-84e3-7717-837e-734a029b9092</t>
        </is>
      </c>
      <c r="C1371" s="5" t="inlineStr">
        <is>
          <t>01a152b9-6e67-75da-8adb-b03e5d07fd21</t>
        </is>
      </c>
      <c r="D1371" s="4" t="n">
        <v>46314.24597596526</v>
      </c>
      <c r="E1371" s="4" t="n">
        <v>46314.24597596536</v>
      </c>
      <c r="F1371" t="b">
        <v>1</v>
      </c>
      <c r="G1371" t="n">
        <v/>
      </c>
      <c r="H1371" t="inlineStr">
        <is>
          <t>MCGG</t>
        </is>
      </c>
      <c r="I1371" t="inlineStr">
        <is>
          <t>Munro Concentrated Global Growth Active ETF</t>
        </is>
      </c>
      <c r="J1371" t="inlineStr">
        <is>
          <t>AUD</t>
        </is>
      </c>
      <c r="K1371" s="5" t="inlineStr">
        <is>
          <t>01a152b9-6ee2-7577-bddd-382bc3853fde</t>
        </is>
      </c>
      <c r="M1371" t="inlineStr">
        <is>
          <t>UNKNOWN</t>
        </is>
      </c>
      <c r="N1371" t="inlineStr">
        <is>
          <t>DEFAULT</t>
        </is>
      </c>
      <c r="Q1371" t="n">
        <v>0</v>
      </c>
      <c r="R1371" t="inlineStr">
        <is>
          <t>AUD</t>
        </is>
      </c>
      <c r="S1371" t="n">
        <v>0</v>
      </c>
      <c r="T1371" t="inlineStr">
        <is>
          <t>AUD</t>
        </is>
      </c>
      <c r="U1371" t="n">
        <v>0</v>
      </c>
    </row>
    <row r="1372">
      <c r="A1372" s="5" t="inlineStr">
        <is>
          <t>01a152b9-84e6-766a-a061-df608a214c3c</t>
        </is>
      </c>
      <c r="C1372" s="5" t="inlineStr">
        <is>
          <t>01a152b9-6e67-75da-8adb-b03e5d07fd21</t>
        </is>
      </c>
      <c r="D1372" s="4" t="n">
        <v>46314.2459759991</v>
      </c>
      <c r="E1372" s="4" t="n">
        <v>46314.2459759992</v>
      </c>
      <c r="F1372" t="b">
        <v>1</v>
      </c>
      <c r="G1372" t="n">
        <v/>
      </c>
      <c r="H1372" t="inlineStr">
        <is>
          <t>HGEN</t>
        </is>
      </c>
      <c r="I1372" t="inlineStr">
        <is>
          <t>Global X Hydrogen ETF</t>
        </is>
      </c>
      <c r="J1372" t="inlineStr">
        <is>
          <t>AUD</t>
        </is>
      </c>
      <c r="K1372" s="5" t="inlineStr">
        <is>
          <t>01a152b9-6ee2-7577-bddd-382bc3853fde</t>
        </is>
      </c>
      <c r="M1372" t="inlineStr">
        <is>
          <t>UNKNOWN</t>
        </is>
      </c>
      <c r="N1372" t="inlineStr">
        <is>
          <t>DEFAULT</t>
        </is>
      </c>
      <c r="Q1372" t="n">
        <v>0</v>
      </c>
      <c r="R1372" t="inlineStr">
        <is>
          <t>AUD</t>
        </is>
      </c>
      <c r="S1372" t="n">
        <v>0</v>
      </c>
      <c r="T1372" t="inlineStr">
        <is>
          <t>AUD</t>
        </is>
      </c>
      <c r="U1372" t="n">
        <v>0</v>
      </c>
    </row>
    <row r="1373">
      <c r="A1373" s="5" t="inlineStr">
        <is>
          <t>01a152b9-84e9-7067-94c1-62f2ec385d25</t>
        </is>
      </c>
      <c r="C1373" s="5" t="inlineStr">
        <is>
          <t>01a152b9-6e67-75da-8adb-b03e5d07fd21</t>
        </is>
      </c>
      <c r="D1373" s="4" t="n">
        <v>46314.24597603679</v>
      </c>
      <c r="E1373" s="4" t="n">
        <v>46314.24597603689</v>
      </c>
      <c r="F1373" t="b">
        <v>1</v>
      </c>
      <c r="G1373" t="n">
        <v/>
      </c>
      <c r="H1373" t="inlineStr">
        <is>
          <t>MI6</t>
        </is>
      </c>
      <c r="I1373" t="inlineStr">
        <is>
          <t>Minerals 260 Ltd</t>
        </is>
      </c>
      <c r="J1373" t="inlineStr">
        <is>
          <t>AUD</t>
        </is>
      </c>
      <c r="K1373" s="5" t="inlineStr">
        <is>
          <t>01a152b9-6ee2-7577-bddd-382bc3853fde</t>
        </is>
      </c>
      <c r="M1373" t="inlineStr">
        <is>
          <t>UNKNOWN</t>
        </is>
      </c>
      <c r="N1373" t="inlineStr">
        <is>
          <t>DEFAULT</t>
        </is>
      </c>
      <c r="Q1373" t="n">
        <v>0</v>
      </c>
      <c r="R1373" t="inlineStr">
        <is>
          <t>AUD</t>
        </is>
      </c>
      <c r="S1373" t="n">
        <v>0</v>
      </c>
      <c r="T1373" t="inlineStr">
        <is>
          <t>AUD</t>
        </is>
      </c>
      <c r="U1373" t="n">
        <v>0</v>
      </c>
    </row>
    <row r="1374">
      <c r="A1374" s="5" t="inlineStr">
        <is>
          <t>01a152b9-84ec-713e-9c00-c4f8c201e4ad</t>
        </is>
      </c>
      <c r="C1374" s="5" t="inlineStr">
        <is>
          <t>01a152b9-6e67-75da-8adb-b03e5d07fd21</t>
        </is>
      </c>
      <c r="D1374" s="4" t="n">
        <v>46314.24597607488</v>
      </c>
      <c r="E1374" s="4" t="n">
        <v>46314.24597607496</v>
      </c>
      <c r="F1374" t="b">
        <v>1</v>
      </c>
      <c r="G1374" t="n">
        <v/>
      </c>
      <c r="H1374" t="inlineStr">
        <is>
          <t>WTM</t>
        </is>
      </c>
      <c r="I1374" t="inlineStr">
        <is>
          <t>Waratah Minerals Ltd</t>
        </is>
      </c>
      <c r="J1374" t="inlineStr">
        <is>
          <t>AUD</t>
        </is>
      </c>
      <c r="K1374" s="5" t="inlineStr">
        <is>
          <t>01a152b9-6ee2-7577-bddd-382bc3853fde</t>
        </is>
      </c>
      <c r="M1374" t="inlineStr">
        <is>
          <t>UNKNOWN</t>
        </is>
      </c>
      <c r="N1374" t="inlineStr">
        <is>
          <t>DEFAULT</t>
        </is>
      </c>
      <c r="Q1374" t="n">
        <v>0</v>
      </c>
      <c r="R1374" t="inlineStr">
        <is>
          <t>AUD</t>
        </is>
      </c>
      <c r="S1374" t="n">
        <v>0</v>
      </c>
      <c r="T1374" t="inlineStr">
        <is>
          <t>AUD</t>
        </is>
      </c>
      <c r="U1374" t="n">
        <v>0</v>
      </c>
    </row>
    <row r="1375">
      <c r="A1375" s="5" t="inlineStr">
        <is>
          <t>01a152b9-84f0-77cf-b082-956593a13093</t>
        </is>
      </c>
      <c r="C1375" s="5" t="inlineStr">
        <is>
          <t>01a152b9-6e67-75da-8adb-b03e5d07fd21</t>
        </is>
      </c>
      <c r="D1375" s="4" t="n">
        <v>46314.24597611405</v>
      </c>
      <c r="E1375" s="4" t="n">
        <v>46314.24597611414</v>
      </c>
      <c r="F1375" t="b">
        <v>1</v>
      </c>
      <c r="G1375" t="n">
        <v/>
      </c>
      <c r="H1375" t="inlineStr">
        <is>
          <t>NTD</t>
        </is>
      </c>
      <c r="I1375" t="inlineStr">
        <is>
          <t>Ntaw Holdings Ltd</t>
        </is>
      </c>
      <c r="J1375" t="inlineStr">
        <is>
          <t>AUD</t>
        </is>
      </c>
      <c r="K1375" s="5" t="inlineStr">
        <is>
          <t>01a152b9-6ee2-7577-bddd-382bc3853fde</t>
        </is>
      </c>
      <c r="M1375" t="inlineStr">
        <is>
          <t>UNKNOWN</t>
        </is>
      </c>
      <c r="N1375" t="inlineStr">
        <is>
          <t>DEFAULT</t>
        </is>
      </c>
      <c r="Q1375" t="n">
        <v>0</v>
      </c>
      <c r="R1375" t="inlineStr">
        <is>
          <t>AUD</t>
        </is>
      </c>
      <c r="S1375" t="n">
        <v>0</v>
      </c>
      <c r="T1375" t="inlineStr">
        <is>
          <t>AUD</t>
        </is>
      </c>
      <c r="U1375" t="n">
        <v>0</v>
      </c>
    </row>
    <row r="1376">
      <c r="A1376" s="5" t="inlineStr">
        <is>
          <t>01a152b9-84f3-7789-81a8-9628c6f2ae06</t>
        </is>
      </c>
      <c r="C1376" s="5" t="inlineStr">
        <is>
          <t>01a152b9-6e67-75da-8adb-b03e5d07fd21</t>
        </is>
      </c>
      <c r="D1376" s="4" t="n">
        <v>46314.24597615047</v>
      </c>
      <c r="E1376" s="4" t="n">
        <v>46314.24597615059</v>
      </c>
      <c r="F1376" t="b">
        <v>1</v>
      </c>
      <c r="G1376" t="n">
        <v/>
      </c>
      <c r="H1376" t="inlineStr">
        <is>
          <t>A1G</t>
        </is>
      </c>
      <c r="I1376" t="inlineStr">
        <is>
          <t>African Gold Ltd</t>
        </is>
      </c>
      <c r="J1376" t="inlineStr">
        <is>
          <t>AUD</t>
        </is>
      </c>
      <c r="K1376" s="5" t="inlineStr">
        <is>
          <t>01a152b9-6ee2-7577-bddd-382bc3853fde</t>
        </is>
      </c>
      <c r="M1376" t="inlineStr">
        <is>
          <t>UNKNOWN</t>
        </is>
      </c>
      <c r="N1376" t="inlineStr">
        <is>
          <t>DEFAULT</t>
        </is>
      </c>
      <c r="Q1376" t="n">
        <v>0</v>
      </c>
      <c r="R1376" t="inlineStr">
        <is>
          <t>AUD</t>
        </is>
      </c>
      <c r="S1376" t="n">
        <v>0</v>
      </c>
      <c r="T1376" t="inlineStr">
        <is>
          <t>AUD</t>
        </is>
      </c>
      <c r="U1376" t="n">
        <v>0</v>
      </c>
    </row>
    <row r="1377">
      <c r="A1377" s="5" t="inlineStr">
        <is>
          <t>01a152b9-84f7-77f4-b161-98e6d65a7bd5</t>
        </is>
      </c>
      <c r="C1377" s="5" t="inlineStr">
        <is>
          <t>01a152b9-6e67-75da-8adb-b03e5d07fd21</t>
        </is>
      </c>
      <c r="D1377" s="4" t="n">
        <v>46314.24597619361</v>
      </c>
      <c r="E1377" s="4" t="n">
        <v>46314.24597619371</v>
      </c>
      <c r="F1377" t="b">
        <v>1</v>
      </c>
      <c r="G1377" t="n">
        <v/>
      </c>
      <c r="H1377" t="inlineStr">
        <is>
          <t>ILA</t>
        </is>
      </c>
      <c r="I1377" t="inlineStr">
        <is>
          <t>Island Pharmaceuticals Ltd</t>
        </is>
      </c>
      <c r="J1377" t="inlineStr">
        <is>
          <t>AUD</t>
        </is>
      </c>
      <c r="K1377" s="5" t="inlineStr">
        <is>
          <t>01a152b9-6ee2-7577-bddd-382bc3853fde</t>
        </is>
      </c>
      <c r="M1377" t="inlineStr">
        <is>
          <t>UNKNOWN</t>
        </is>
      </c>
      <c r="N1377" t="inlineStr">
        <is>
          <t>DEFAULT</t>
        </is>
      </c>
      <c r="Q1377" t="n">
        <v>0</v>
      </c>
      <c r="R1377" t="inlineStr">
        <is>
          <t>AUD</t>
        </is>
      </c>
      <c r="S1377" t="n">
        <v>0</v>
      </c>
      <c r="T1377" t="inlineStr">
        <is>
          <t>AUD</t>
        </is>
      </c>
      <c r="U1377" t="n">
        <v>0</v>
      </c>
    </row>
    <row r="1378">
      <c r="A1378" s="5" t="inlineStr">
        <is>
          <t>01a152b9-84fa-7267-944c-055c44fadcf3</t>
        </is>
      </c>
      <c r="C1378" s="5" t="inlineStr">
        <is>
          <t>01a152b9-6e67-75da-8adb-b03e5d07fd21</t>
        </is>
      </c>
      <c r="D1378" s="4" t="n">
        <v>46314.24597623447</v>
      </c>
      <c r="E1378" s="4" t="n">
        <v>46314.24597623458</v>
      </c>
      <c r="F1378" t="b">
        <v>1</v>
      </c>
      <c r="G1378" t="n">
        <v/>
      </c>
      <c r="H1378" t="inlineStr">
        <is>
          <t>CC5</t>
        </is>
      </c>
      <c r="I1378" t="inlineStr">
        <is>
          <t>Clever Culture Systems Ltd</t>
        </is>
      </c>
      <c r="J1378" t="inlineStr">
        <is>
          <t>AUD</t>
        </is>
      </c>
      <c r="K1378" s="5" t="inlineStr">
        <is>
          <t>01a152b9-6ee2-7577-bddd-382bc3853fde</t>
        </is>
      </c>
      <c r="M1378" t="inlineStr">
        <is>
          <t>UNKNOWN</t>
        </is>
      </c>
      <c r="N1378" t="inlineStr">
        <is>
          <t>DEFAULT</t>
        </is>
      </c>
      <c r="Q1378" t="n">
        <v>0</v>
      </c>
      <c r="R1378" t="inlineStr">
        <is>
          <t>AUD</t>
        </is>
      </c>
      <c r="S1378" t="n">
        <v>0</v>
      </c>
      <c r="T1378" t="inlineStr">
        <is>
          <t>AUD</t>
        </is>
      </c>
      <c r="U1378" t="n">
        <v>0</v>
      </c>
    </row>
    <row r="1379">
      <c r="A1379" s="5" t="inlineStr">
        <is>
          <t>01a152b9-84fe-76a7-8dfd-d2e7d778dc85</t>
        </is>
      </c>
      <c r="C1379" s="5" t="inlineStr">
        <is>
          <t>01a152b9-6e67-75da-8adb-b03e5d07fd21</t>
        </is>
      </c>
      <c r="D1379" s="4" t="n">
        <v>46314.24597627651</v>
      </c>
      <c r="E1379" s="4" t="n">
        <v>46314.24597627659</v>
      </c>
      <c r="F1379" t="b">
        <v>1</v>
      </c>
      <c r="G1379" t="n">
        <v/>
      </c>
      <c r="H1379" t="inlineStr">
        <is>
          <t>VNGS</t>
        </is>
      </c>
      <c r="I1379" t="inlineStr">
        <is>
          <t>Vaughan Nelson Global Smid Fund (Managed Fund)</t>
        </is>
      </c>
      <c r="J1379" t="inlineStr">
        <is>
          <t>AUD</t>
        </is>
      </c>
      <c r="K1379" s="5" t="inlineStr">
        <is>
          <t>01a152b9-6ee2-7577-bddd-382bc3853fde</t>
        </is>
      </c>
      <c r="M1379" t="inlineStr">
        <is>
          <t>UNKNOWN</t>
        </is>
      </c>
      <c r="N1379" t="inlineStr">
        <is>
          <t>DEFAULT</t>
        </is>
      </c>
      <c r="Q1379" t="n">
        <v>0</v>
      </c>
      <c r="R1379" t="inlineStr">
        <is>
          <t>AUD</t>
        </is>
      </c>
      <c r="S1379" t="n">
        <v>0</v>
      </c>
      <c r="T1379" t="inlineStr">
        <is>
          <t>AUD</t>
        </is>
      </c>
      <c r="U1379" t="n">
        <v>0</v>
      </c>
    </row>
    <row r="1380">
      <c r="A1380" s="5" t="inlineStr">
        <is>
          <t>01a152b9-8501-750d-8d38-1537a8684f44</t>
        </is>
      </c>
      <c r="C1380" s="5" t="inlineStr">
        <is>
          <t>01a152b9-6e67-75da-8adb-b03e5d07fd21</t>
        </is>
      </c>
      <c r="D1380" s="4" t="n">
        <v>46314.24597631352</v>
      </c>
      <c r="E1380" s="4" t="n">
        <v>46314.24597631361</v>
      </c>
      <c r="F1380" t="b">
        <v>1</v>
      </c>
      <c r="G1380" t="n">
        <v/>
      </c>
      <c r="H1380" t="inlineStr">
        <is>
          <t>JRV</t>
        </is>
      </c>
      <c r="I1380" t="inlineStr">
        <is>
          <t>Jervois Global Ltd</t>
        </is>
      </c>
      <c r="J1380" t="inlineStr">
        <is>
          <t>AUD</t>
        </is>
      </c>
      <c r="K1380" s="5" t="inlineStr">
        <is>
          <t>01a152b9-6ee2-7577-bddd-382bc3853fde</t>
        </is>
      </c>
      <c r="M1380" t="inlineStr">
        <is>
          <t>UNKNOWN</t>
        </is>
      </c>
      <c r="N1380" t="inlineStr">
        <is>
          <t>DEFAULT</t>
        </is>
      </c>
      <c r="Q1380" t="n">
        <v>0</v>
      </c>
      <c r="R1380" t="inlineStr">
        <is>
          <t>AUD</t>
        </is>
      </c>
      <c r="S1380" t="n">
        <v>0</v>
      </c>
      <c r="T1380" t="inlineStr">
        <is>
          <t>AUD</t>
        </is>
      </c>
      <c r="U1380" t="n">
        <v>0</v>
      </c>
    </row>
    <row r="1381">
      <c r="A1381" s="5" t="inlineStr">
        <is>
          <t>01a152b9-8504-72a8-bdcd-32d18808d797</t>
        </is>
      </c>
      <c r="C1381" s="5" t="inlineStr">
        <is>
          <t>01a152b9-6e67-75da-8adb-b03e5d07fd21</t>
        </is>
      </c>
      <c r="D1381" s="4" t="n">
        <v>46314.24597635149</v>
      </c>
      <c r="E1381" s="4" t="n">
        <v>46314.24597635159</v>
      </c>
      <c r="F1381" t="b">
        <v>1</v>
      </c>
      <c r="G1381" t="n">
        <v/>
      </c>
      <c r="H1381" t="inlineStr">
        <is>
          <t>GHHF</t>
        </is>
      </c>
      <c r="I1381" t="inlineStr">
        <is>
          <t>Betashares Wealthbuilder All GR Geared Complex ETF</t>
        </is>
      </c>
      <c r="J1381" t="inlineStr">
        <is>
          <t>AUD</t>
        </is>
      </c>
      <c r="K1381" s="5" t="inlineStr">
        <is>
          <t>01a152b9-6ee2-7577-bddd-382bc3853fde</t>
        </is>
      </c>
      <c r="M1381" t="inlineStr">
        <is>
          <t>UNKNOWN</t>
        </is>
      </c>
      <c r="N1381" t="inlineStr">
        <is>
          <t>DEFAULT</t>
        </is>
      </c>
      <c r="Q1381" t="n">
        <v>0</v>
      </c>
      <c r="R1381" t="inlineStr">
        <is>
          <t>AUD</t>
        </is>
      </c>
      <c r="S1381" t="n">
        <v>0</v>
      </c>
      <c r="T1381" t="inlineStr">
        <is>
          <t>AUD</t>
        </is>
      </c>
      <c r="U1381" t="n">
        <v>0</v>
      </c>
    </row>
    <row r="1382">
      <c r="A1382" s="5" t="inlineStr">
        <is>
          <t>01a152b9-8507-7296-aa30-22de56ff7866</t>
        </is>
      </c>
      <c r="C1382" s="5" t="inlineStr">
        <is>
          <t>01a152b9-6e67-75da-8adb-b03e5d07fd21</t>
        </is>
      </c>
      <c r="D1382" s="4" t="n">
        <v>46314.24597638731</v>
      </c>
      <c r="E1382" s="4" t="n">
        <v>46314.24597638742</v>
      </c>
      <c r="F1382" t="b">
        <v>1</v>
      </c>
      <c r="G1382" t="n">
        <v/>
      </c>
      <c r="H1382" t="inlineStr">
        <is>
          <t>TDO</t>
        </is>
      </c>
      <c r="I1382" t="inlineStr">
        <is>
          <t>3D Energi Ltd</t>
        </is>
      </c>
      <c r="J1382" t="inlineStr">
        <is>
          <t>AUD</t>
        </is>
      </c>
      <c r="K1382" s="5" t="inlineStr">
        <is>
          <t>01a152b9-6ee2-7577-bddd-382bc3853fde</t>
        </is>
      </c>
      <c r="M1382" t="inlineStr">
        <is>
          <t>UNKNOWN</t>
        </is>
      </c>
      <c r="N1382" t="inlineStr">
        <is>
          <t>DEFAULT</t>
        </is>
      </c>
      <c r="Q1382" t="n">
        <v>0</v>
      </c>
      <c r="R1382" t="inlineStr">
        <is>
          <t>AUD</t>
        </is>
      </c>
      <c r="S1382" t="n">
        <v>0</v>
      </c>
      <c r="T1382" t="inlineStr">
        <is>
          <t>AUD</t>
        </is>
      </c>
      <c r="U1382" t="n">
        <v>0</v>
      </c>
    </row>
    <row r="1383">
      <c r="A1383" s="5" t="inlineStr">
        <is>
          <t>01a152b9-850b-70a6-bc95-2ac5034e795f</t>
        </is>
      </c>
      <c r="C1383" s="5" t="inlineStr">
        <is>
          <t>01a152b9-6e67-75da-8adb-b03e5d07fd21</t>
        </is>
      </c>
      <c r="D1383" s="4" t="n">
        <v>46314.24597642753</v>
      </c>
      <c r="E1383" s="4" t="n">
        <v>46314.24597642765</v>
      </c>
      <c r="F1383" t="b">
        <v>1</v>
      </c>
      <c r="G1383" t="n">
        <v/>
      </c>
      <c r="H1383" t="inlineStr">
        <is>
          <t>MTC</t>
        </is>
      </c>
      <c r="I1383" t="inlineStr">
        <is>
          <t>Metalstech Ltd</t>
        </is>
      </c>
      <c r="J1383" t="inlineStr">
        <is>
          <t>AUD</t>
        </is>
      </c>
      <c r="K1383" s="5" t="inlineStr">
        <is>
          <t>01a152b9-6ee2-7577-bddd-382bc3853fde</t>
        </is>
      </c>
      <c r="M1383" t="inlineStr">
        <is>
          <t>UNKNOWN</t>
        </is>
      </c>
      <c r="N1383" t="inlineStr">
        <is>
          <t>DEFAULT</t>
        </is>
      </c>
      <c r="Q1383" t="n">
        <v>0</v>
      </c>
      <c r="R1383" t="inlineStr">
        <is>
          <t>AUD</t>
        </is>
      </c>
      <c r="S1383" t="n">
        <v>0</v>
      </c>
      <c r="T1383" t="inlineStr">
        <is>
          <t>AUD</t>
        </is>
      </c>
      <c r="U1383" t="n">
        <v>0</v>
      </c>
    </row>
    <row r="1384">
      <c r="A1384" s="5" t="inlineStr">
        <is>
          <t>01a152b9-850e-76e6-b4b5-747ba1518f0a</t>
        </is>
      </c>
      <c r="C1384" s="5" t="inlineStr">
        <is>
          <t>01a152b9-6e67-75da-8adb-b03e5d07fd21</t>
        </is>
      </c>
      <c r="D1384" s="4" t="n">
        <v>46314.24597646485</v>
      </c>
      <c r="E1384" s="4" t="n">
        <v>46314.24597646497</v>
      </c>
      <c r="F1384" t="b">
        <v>1</v>
      </c>
      <c r="G1384" t="n">
        <v/>
      </c>
      <c r="H1384" t="inlineStr">
        <is>
          <t>CCG</t>
        </is>
      </c>
      <c r="I1384" t="inlineStr">
        <is>
          <t>Comms Group Ltd</t>
        </is>
      </c>
      <c r="J1384" t="inlineStr">
        <is>
          <t>AUD</t>
        </is>
      </c>
      <c r="K1384" s="5" t="inlineStr">
        <is>
          <t>01a152b9-6ee2-7577-bddd-382bc3853fde</t>
        </is>
      </c>
      <c r="M1384" t="inlineStr">
        <is>
          <t>UNKNOWN</t>
        </is>
      </c>
      <c r="N1384" t="inlineStr">
        <is>
          <t>DEFAULT</t>
        </is>
      </c>
      <c r="Q1384" t="n">
        <v>0</v>
      </c>
      <c r="R1384" t="inlineStr">
        <is>
          <t>AUD</t>
        </is>
      </c>
      <c r="S1384" t="n">
        <v>0</v>
      </c>
      <c r="T1384" t="inlineStr">
        <is>
          <t>AUD</t>
        </is>
      </c>
      <c r="U1384" t="n">
        <v>0</v>
      </c>
    </row>
    <row r="1385">
      <c r="A1385" s="5" t="inlineStr">
        <is>
          <t>01a152b9-8512-7543-b960-d183ae96fef0</t>
        </is>
      </c>
      <c r="C1385" s="5" t="inlineStr">
        <is>
          <t>01a152b9-6e67-75da-8adb-b03e5d07fd21</t>
        </is>
      </c>
      <c r="D1385" s="4" t="n">
        <v>46314.24597650707</v>
      </c>
      <c r="E1385" s="4" t="n">
        <v>46314.24597650718</v>
      </c>
      <c r="F1385" t="b">
        <v>1</v>
      </c>
      <c r="G1385" t="n">
        <v/>
      </c>
      <c r="H1385" t="inlineStr">
        <is>
          <t>RTG</t>
        </is>
      </c>
      <c r="I1385" t="inlineStr">
        <is>
          <t>RTG Mining Inc</t>
        </is>
      </c>
      <c r="J1385" t="inlineStr">
        <is>
          <t>AUD</t>
        </is>
      </c>
      <c r="K1385" s="5" t="inlineStr">
        <is>
          <t>01a152b9-6ee2-7577-bddd-382bc3853fde</t>
        </is>
      </c>
      <c r="M1385" t="inlineStr">
        <is>
          <t>UNKNOWN</t>
        </is>
      </c>
      <c r="N1385" t="inlineStr">
        <is>
          <t>DEFAULT</t>
        </is>
      </c>
      <c r="Q1385" t="n">
        <v>0</v>
      </c>
      <c r="R1385" t="inlineStr">
        <is>
          <t>AUD</t>
        </is>
      </c>
      <c r="S1385" t="n">
        <v>0</v>
      </c>
      <c r="T1385" t="inlineStr">
        <is>
          <t>AUD</t>
        </is>
      </c>
      <c r="U1385" t="n">
        <v>0</v>
      </c>
    </row>
    <row r="1386">
      <c r="A1386" s="5" t="inlineStr">
        <is>
          <t>01a152b9-8515-7542-8eaf-70dfaa3372fa</t>
        </is>
      </c>
      <c r="C1386" s="5" t="inlineStr">
        <is>
          <t>01a152b9-6e67-75da-8adb-b03e5d07fd21</t>
        </is>
      </c>
      <c r="D1386" s="4" t="n">
        <v>46314.24597654481</v>
      </c>
      <c r="E1386" s="4" t="n">
        <v>46314.24597654492</v>
      </c>
      <c r="F1386" t="b">
        <v>1</v>
      </c>
      <c r="G1386" t="n">
        <v/>
      </c>
      <c r="H1386" t="inlineStr">
        <is>
          <t>NOX</t>
        </is>
      </c>
      <c r="I1386" t="inlineStr">
        <is>
          <t>Noxopharm Ltd</t>
        </is>
      </c>
      <c r="J1386" t="inlineStr">
        <is>
          <t>AUD</t>
        </is>
      </c>
      <c r="K1386" s="5" t="inlineStr">
        <is>
          <t>01a152b9-6ee2-7577-bddd-382bc3853fde</t>
        </is>
      </c>
      <c r="M1386" t="inlineStr">
        <is>
          <t>UNKNOWN</t>
        </is>
      </c>
      <c r="N1386" t="inlineStr">
        <is>
          <t>DEFAULT</t>
        </is>
      </c>
      <c r="Q1386" t="n">
        <v>0</v>
      </c>
      <c r="R1386" t="inlineStr">
        <is>
          <t>AUD</t>
        </is>
      </c>
      <c r="S1386" t="n">
        <v>0</v>
      </c>
      <c r="T1386" t="inlineStr">
        <is>
          <t>AUD</t>
        </is>
      </c>
      <c r="U1386" t="n">
        <v>0</v>
      </c>
    </row>
    <row r="1387">
      <c r="A1387" s="5" t="inlineStr">
        <is>
          <t>01a152b9-8518-7522-8fef-88c47bf2c825</t>
        </is>
      </c>
      <c r="C1387" s="5" t="inlineStr">
        <is>
          <t>01a152b9-6e67-75da-8adb-b03e5d07fd21</t>
        </is>
      </c>
      <c r="D1387" s="4" t="n">
        <v>46314.24597657998</v>
      </c>
      <c r="E1387" s="4" t="n">
        <v>46314.24597658007</v>
      </c>
      <c r="F1387" t="b">
        <v>1</v>
      </c>
      <c r="G1387" t="n">
        <v/>
      </c>
      <c r="H1387" t="inlineStr">
        <is>
          <t>LEG</t>
        </is>
      </c>
      <c r="I1387" t="inlineStr">
        <is>
          <t>Legend Mining Ltd</t>
        </is>
      </c>
      <c r="J1387" t="inlineStr">
        <is>
          <t>AUD</t>
        </is>
      </c>
      <c r="K1387" s="5" t="inlineStr">
        <is>
          <t>01a152b9-6ee2-7577-bddd-382bc3853fde</t>
        </is>
      </c>
      <c r="M1387" t="inlineStr">
        <is>
          <t>UNKNOWN</t>
        </is>
      </c>
      <c r="N1387" t="inlineStr">
        <is>
          <t>DEFAULT</t>
        </is>
      </c>
      <c r="Q1387" t="n">
        <v>0</v>
      </c>
      <c r="R1387" t="inlineStr">
        <is>
          <t>AUD</t>
        </is>
      </c>
      <c r="S1387" t="n">
        <v>0</v>
      </c>
      <c r="T1387" t="inlineStr">
        <is>
          <t>AUD</t>
        </is>
      </c>
      <c r="U1387" t="n">
        <v>0</v>
      </c>
    </row>
    <row r="1388">
      <c r="A1388" s="5" t="inlineStr">
        <is>
          <t>01a152b9-851c-71d8-9abb-6b2b66139e27</t>
        </is>
      </c>
      <c r="C1388" s="5" t="inlineStr">
        <is>
          <t>01a152b9-6e67-75da-8adb-b03e5d07fd21</t>
        </is>
      </c>
      <c r="D1388" s="4" t="n">
        <v>46314.24597662257</v>
      </c>
      <c r="E1388" s="4" t="n">
        <v>46314.24597662275</v>
      </c>
      <c r="F1388" t="b">
        <v>1</v>
      </c>
      <c r="G1388" t="n">
        <v/>
      </c>
      <c r="H1388" t="inlineStr">
        <is>
          <t>EMH</t>
        </is>
      </c>
      <c r="I1388" t="inlineStr">
        <is>
          <t>European Metals Holdings Ltd</t>
        </is>
      </c>
      <c r="J1388" t="inlineStr">
        <is>
          <t>AUD</t>
        </is>
      </c>
      <c r="K1388" s="5" t="inlineStr">
        <is>
          <t>01a152b9-6ee2-7577-bddd-382bc3853fde</t>
        </is>
      </c>
      <c r="M1388" t="inlineStr">
        <is>
          <t>UNKNOWN</t>
        </is>
      </c>
      <c r="N1388" t="inlineStr">
        <is>
          <t>DEFAULT</t>
        </is>
      </c>
      <c r="Q1388" t="n">
        <v>0</v>
      </c>
      <c r="R1388" t="inlineStr">
        <is>
          <t>AUD</t>
        </is>
      </c>
      <c r="S1388" t="n">
        <v>0</v>
      </c>
      <c r="T1388" t="inlineStr">
        <is>
          <t>AUD</t>
        </is>
      </c>
      <c r="U1388" t="n">
        <v>0</v>
      </c>
    </row>
    <row r="1389">
      <c r="A1389" s="5" t="inlineStr">
        <is>
          <t>01a152b9-851f-70d9-86b6-b07e2f6c6e51</t>
        </is>
      </c>
      <c r="C1389" s="5" t="inlineStr">
        <is>
          <t>01a152b9-6e67-75da-8adb-b03e5d07fd21</t>
        </is>
      </c>
      <c r="D1389" s="4" t="n">
        <v>46314.24597666652</v>
      </c>
      <c r="E1389" s="4" t="n">
        <v>46314.24597666663</v>
      </c>
      <c r="F1389" t="b">
        <v>1</v>
      </c>
      <c r="G1389" t="n">
        <v/>
      </c>
      <c r="H1389" t="inlineStr">
        <is>
          <t>AXN</t>
        </is>
      </c>
      <c r="I1389" t="inlineStr">
        <is>
          <t>Alliance Nickel Ltd</t>
        </is>
      </c>
      <c r="J1389" t="inlineStr">
        <is>
          <t>AUD</t>
        </is>
      </c>
      <c r="K1389" s="5" t="inlineStr">
        <is>
          <t>01a152b9-6ee2-7577-bddd-382bc3853fde</t>
        </is>
      </c>
      <c r="M1389" t="inlineStr">
        <is>
          <t>UNKNOWN</t>
        </is>
      </c>
      <c r="N1389" t="inlineStr">
        <is>
          <t>DEFAULT</t>
        </is>
      </c>
      <c r="Q1389" t="n">
        <v>0</v>
      </c>
      <c r="R1389" t="inlineStr">
        <is>
          <t>AUD</t>
        </is>
      </c>
      <c r="S1389" t="n">
        <v>0</v>
      </c>
      <c r="T1389" t="inlineStr">
        <is>
          <t>AUD</t>
        </is>
      </c>
      <c r="U1389" t="n">
        <v>0</v>
      </c>
    </row>
    <row r="1390">
      <c r="A1390" s="5" t="inlineStr">
        <is>
          <t>01a152b9-8523-71d8-9630-7a4e7c968629</t>
        </is>
      </c>
      <c r="C1390" s="5" t="inlineStr">
        <is>
          <t>01a152b9-6e67-75da-8adb-b03e5d07fd21</t>
        </is>
      </c>
      <c r="D1390" s="4" t="n">
        <v>46314.2459767032</v>
      </c>
      <c r="E1390" s="4" t="n">
        <v>46314.24597670331</v>
      </c>
      <c r="F1390" t="b">
        <v>1</v>
      </c>
      <c r="G1390" t="n">
        <v/>
      </c>
      <c r="H1390" t="inlineStr">
        <is>
          <t>COV</t>
        </is>
      </c>
      <c r="I1390" t="inlineStr">
        <is>
          <t>Cleo Diagnostics Ltd</t>
        </is>
      </c>
      <c r="J1390" t="inlineStr">
        <is>
          <t>AUD</t>
        </is>
      </c>
      <c r="K1390" s="5" t="inlineStr">
        <is>
          <t>01a152b9-6ee2-7577-bddd-382bc3853fde</t>
        </is>
      </c>
      <c r="M1390" t="inlineStr">
        <is>
          <t>UNKNOWN</t>
        </is>
      </c>
      <c r="N1390" t="inlineStr">
        <is>
          <t>DEFAULT</t>
        </is>
      </c>
      <c r="Q1390" t="n">
        <v>0</v>
      </c>
      <c r="R1390" t="inlineStr">
        <is>
          <t>AUD</t>
        </is>
      </c>
      <c r="S1390" t="n">
        <v>0</v>
      </c>
      <c r="T1390" t="inlineStr">
        <is>
          <t>AUD</t>
        </is>
      </c>
      <c r="U1390" t="n">
        <v>0</v>
      </c>
    </row>
    <row r="1391">
      <c r="A1391" s="5" t="inlineStr">
        <is>
          <t>01a152b9-8527-74c9-ac1c-12e1d37b5503</t>
        </is>
      </c>
      <c r="C1391" s="5" t="inlineStr">
        <is>
          <t>01a152b9-6e67-75da-8adb-b03e5d07fd21</t>
        </is>
      </c>
      <c r="D1391" s="4" t="n">
        <v>46314.2459767531</v>
      </c>
      <c r="E1391" s="4" t="n">
        <v>46314.24597675323</v>
      </c>
      <c r="F1391" t="b">
        <v>1</v>
      </c>
      <c r="G1391" t="n">
        <v/>
      </c>
      <c r="H1391" t="inlineStr">
        <is>
          <t>FGH</t>
        </is>
      </c>
      <c r="I1391" t="inlineStr">
        <is>
          <t>Foresta Group Holdings Ltd</t>
        </is>
      </c>
      <c r="J1391" t="inlineStr">
        <is>
          <t>AUD</t>
        </is>
      </c>
      <c r="K1391" s="5" t="inlineStr">
        <is>
          <t>01a152b9-6ee2-7577-bddd-382bc3853fde</t>
        </is>
      </c>
      <c r="M1391" t="inlineStr">
        <is>
          <t>UNKNOWN</t>
        </is>
      </c>
      <c r="N1391" t="inlineStr">
        <is>
          <t>DEFAULT</t>
        </is>
      </c>
      <c r="Q1391" t="n">
        <v>0</v>
      </c>
      <c r="R1391" t="inlineStr">
        <is>
          <t>AUD</t>
        </is>
      </c>
      <c r="S1391" t="n">
        <v>0</v>
      </c>
      <c r="T1391" t="inlineStr">
        <is>
          <t>AUD</t>
        </is>
      </c>
      <c r="U1391" t="n">
        <v>0</v>
      </c>
    </row>
    <row r="1392">
      <c r="A1392" s="5" t="inlineStr">
        <is>
          <t>01a152b9-852b-744c-8f42-e4dfd804793d</t>
        </is>
      </c>
      <c r="C1392" s="5" t="inlineStr">
        <is>
          <t>01a152b9-6e67-75da-8adb-b03e5d07fd21</t>
        </is>
      </c>
      <c r="D1392" s="4" t="n">
        <v>46314.2459767987</v>
      </c>
      <c r="E1392" s="4" t="n">
        <v>46314.24597679884</v>
      </c>
      <c r="F1392" t="b">
        <v>1</v>
      </c>
      <c r="G1392" t="n">
        <v/>
      </c>
      <c r="H1392" t="inlineStr">
        <is>
          <t>GWR</t>
        </is>
      </c>
      <c r="I1392" t="inlineStr">
        <is>
          <t>GWR Group Ltd</t>
        </is>
      </c>
      <c r="J1392" t="inlineStr">
        <is>
          <t>AUD</t>
        </is>
      </c>
      <c r="K1392" s="5" t="inlineStr">
        <is>
          <t>01a152b9-6ee2-7577-bddd-382bc3853fde</t>
        </is>
      </c>
      <c r="M1392" t="inlineStr">
        <is>
          <t>UNKNOWN</t>
        </is>
      </c>
      <c r="N1392" t="inlineStr">
        <is>
          <t>DEFAULT</t>
        </is>
      </c>
      <c r="Q1392" t="n">
        <v>0</v>
      </c>
      <c r="R1392" t="inlineStr">
        <is>
          <t>AUD</t>
        </is>
      </c>
      <c r="S1392" t="n">
        <v>0</v>
      </c>
      <c r="T1392" t="inlineStr">
        <is>
          <t>AUD</t>
        </is>
      </c>
      <c r="U1392" t="n">
        <v>0</v>
      </c>
    </row>
    <row r="1393">
      <c r="A1393" s="5" t="inlineStr">
        <is>
          <t>01a152b9-8530-77fd-a4ea-7efcca3985cd</t>
        </is>
      </c>
      <c r="C1393" s="5" t="inlineStr">
        <is>
          <t>01a152b9-6e67-75da-8adb-b03e5d07fd21</t>
        </is>
      </c>
      <c r="D1393" s="4" t="n">
        <v>46314.24597685707</v>
      </c>
      <c r="E1393" s="4" t="n">
        <v>46314.24597685721</v>
      </c>
      <c r="F1393" t="b">
        <v>1</v>
      </c>
      <c r="G1393" t="n">
        <v/>
      </c>
      <c r="H1393" t="inlineStr">
        <is>
          <t>GEN</t>
        </is>
      </c>
      <c r="I1393" t="inlineStr">
        <is>
          <t>Genmin Ltd</t>
        </is>
      </c>
      <c r="J1393" t="inlineStr">
        <is>
          <t>AUD</t>
        </is>
      </c>
      <c r="K1393" s="5" t="inlineStr">
        <is>
          <t>01a152b9-6ee2-7577-bddd-382bc3853fde</t>
        </is>
      </c>
      <c r="M1393" t="inlineStr">
        <is>
          <t>UNKNOWN</t>
        </is>
      </c>
      <c r="N1393" t="inlineStr">
        <is>
          <t>DEFAULT</t>
        </is>
      </c>
      <c r="Q1393" t="n">
        <v>0</v>
      </c>
      <c r="R1393" t="inlineStr">
        <is>
          <t>AUD</t>
        </is>
      </c>
      <c r="S1393" t="n">
        <v>0</v>
      </c>
      <c r="T1393" t="inlineStr">
        <is>
          <t>AUD</t>
        </is>
      </c>
      <c r="U1393" t="n">
        <v>0</v>
      </c>
    </row>
    <row r="1394">
      <c r="A1394" s="5" t="inlineStr">
        <is>
          <t>01a152b9-8534-73f2-81b9-0a48e4598727</t>
        </is>
      </c>
      <c r="C1394" s="5" t="inlineStr">
        <is>
          <t>01a152b9-6e67-75da-8adb-b03e5d07fd21</t>
        </is>
      </c>
      <c r="D1394" s="4" t="n">
        <v>46314.24597690413</v>
      </c>
      <c r="E1394" s="4" t="n">
        <v>46314.24597690426</v>
      </c>
      <c r="F1394" t="b">
        <v>1</v>
      </c>
      <c r="G1394" t="n">
        <v/>
      </c>
      <c r="H1394" t="inlineStr">
        <is>
          <t>GCAP</t>
        </is>
      </c>
      <c r="I1394" t="inlineStr">
        <is>
          <t>Vaneck Bentham GL Cap Se Active ETF (Managed Fund)</t>
        </is>
      </c>
      <c r="J1394" t="inlineStr">
        <is>
          <t>AUD</t>
        </is>
      </c>
      <c r="K1394" s="5" t="inlineStr">
        <is>
          <t>01a152b9-6ee2-7577-bddd-382bc3853fde</t>
        </is>
      </c>
      <c r="M1394" t="inlineStr">
        <is>
          <t>UNKNOWN</t>
        </is>
      </c>
      <c r="N1394" t="inlineStr">
        <is>
          <t>DEFAULT</t>
        </is>
      </c>
      <c r="Q1394" t="n">
        <v>0</v>
      </c>
      <c r="R1394" t="inlineStr">
        <is>
          <t>AUD</t>
        </is>
      </c>
      <c r="S1394" t="n">
        <v>0</v>
      </c>
      <c r="T1394" t="inlineStr">
        <is>
          <t>AUD</t>
        </is>
      </c>
      <c r="U1394" t="n">
        <v>0</v>
      </c>
    </row>
    <row r="1395">
      <c r="A1395" s="5" t="inlineStr">
        <is>
          <t>01a152b9-8537-7795-bb8a-fb4febeaae93</t>
        </is>
      </c>
      <c r="C1395" s="5" t="inlineStr">
        <is>
          <t>01a152b9-6e67-75da-8adb-b03e5d07fd21</t>
        </is>
      </c>
      <c r="D1395" s="4" t="n">
        <v>46314.24597694173</v>
      </c>
      <c r="E1395" s="4" t="n">
        <v>46314.24597694188</v>
      </c>
      <c r="F1395" t="b">
        <v>1</v>
      </c>
      <c r="G1395" t="n">
        <v/>
      </c>
      <c r="H1395" t="inlineStr">
        <is>
          <t>AEV</t>
        </is>
      </c>
      <c r="I1395" t="inlineStr">
        <is>
          <t>Avenira Ltd</t>
        </is>
      </c>
      <c r="J1395" t="inlineStr">
        <is>
          <t>AUD</t>
        </is>
      </c>
      <c r="K1395" s="5" t="inlineStr">
        <is>
          <t>01a152b9-6ee2-7577-bddd-382bc3853fde</t>
        </is>
      </c>
      <c r="M1395" t="inlineStr">
        <is>
          <t>UNKNOWN</t>
        </is>
      </c>
      <c r="N1395" t="inlineStr">
        <is>
          <t>DEFAULT</t>
        </is>
      </c>
      <c r="Q1395" t="n">
        <v>0</v>
      </c>
      <c r="R1395" t="inlineStr">
        <is>
          <t>AUD</t>
        </is>
      </c>
      <c r="S1395" t="n">
        <v>0</v>
      </c>
      <c r="T1395" t="inlineStr">
        <is>
          <t>AUD</t>
        </is>
      </c>
      <c r="U1395" t="n">
        <v>0</v>
      </c>
    </row>
    <row r="1396">
      <c r="A1396" s="5" t="inlineStr">
        <is>
          <t>01a152b9-853b-73f2-933f-7a9b755c3f98</t>
        </is>
      </c>
      <c r="C1396" s="5" t="inlineStr">
        <is>
          <t>01a152b9-6e67-75da-8adb-b03e5d07fd21</t>
        </is>
      </c>
      <c r="D1396" s="4" t="n">
        <v>46314.2459769827</v>
      </c>
      <c r="E1396" s="4" t="n">
        <v>46314.24597698283</v>
      </c>
      <c r="F1396" t="b">
        <v>1</v>
      </c>
      <c r="G1396" t="n">
        <v/>
      </c>
      <c r="H1396" t="inlineStr">
        <is>
          <t>UBN</t>
        </is>
      </c>
      <c r="I1396" t="inlineStr">
        <is>
          <t>Urbanise.com Ltd</t>
        </is>
      </c>
      <c r="J1396" t="inlineStr">
        <is>
          <t>AUD</t>
        </is>
      </c>
      <c r="K1396" s="5" t="inlineStr">
        <is>
          <t>01a152b9-6ee2-7577-bddd-382bc3853fde</t>
        </is>
      </c>
      <c r="M1396" t="inlineStr">
        <is>
          <t>UNKNOWN</t>
        </is>
      </c>
      <c r="N1396" t="inlineStr">
        <is>
          <t>DEFAULT</t>
        </is>
      </c>
      <c r="Q1396" t="n">
        <v>0</v>
      </c>
      <c r="R1396" t="inlineStr">
        <is>
          <t>AUD</t>
        </is>
      </c>
      <c r="S1396" t="n">
        <v>0</v>
      </c>
      <c r="T1396" t="inlineStr">
        <is>
          <t>AUD</t>
        </is>
      </c>
      <c r="U1396" t="n">
        <v>0</v>
      </c>
    </row>
    <row r="1397">
      <c r="A1397" s="5" t="inlineStr">
        <is>
          <t>01a152b9-853e-74fd-aa2c-0586f2e68b8c</t>
        </is>
      </c>
      <c r="C1397" s="5" t="inlineStr">
        <is>
          <t>01a152b9-6e67-75da-8adb-b03e5d07fd21</t>
        </is>
      </c>
      <c r="D1397" s="4" t="n">
        <v>46314.2459770266</v>
      </c>
      <c r="E1397" s="4" t="n">
        <v>46314.24597702672</v>
      </c>
      <c r="F1397" t="b">
        <v>1</v>
      </c>
      <c r="G1397" t="n">
        <v/>
      </c>
      <c r="H1397" t="inlineStr">
        <is>
          <t>PGA1</t>
        </is>
      </c>
      <c r="I1397" t="inlineStr">
        <is>
          <t>Plato Global Alpha Fund Complex ETF</t>
        </is>
      </c>
      <c r="J1397" t="inlineStr">
        <is>
          <t>AUD</t>
        </is>
      </c>
      <c r="K1397" s="5" t="inlineStr">
        <is>
          <t>01a152b9-6ee2-7577-bddd-382bc3853fde</t>
        </is>
      </c>
      <c r="M1397" t="inlineStr">
        <is>
          <t>UNKNOWN</t>
        </is>
      </c>
      <c r="N1397" t="inlineStr">
        <is>
          <t>DEFAULT</t>
        </is>
      </c>
      <c r="Q1397" t="n">
        <v>0</v>
      </c>
      <c r="R1397" t="inlineStr">
        <is>
          <t>AUD</t>
        </is>
      </c>
      <c r="S1397" t="n">
        <v>0</v>
      </c>
      <c r="T1397" t="inlineStr">
        <is>
          <t>AUD</t>
        </is>
      </c>
      <c r="U1397" t="n">
        <v>0</v>
      </c>
    </row>
    <row r="1398">
      <c r="A1398" s="5" t="inlineStr">
        <is>
          <t>01a152b9-8542-722f-8181-e5476b97ba06</t>
        </is>
      </c>
      <c r="C1398" s="5" t="inlineStr">
        <is>
          <t>01a152b9-6e67-75da-8adb-b03e5d07fd21</t>
        </is>
      </c>
      <c r="D1398" s="4" t="n">
        <v>46314.24597706616</v>
      </c>
      <c r="E1398" s="4" t="n">
        <v>46314.24597706634</v>
      </c>
      <c r="F1398" t="b">
        <v>1</v>
      </c>
      <c r="G1398" t="n">
        <v/>
      </c>
      <c r="H1398" t="inlineStr">
        <is>
          <t>COB</t>
        </is>
      </c>
      <c r="I1398" t="inlineStr">
        <is>
          <t>Cobalt Blue Holdings Ltd</t>
        </is>
      </c>
      <c r="J1398" t="inlineStr">
        <is>
          <t>AUD</t>
        </is>
      </c>
      <c r="K1398" s="5" t="inlineStr">
        <is>
          <t>01a152b9-6ee2-7577-bddd-382bc3853fde</t>
        </is>
      </c>
      <c r="M1398" t="inlineStr">
        <is>
          <t>UNKNOWN</t>
        </is>
      </c>
      <c r="N1398" t="inlineStr">
        <is>
          <t>DEFAULT</t>
        </is>
      </c>
      <c r="Q1398" t="n">
        <v>0</v>
      </c>
      <c r="R1398" t="inlineStr">
        <is>
          <t>AUD</t>
        </is>
      </c>
      <c r="S1398" t="n">
        <v>0</v>
      </c>
      <c r="T1398" t="inlineStr">
        <is>
          <t>AUD</t>
        </is>
      </c>
      <c r="U1398" t="n">
        <v>0</v>
      </c>
    </row>
    <row r="1399">
      <c r="A1399" s="5" t="inlineStr">
        <is>
          <t>01a152b9-8546-7550-8b85-f69af85744a5</t>
        </is>
      </c>
      <c r="C1399" s="5" t="inlineStr">
        <is>
          <t>01a152b9-6e67-75da-8adb-b03e5d07fd21</t>
        </is>
      </c>
      <c r="D1399" s="4" t="n">
        <v>46314.24597711254</v>
      </c>
      <c r="E1399" s="4" t="n">
        <v>46314.24597711269</v>
      </c>
      <c r="F1399" t="b">
        <v>1</v>
      </c>
      <c r="G1399" t="n">
        <v/>
      </c>
      <c r="H1399" t="inlineStr">
        <is>
          <t>IAM</t>
        </is>
      </c>
      <c r="I1399" t="inlineStr">
        <is>
          <t>Income Asset Management Group Ltd</t>
        </is>
      </c>
      <c r="J1399" t="inlineStr">
        <is>
          <t>AUD</t>
        </is>
      </c>
      <c r="K1399" s="5" t="inlineStr">
        <is>
          <t>01a152b9-6ee2-7577-bddd-382bc3853fde</t>
        </is>
      </c>
      <c r="M1399" t="inlineStr">
        <is>
          <t>UNKNOWN</t>
        </is>
      </c>
      <c r="N1399" t="inlineStr">
        <is>
          <t>DEFAULT</t>
        </is>
      </c>
      <c r="Q1399" t="n">
        <v>0</v>
      </c>
      <c r="R1399" t="inlineStr">
        <is>
          <t>AUD</t>
        </is>
      </c>
      <c r="S1399" t="n">
        <v>0</v>
      </c>
      <c r="T1399" t="inlineStr">
        <is>
          <t>AUD</t>
        </is>
      </c>
      <c r="U1399" t="n">
        <v>0</v>
      </c>
    </row>
    <row r="1400">
      <c r="A1400" s="5" t="inlineStr">
        <is>
          <t>01a152b9-854a-7205-a1b7-ffbec339b6ef</t>
        </is>
      </c>
      <c r="C1400" s="5" t="inlineStr">
        <is>
          <t>01a152b9-6e67-75da-8adb-b03e5d07fd21</t>
        </is>
      </c>
      <c r="D1400" s="4" t="n">
        <v>46314.24597715558</v>
      </c>
      <c r="E1400" s="4" t="n">
        <v>46314.24597715572</v>
      </c>
      <c r="F1400" t="b">
        <v>1</v>
      </c>
      <c r="G1400" t="n">
        <v/>
      </c>
      <c r="H1400" t="inlineStr">
        <is>
          <t>KP2</t>
        </is>
      </c>
      <c r="I1400" t="inlineStr">
        <is>
          <t>Kore Potash Plc</t>
        </is>
      </c>
      <c r="J1400" t="inlineStr">
        <is>
          <t>AUD</t>
        </is>
      </c>
      <c r="K1400" s="5" t="inlineStr">
        <is>
          <t>01a152b9-6ee2-7577-bddd-382bc3853fde</t>
        </is>
      </c>
      <c r="M1400" t="inlineStr">
        <is>
          <t>UNKNOWN</t>
        </is>
      </c>
      <c r="N1400" t="inlineStr">
        <is>
          <t>DEFAULT</t>
        </is>
      </c>
      <c r="Q1400" t="n">
        <v>0</v>
      </c>
      <c r="R1400" t="inlineStr">
        <is>
          <t>AUD</t>
        </is>
      </c>
      <c r="S1400" t="n">
        <v>0</v>
      </c>
      <c r="T1400" t="inlineStr">
        <is>
          <t>AUD</t>
        </is>
      </c>
      <c r="U1400" t="n">
        <v>0</v>
      </c>
    </row>
    <row r="1401">
      <c r="A1401" s="5" t="inlineStr">
        <is>
          <t>01a152b9-854d-72ed-a7a0-0c9565686164</t>
        </is>
      </c>
      <c r="C1401" s="5" t="inlineStr">
        <is>
          <t>01a152b9-6e67-75da-8adb-b03e5d07fd21</t>
        </is>
      </c>
      <c r="D1401" s="4" t="n">
        <v>46314.24597720041</v>
      </c>
      <c r="E1401" s="4" t="n">
        <v>46314.24597720058</v>
      </c>
      <c r="F1401" t="b">
        <v>1</v>
      </c>
      <c r="G1401" t="n">
        <v/>
      </c>
      <c r="H1401" t="inlineStr">
        <is>
          <t>RHY</t>
        </is>
      </c>
      <c r="I1401" t="inlineStr">
        <is>
          <t>RHYTHM Biosciences Ltd</t>
        </is>
      </c>
      <c r="J1401" t="inlineStr">
        <is>
          <t>AUD</t>
        </is>
      </c>
      <c r="K1401" s="5" t="inlineStr">
        <is>
          <t>01a152b9-6ee2-7577-bddd-382bc3853fde</t>
        </is>
      </c>
      <c r="M1401" t="inlineStr">
        <is>
          <t>UNKNOWN</t>
        </is>
      </c>
      <c r="N1401" t="inlineStr">
        <is>
          <t>DEFAULT</t>
        </is>
      </c>
      <c r="Q1401" t="n">
        <v>0</v>
      </c>
      <c r="R1401" t="inlineStr">
        <is>
          <t>AUD</t>
        </is>
      </c>
      <c r="S1401" t="n">
        <v>0</v>
      </c>
      <c r="T1401" t="inlineStr">
        <is>
          <t>AUD</t>
        </is>
      </c>
      <c r="U1401" t="n">
        <v>0</v>
      </c>
    </row>
    <row r="1402">
      <c r="A1402" s="5" t="inlineStr">
        <is>
          <t>01a152b9-8552-73c7-966d-85d4c0a9960e</t>
        </is>
      </c>
      <c r="C1402" s="5" t="inlineStr">
        <is>
          <t>01a152b9-6e67-75da-8adb-b03e5d07fd21</t>
        </is>
      </c>
      <c r="D1402" s="4" t="n">
        <v>46314.24597725127</v>
      </c>
      <c r="E1402" s="4" t="n">
        <v>46314.24597725141</v>
      </c>
      <c r="F1402" t="b">
        <v>1</v>
      </c>
      <c r="G1402" t="n">
        <v/>
      </c>
      <c r="H1402" t="inlineStr">
        <is>
          <t>G50</t>
        </is>
      </c>
      <c r="I1402" t="inlineStr">
        <is>
          <t>G50 Corp Ltd</t>
        </is>
      </c>
      <c r="J1402" t="inlineStr">
        <is>
          <t>AUD</t>
        </is>
      </c>
      <c r="K1402" s="5" t="inlineStr">
        <is>
          <t>01a152b9-6ee2-7577-bddd-382bc3853fde</t>
        </is>
      </c>
      <c r="M1402" t="inlineStr">
        <is>
          <t>UNKNOWN</t>
        </is>
      </c>
      <c r="N1402" t="inlineStr">
        <is>
          <t>DEFAULT</t>
        </is>
      </c>
      <c r="Q1402" t="n">
        <v>0</v>
      </c>
      <c r="R1402" t="inlineStr">
        <is>
          <t>AUD</t>
        </is>
      </c>
      <c r="S1402" t="n">
        <v>0</v>
      </c>
      <c r="T1402" t="inlineStr">
        <is>
          <t>AUD</t>
        </is>
      </c>
      <c r="U1402" t="n">
        <v>0</v>
      </c>
    </row>
    <row r="1403">
      <c r="A1403" s="5" t="inlineStr">
        <is>
          <t>01a152b9-8556-776a-b3b7-84bdf01874e0</t>
        </is>
      </c>
      <c r="C1403" s="5" t="inlineStr">
        <is>
          <t>01a152b9-6e67-75da-8adb-b03e5d07fd21</t>
        </is>
      </c>
      <c r="D1403" s="4" t="n">
        <v>46314.24597729477</v>
      </c>
      <c r="E1403" s="4" t="n">
        <v>46314.24597729489</v>
      </c>
      <c r="F1403" t="b">
        <v>1</v>
      </c>
      <c r="G1403" t="n">
        <v/>
      </c>
      <c r="H1403" t="inlineStr">
        <is>
          <t>NXD</t>
        </is>
      </c>
      <c r="I1403" t="inlineStr">
        <is>
          <t>Nexted Group Ltd</t>
        </is>
      </c>
      <c r="J1403" t="inlineStr">
        <is>
          <t>AUD</t>
        </is>
      </c>
      <c r="K1403" s="5" t="inlineStr">
        <is>
          <t>01a152b9-6ee2-7577-bddd-382bc3853fde</t>
        </is>
      </c>
      <c r="M1403" t="inlineStr">
        <is>
          <t>UNKNOWN</t>
        </is>
      </c>
      <c r="N1403" t="inlineStr">
        <is>
          <t>DEFAULT</t>
        </is>
      </c>
      <c r="Q1403" t="n">
        <v>0</v>
      </c>
      <c r="R1403" t="inlineStr">
        <is>
          <t>AUD</t>
        </is>
      </c>
      <c r="S1403" t="n">
        <v>0</v>
      </c>
      <c r="T1403" t="inlineStr">
        <is>
          <t>AUD</t>
        </is>
      </c>
      <c r="U1403" t="n">
        <v>0</v>
      </c>
    </row>
    <row r="1404">
      <c r="A1404" s="5" t="inlineStr">
        <is>
          <t>01a152b9-8559-7580-926e-6e32ad2b0567</t>
        </is>
      </c>
      <c r="C1404" s="5" t="inlineStr">
        <is>
          <t>01a152b9-6e67-75da-8adb-b03e5d07fd21</t>
        </is>
      </c>
      <c r="D1404" s="4" t="n">
        <v>46314.24597733705</v>
      </c>
      <c r="E1404" s="4" t="n">
        <v>46314.24597733719</v>
      </c>
      <c r="F1404" t="b">
        <v>1</v>
      </c>
      <c r="G1404" t="n">
        <v/>
      </c>
      <c r="H1404" t="inlineStr">
        <is>
          <t>CG1</t>
        </is>
      </c>
      <c r="I1404" t="inlineStr">
        <is>
          <t>Carbonxt Group Ltd</t>
        </is>
      </c>
      <c r="J1404" t="inlineStr">
        <is>
          <t>AUD</t>
        </is>
      </c>
      <c r="K1404" s="5" t="inlineStr">
        <is>
          <t>01a152b9-6ee2-7577-bddd-382bc3853fde</t>
        </is>
      </c>
      <c r="M1404" t="inlineStr">
        <is>
          <t>UNKNOWN</t>
        </is>
      </c>
      <c r="N1404" t="inlineStr">
        <is>
          <t>DEFAULT</t>
        </is>
      </c>
      <c r="Q1404" t="n">
        <v>0</v>
      </c>
      <c r="R1404" t="inlineStr">
        <is>
          <t>AUD</t>
        </is>
      </c>
      <c r="S1404" t="n">
        <v>0</v>
      </c>
      <c r="T1404" t="inlineStr">
        <is>
          <t>AUD</t>
        </is>
      </c>
      <c r="U1404" t="n">
        <v>0</v>
      </c>
    </row>
    <row r="1405">
      <c r="A1405" s="5" t="inlineStr">
        <is>
          <t>01a152b9-855d-720e-86ee-1ff8897fca0e</t>
        </is>
      </c>
      <c r="C1405" s="5" t="inlineStr">
        <is>
          <t>01a152b9-6e67-75da-8adb-b03e5d07fd21</t>
        </is>
      </c>
      <c r="D1405" s="4" t="n">
        <v>46314.24597738455</v>
      </c>
      <c r="E1405" s="4" t="n">
        <v>46314.24597738468</v>
      </c>
      <c r="F1405" t="b">
        <v>1</v>
      </c>
      <c r="G1405" t="n">
        <v/>
      </c>
      <c r="H1405" t="inlineStr">
        <is>
          <t>CD1</t>
        </is>
      </c>
      <c r="I1405" t="inlineStr">
        <is>
          <t>CD Private Equity Fund I</t>
        </is>
      </c>
      <c r="J1405" t="inlineStr">
        <is>
          <t>AUD</t>
        </is>
      </c>
      <c r="K1405" s="5" t="inlineStr">
        <is>
          <t>01a152b9-6ee2-7577-bddd-382bc3853fde</t>
        </is>
      </c>
      <c r="M1405" t="inlineStr">
        <is>
          <t>UNKNOWN</t>
        </is>
      </c>
      <c r="N1405" t="inlineStr">
        <is>
          <t>DEFAULT</t>
        </is>
      </c>
      <c r="Q1405" t="n">
        <v>0</v>
      </c>
      <c r="R1405" t="inlineStr">
        <is>
          <t>AUD</t>
        </is>
      </c>
      <c r="S1405" t="n">
        <v>0</v>
      </c>
      <c r="T1405" t="inlineStr">
        <is>
          <t>AUD</t>
        </is>
      </c>
      <c r="U1405" t="n">
        <v>0</v>
      </c>
    </row>
    <row r="1406">
      <c r="A1406" s="5" t="inlineStr">
        <is>
          <t>01a152b9-8561-7489-9c30-01ca0cb2892e</t>
        </is>
      </c>
      <c r="C1406" s="5" t="inlineStr">
        <is>
          <t>01a152b9-6e67-75da-8adb-b03e5d07fd21</t>
        </is>
      </c>
      <c r="D1406" s="4" t="n">
        <v>46314.24597743191</v>
      </c>
      <c r="E1406" s="4" t="n">
        <v>46314.24597743205</v>
      </c>
      <c r="F1406" t="b">
        <v>1</v>
      </c>
      <c r="G1406" t="n">
        <v/>
      </c>
      <c r="H1406" t="inlineStr">
        <is>
          <t>LPE</t>
        </is>
      </c>
      <c r="I1406" t="inlineStr">
        <is>
          <t>Locality Planning Energy Holdings Ltd</t>
        </is>
      </c>
      <c r="J1406" t="inlineStr">
        <is>
          <t>AUD</t>
        </is>
      </c>
      <c r="K1406" s="5" t="inlineStr">
        <is>
          <t>01a152b9-6ee2-7577-bddd-382bc3853fde</t>
        </is>
      </c>
      <c r="M1406" t="inlineStr">
        <is>
          <t>UNKNOWN</t>
        </is>
      </c>
      <c r="N1406" t="inlineStr">
        <is>
          <t>DEFAULT</t>
        </is>
      </c>
      <c r="Q1406" t="n">
        <v>0</v>
      </c>
      <c r="R1406" t="inlineStr">
        <is>
          <t>AUD</t>
        </is>
      </c>
      <c r="S1406" t="n">
        <v>0</v>
      </c>
      <c r="T1406" t="inlineStr">
        <is>
          <t>AUD</t>
        </is>
      </c>
      <c r="U1406" t="n">
        <v>0</v>
      </c>
    </row>
    <row r="1407">
      <c r="A1407" s="5" t="inlineStr">
        <is>
          <t>01a152b9-8565-72a5-93d8-1a685617b351</t>
        </is>
      </c>
      <c r="C1407" s="5" t="inlineStr">
        <is>
          <t>01a152b9-6e67-75da-8adb-b03e5d07fd21</t>
        </is>
      </c>
      <c r="D1407" s="4" t="n">
        <v>46314.24597747246</v>
      </c>
      <c r="E1407" s="4" t="n">
        <v>46314.24597747256</v>
      </c>
      <c r="F1407" t="b">
        <v>1</v>
      </c>
      <c r="G1407" t="n">
        <v/>
      </c>
      <c r="H1407" t="inlineStr">
        <is>
          <t>RMY</t>
        </is>
      </c>
      <c r="I1407" t="inlineStr">
        <is>
          <t>Rma Global Ltd</t>
        </is>
      </c>
      <c r="J1407" t="inlineStr">
        <is>
          <t>AUD</t>
        </is>
      </c>
      <c r="K1407" s="5" t="inlineStr">
        <is>
          <t>01a152b9-6ee2-7577-bddd-382bc3853fde</t>
        </is>
      </c>
      <c r="M1407" t="inlineStr">
        <is>
          <t>UNKNOWN</t>
        </is>
      </c>
      <c r="N1407" t="inlineStr">
        <is>
          <t>DEFAULT</t>
        </is>
      </c>
      <c r="Q1407" t="n">
        <v>0</v>
      </c>
      <c r="R1407" t="inlineStr">
        <is>
          <t>AUD</t>
        </is>
      </c>
      <c r="S1407" t="n">
        <v>0</v>
      </c>
      <c r="T1407" t="inlineStr">
        <is>
          <t>AUD</t>
        </is>
      </c>
      <c r="U1407" t="n">
        <v>0</v>
      </c>
    </row>
    <row r="1408">
      <c r="A1408" s="5" t="inlineStr">
        <is>
          <t>01a152b9-8568-77f2-92cb-143e36be0b9d</t>
        </is>
      </c>
      <c r="C1408" s="5" t="inlineStr">
        <is>
          <t>01a152b9-6e67-75da-8adb-b03e5d07fd21</t>
        </is>
      </c>
      <c r="D1408" s="4" t="n">
        <v>46314.24597751221</v>
      </c>
      <c r="E1408" s="4" t="n">
        <v>46314.24597751231</v>
      </c>
      <c r="F1408" t="b">
        <v>1</v>
      </c>
      <c r="G1408" t="n">
        <v/>
      </c>
      <c r="H1408" t="inlineStr">
        <is>
          <t>SSO</t>
        </is>
      </c>
      <c r="I1408" t="inlineStr">
        <is>
          <t>SPDR S&amp;P/ASX Small Ordinaries Fund</t>
        </is>
      </c>
      <c r="J1408" t="inlineStr">
        <is>
          <t>AUD</t>
        </is>
      </c>
      <c r="K1408" s="5" t="inlineStr">
        <is>
          <t>01a152b9-6ee2-7577-bddd-382bc3853fde</t>
        </is>
      </c>
      <c r="M1408" t="inlineStr">
        <is>
          <t>UNKNOWN</t>
        </is>
      </c>
      <c r="N1408" t="inlineStr">
        <is>
          <t>DEFAULT</t>
        </is>
      </c>
      <c r="Q1408" t="n">
        <v>0</v>
      </c>
      <c r="R1408" t="inlineStr">
        <is>
          <t>AUD</t>
        </is>
      </c>
      <c r="S1408" t="n">
        <v>0</v>
      </c>
      <c r="T1408" t="inlineStr">
        <is>
          <t>AUD</t>
        </is>
      </c>
      <c r="U1408" t="n">
        <v>0</v>
      </c>
    </row>
    <row r="1409">
      <c r="A1409" s="5" t="inlineStr">
        <is>
          <t>01a152b9-856c-71ba-bf01-a70cba175ab8</t>
        </is>
      </c>
      <c r="C1409" s="5" t="inlineStr">
        <is>
          <t>01a152b9-6e67-75da-8adb-b03e5d07fd21</t>
        </is>
      </c>
      <c r="D1409" s="4" t="n">
        <v>46314.24597754977</v>
      </c>
      <c r="E1409" s="4" t="n">
        <v>46314.24597754987</v>
      </c>
      <c r="F1409" t="b">
        <v>1</v>
      </c>
      <c r="G1409" t="n">
        <v/>
      </c>
      <c r="H1409" t="inlineStr">
        <is>
          <t>LCE</t>
        </is>
      </c>
      <c r="I1409" t="inlineStr">
        <is>
          <t>London City Equities Ltd</t>
        </is>
      </c>
      <c r="J1409" t="inlineStr">
        <is>
          <t>AUD</t>
        </is>
      </c>
      <c r="K1409" s="5" t="inlineStr">
        <is>
          <t>01a152b9-6ee2-7577-bddd-382bc3853fde</t>
        </is>
      </c>
      <c r="M1409" t="inlineStr">
        <is>
          <t>UNKNOWN</t>
        </is>
      </c>
      <c r="N1409" t="inlineStr">
        <is>
          <t>DEFAULT</t>
        </is>
      </c>
      <c r="Q1409" t="n">
        <v>0</v>
      </c>
      <c r="R1409" t="inlineStr">
        <is>
          <t>AUD</t>
        </is>
      </c>
      <c r="S1409" t="n">
        <v>0</v>
      </c>
      <c r="T1409" t="inlineStr">
        <is>
          <t>AUD</t>
        </is>
      </c>
      <c r="U1409" t="n">
        <v>0</v>
      </c>
    </row>
    <row r="1410">
      <c r="A1410" s="5" t="inlineStr">
        <is>
          <t>01a152b9-856f-771c-b07a-dcc5a58f943c</t>
        </is>
      </c>
      <c r="C1410" s="5" t="inlineStr">
        <is>
          <t>01a152b9-6e67-75da-8adb-b03e5d07fd21</t>
        </is>
      </c>
      <c r="D1410" s="4" t="n">
        <v>46314.24597758951</v>
      </c>
      <c r="E1410" s="4" t="n">
        <v>46314.24597758962</v>
      </c>
      <c r="F1410" t="b">
        <v>1</v>
      </c>
      <c r="G1410" t="n">
        <v/>
      </c>
      <c r="H1410" t="inlineStr">
        <is>
          <t>ECP</t>
        </is>
      </c>
      <c r="I1410" t="inlineStr">
        <is>
          <t>ECP Emerging Growth Ltd</t>
        </is>
      </c>
      <c r="J1410" t="inlineStr">
        <is>
          <t>AUD</t>
        </is>
      </c>
      <c r="K1410" s="5" t="inlineStr">
        <is>
          <t>01a152b9-6ee2-7577-bddd-382bc3853fde</t>
        </is>
      </c>
      <c r="M1410" t="inlineStr">
        <is>
          <t>UNKNOWN</t>
        </is>
      </c>
      <c r="N1410" t="inlineStr">
        <is>
          <t>DEFAULT</t>
        </is>
      </c>
      <c r="Q1410" t="n">
        <v>0</v>
      </c>
      <c r="R1410" t="inlineStr">
        <is>
          <t>AUD</t>
        </is>
      </c>
      <c r="S1410" t="n">
        <v>0</v>
      </c>
      <c r="T1410" t="inlineStr">
        <is>
          <t>AUD</t>
        </is>
      </c>
      <c r="U1410" t="n">
        <v>0</v>
      </c>
    </row>
    <row r="1411">
      <c r="A1411" s="5" t="inlineStr">
        <is>
          <t>01a152b9-8573-75d1-be13-e12175b0651e</t>
        </is>
      </c>
      <c r="C1411" s="5" t="inlineStr">
        <is>
          <t>01a152b9-6e67-75da-8adb-b03e5d07fd21</t>
        </is>
      </c>
      <c r="D1411" s="4" t="n">
        <v>46314.24597763418</v>
      </c>
      <c r="E1411" s="4" t="n">
        <v>46314.24597763428</v>
      </c>
      <c r="F1411" t="b">
        <v>1</v>
      </c>
      <c r="G1411" t="n">
        <v/>
      </c>
      <c r="H1411" t="inlineStr">
        <is>
          <t>DOC</t>
        </is>
      </c>
      <c r="I1411" t="inlineStr">
        <is>
          <t>Doctor Care Anywhere Group Plc</t>
        </is>
      </c>
      <c r="J1411" t="inlineStr">
        <is>
          <t>AUD</t>
        </is>
      </c>
      <c r="K1411" s="5" t="inlineStr">
        <is>
          <t>01a152b9-6ee2-7577-bddd-382bc3853fde</t>
        </is>
      </c>
      <c r="M1411" t="inlineStr">
        <is>
          <t>UNKNOWN</t>
        </is>
      </c>
      <c r="N1411" t="inlineStr">
        <is>
          <t>DEFAULT</t>
        </is>
      </c>
      <c r="Q1411" t="n">
        <v>0</v>
      </c>
      <c r="R1411" t="inlineStr">
        <is>
          <t>AUD</t>
        </is>
      </c>
      <c r="S1411" t="n">
        <v>0</v>
      </c>
      <c r="T1411" t="inlineStr">
        <is>
          <t>AUD</t>
        </is>
      </c>
      <c r="U1411" t="n">
        <v>0</v>
      </c>
    </row>
    <row r="1412">
      <c r="A1412" s="5" t="inlineStr">
        <is>
          <t>01a152b9-8577-732f-abb9-e19d4206642f</t>
        </is>
      </c>
      <c r="C1412" s="5" t="inlineStr">
        <is>
          <t>01a152b9-6e67-75da-8adb-b03e5d07fd21</t>
        </is>
      </c>
      <c r="D1412" s="4" t="n">
        <v>46314.24597767774</v>
      </c>
      <c r="E1412" s="4" t="n">
        <v>46314.24597767786</v>
      </c>
      <c r="F1412" t="b">
        <v>1</v>
      </c>
      <c r="G1412" t="n">
        <v/>
      </c>
      <c r="H1412" t="inlineStr">
        <is>
          <t>SRT</t>
        </is>
      </c>
      <c r="I1412" t="inlineStr">
        <is>
          <t>Strata Investment Holdings Plc</t>
        </is>
      </c>
      <c r="J1412" t="inlineStr">
        <is>
          <t>AUD</t>
        </is>
      </c>
      <c r="K1412" s="5" t="inlineStr">
        <is>
          <t>01a152b9-6ee2-7577-bddd-382bc3853fde</t>
        </is>
      </c>
      <c r="M1412" t="inlineStr">
        <is>
          <t>UNKNOWN</t>
        </is>
      </c>
      <c r="N1412" t="inlineStr">
        <is>
          <t>DEFAULT</t>
        </is>
      </c>
      <c r="Q1412" t="n">
        <v>0</v>
      </c>
      <c r="R1412" t="inlineStr">
        <is>
          <t>AUD</t>
        </is>
      </c>
      <c r="S1412" t="n">
        <v>0</v>
      </c>
      <c r="T1412" t="inlineStr">
        <is>
          <t>AUD</t>
        </is>
      </c>
      <c r="U1412" t="n">
        <v>0</v>
      </c>
    </row>
    <row r="1413">
      <c r="A1413" s="5" t="inlineStr">
        <is>
          <t>01a152b9-857a-76c8-a882-e7e563d1504b</t>
        </is>
      </c>
      <c r="C1413" s="5" t="inlineStr">
        <is>
          <t>01a152b9-6e67-75da-8adb-b03e5d07fd21</t>
        </is>
      </c>
      <c r="D1413" s="4" t="n">
        <v>46314.24597772058</v>
      </c>
      <c r="E1413" s="4" t="n">
        <v>46314.24597772068</v>
      </c>
      <c r="F1413" t="b">
        <v>1</v>
      </c>
      <c r="G1413" t="n">
        <v/>
      </c>
      <c r="H1413" t="inlineStr">
        <is>
          <t>AMX</t>
        </is>
      </c>
      <c r="I1413" t="inlineStr">
        <is>
          <t>Aerometrex Ltd</t>
        </is>
      </c>
      <c r="J1413" t="inlineStr">
        <is>
          <t>AUD</t>
        </is>
      </c>
      <c r="K1413" s="5" t="inlineStr">
        <is>
          <t>01a152b9-6ee2-7577-bddd-382bc3853fde</t>
        </is>
      </c>
      <c r="M1413" t="inlineStr">
        <is>
          <t>UNKNOWN</t>
        </is>
      </c>
      <c r="N1413" t="inlineStr">
        <is>
          <t>DEFAULT</t>
        </is>
      </c>
      <c r="Q1413" t="n">
        <v>0</v>
      </c>
      <c r="R1413" t="inlineStr">
        <is>
          <t>AUD</t>
        </is>
      </c>
      <c r="S1413" t="n">
        <v>0</v>
      </c>
      <c r="T1413" t="inlineStr">
        <is>
          <t>AUD</t>
        </is>
      </c>
      <c r="U1413" t="n">
        <v>0</v>
      </c>
    </row>
    <row r="1414">
      <c r="A1414" s="5" t="inlineStr">
        <is>
          <t>01a152b9-857e-7294-9cb1-8ac571674ab2</t>
        </is>
      </c>
      <c r="C1414" s="5" t="inlineStr">
        <is>
          <t>01a152b9-6e67-75da-8adb-b03e5d07fd21</t>
        </is>
      </c>
      <c r="D1414" s="4" t="n">
        <v>46314.24597775838</v>
      </c>
      <c r="E1414" s="4" t="n">
        <v>46314.24597775848</v>
      </c>
      <c r="F1414" t="b">
        <v>1</v>
      </c>
      <c r="G1414" t="n">
        <v/>
      </c>
      <c r="H1414" t="inlineStr">
        <is>
          <t>NIM</t>
        </is>
      </c>
      <c r="I1414" t="inlineStr">
        <is>
          <t>Nimy Resources Ltd</t>
        </is>
      </c>
      <c r="J1414" t="inlineStr">
        <is>
          <t>AUD</t>
        </is>
      </c>
      <c r="K1414" s="5" t="inlineStr">
        <is>
          <t>01a152b9-6ee2-7577-bddd-382bc3853fde</t>
        </is>
      </c>
      <c r="M1414" t="inlineStr">
        <is>
          <t>UNKNOWN</t>
        </is>
      </c>
      <c r="N1414" t="inlineStr">
        <is>
          <t>DEFAULT</t>
        </is>
      </c>
      <c r="Q1414" t="n">
        <v>0</v>
      </c>
      <c r="R1414" t="inlineStr">
        <is>
          <t>AUD</t>
        </is>
      </c>
      <c r="S1414" t="n">
        <v>0</v>
      </c>
      <c r="T1414" t="inlineStr">
        <is>
          <t>AUD</t>
        </is>
      </c>
      <c r="U1414" t="n">
        <v>0</v>
      </c>
    </row>
    <row r="1415">
      <c r="A1415" s="5" t="inlineStr">
        <is>
          <t>01a152b9-8582-7367-90ba-1f700c2a7f81</t>
        </is>
      </c>
      <c r="C1415" s="5" t="inlineStr">
        <is>
          <t>01a152b9-6e67-75da-8adb-b03e5d07fd21</t>
        </is>
      </c>
      <c r="D1415" s="4" t="n">
        <v>46314.24597780515</v>
      </c>
      <c r="E1415" s="4" t="n">
        <v>46314.24597780528</v>
      </c>
      <c r="F1415" t="b">
        <v>1</v>
      </c>
      <c r="G1415" t="n">
        <v/>
      </c>
      <c r="H1415" t="inlineStr">
        <is>
          <t>5EA</t>
        </is>
      </c>
      <c r="I1415" t="inlineStr">
        <is>
          <t>5E Advanced Materials Inc</t>
        </is>
      </c>
      <c r="J1415" t="inlineStr">
        <is>
          <t>AUD</t>
        </is>
      </c>
      <c r="K1415" s="5" t="inlineStr">
        <is>
          <t>01a152b9-6ee2-7577-bddd-382bc3853fde</t>
        </is>
      </c>
      <c r="M1415" t="inlineStr">
        <is>
          <t>UNKNOWN</t>
        </is>
      </c>
      <c r="N1415" t="inlineStr">
        <is>
          <t>DEFAULT</t>
        </is>
      </c>
      <c r="Q1415" t="n">
        <v>0</v>
      </c>
      <c r="R1415" t="inlineStr">
        <is>
          <t>AUD</t>
        </is>
      </c>
      <c r="S1415" t="n">
        <v>0</v>
      </c>
      <c r="T1415" t="inlineStr">
        <is>
          <t>AUD</t>
        </is>
      </c>
      <c r="U1415" t="n">
        <v>0</v>
      </c>
    </row>
    <row r="1416">
      <c r="A1416" s="5" t="inlineStr">
        <is>
          <t>01a152b9-8586-7213-b66f-ca2c501181d5</t>
        </is>
      </c>
      <c r="C1416" s="5" t="inlineStr">
        <is>
          <t>01a152b9-6e67-75da-8adb-b03e5d07fd21</t>
        </is>
      </c>
      <c r="D1416" s="4" t="n">
        <v>46314.24597784886</v>
      </c>
      <c r="E1416" s="4" t="n">
        <v>46314.24597784896</v>
      </c>
      <c r="F1416" t="b">
        <v>1</v>
      </c>
      <c r="G1416" t="n">
        <v/>
      </c>
      <c r="H1416" t="inlineStr">
        <is>
          <t>NCC</t>
        </is>
      </c>
      <c r="I1416" t="inlineStr">
        <is>
          <t>Naos Emerging Opportunities Company Ltd</t>
        </is>
      </c>
      <c r="J1416" t="inlineStr">
        <is>
          <t>AUD</t>
        </is>
      </c>
      <c r="K1416" s="5" t="inlineStr">
        <is>
          <t>01a152b9-6ee2-7577-bddd-382bc3853fde</t>
        </is>
      </c>
      <c r="M1416" t="inlineStr">
        <is>
          <t>UNKNOWN</t>
        </is>
      </c>
      <c r="N1416" t="inlineStr">
        <is>
          <t>DEFAULT</t>
        </is>
      </c>
      <c r="Q1416" t="n">
        <v>0</v>
      </c>
      <c r="R1416" t="inlineStr">
        <is>
          <t>AUD</t>
        </is>
      </c>
      <c r="S1416" t="n">
        <v>0</v>
      </c>
      <c r="T1416" t="inlineStr">
        <is>
          <t>AUD</t>
        </is>
      </c>
      <c r="U1416" t="n">
        <v>0</v>
      </c>
    </row>
    <row r="1417">
      <c r="A1417" s="5" t="inlineStr">
        <is>
          <t>01a152b9-8589-7721-8db5-b7a6c9505766</t>
        </is>
      </c>
      <c r="C1417" s="5" t="inlineStr">
        <is>
          <t>01a152b9-6e67-75da-8adb-b03e5d07fd21</t>
        </is>
      </c>
      <c r="D1417" s="4" t="n">
        <v>46314.24597788716</v>
      </c>
      <c r="E1417" s="4" t="n">
        <v>46314.24597788724</v>
      </c>
      <c r="F1417" t="b">
        <v>1</v>
      </c>
      <c r="G1417" t="n">
        <v/>
      </c>
      <c r="H1417" t="inlineStr">
        <is>
          <t>CLA</t>
        </is>
      </c>
      <c r="I1417" t="inlineStr">
        <is>
          <t>Celsius Resources Ltd</t>
        </is>
      </c>
      <c r="J1417" t="inlineStr">
        <is>
          <t>AUD</t>
        </is>
      </c>
      <c r="K1417" s="5" t="inlineStr">
        <is>
          <t>01a152b9-6ee2-7577-bddd-382bc3853fde</t>
        </is>
      </c>
      <c r="M1417" t="inlineStr">
        <is>
          <t>UNKNOWN</t>
        </is>
      </c>
      <c r="N1417" t="inlineStr">
        <is>
          <t>DEFAULT</t>
        </is>
      </c>
      <c r="Q1417" t="n">
        <v>0</v>
      </c>
      <c r="R1417" t="inlineStr">
        <is>
          <t>AUD</t>
        </is>
      </c>
      <c r="S1417" t="n">
        <v>0</v>
      </c>
      <c r="T1417" t="inlineStr">
        <is>
          <t>AUD</t>
        </is>
      </c>
      <c r="U1417" t="n">
        <v>0</v>
      </c>
    </row>
    <row r="1418">
      <c r="A1418" s="5" t="inlineStr">
        <is>
          <t>01a152b9-858d-7309-aafb-f7b7ba55de80</t>
        </is>
      </c>
      <c r="C1418" s="5" t="inlineStr">
        <is>
          <t>01a152b9-6e67-75da-8adb-b03e5d07fd21</t>
        </is>
      </c>
      <c r="D1418" s="4" t="n">
        <v>46314.24597793305</v>
      </c>
      <c r="E1418" s="4" t="n">
        <v>46314.24597793317</v>
      </c>
      <c r="F1418" t="b">
        <v>1</v>
      </c>
      <c r="G1418" t="n">
        <v/>
      </c>
      <c r="H1418" t="inlineStr">
        <is>
          <t>EMMG</t>
        </is>
      </c>
      <c r="I1418" t="inlineStr">
        <is>
          <t>Betashares Martin Currie Em Fund (Managed Fund)</t>
        </is>
      </c>
      <c r="J1418" t="inlineStr">
        <is>
          <t>AUD</t>
        </is>
      </c>
      <c r="K1418" s="5" t="inlineStr">
        <is>
          <t>01a152b9-6ee2-7577-bddd-382bc3853fde</t>
        </is>
      </c>
      <c r="M1418" t="inlineStr">
        <is>
          <t>UNKNOWN</t>
        </is>
      </c>
      <c r="N1418" t="inlineStr">
        <is>
          <t>DEFAULT</t>
        </is>
      </c>
      <c r="Q1418" t="n">
        <v>0</v>
      </c>
      <c r="R1418" t="inlineStr">
        <is>
          <t>AUD</t>
        </is>
      </c>
      <c r="S1418" t="n">
        <v>0</v>
      </c>
      <c r="T1418" t="inlineStr">
        <is>
          <t>AUD</t>
        </is>
      </c>
      <c r="U1418" t="n">
        <v>0</v>
      </c>
    </row>
    <row r="1419">
      <c r="A1419" s="5" t="inlineStr">
        <is>
          <t>01a152b9-8590-77f2-908e-e484d96257c1</t>
        </is>
      </c>
      <c r="C1419" s="5" t="inlineStr">
        <is>
          <t>01a152b9-6e67-75da-8adb-b03e5d07fd21</t>
        </is>
      </c>
      <c r="D1419" s="4" t="n">
        <v>46314.24597797103</v>
      </c>
      <c r="E1419" s="4" t="n">
        <v>46314.24597797114</v>
      </c>
      <c r="F1419" t="b">
        <v>1</v>
      </c>
      <c r="G1419" t="n">
        <v/>
      </c>
      <c r="H1419" t="inlineStr">
        <is>
          <t>HMX</t>
        </is>
      </c>
      <c r="I1419" t="inlineStr">
        <is>
          <t>Hammer Metals Ltd</t>
        </is>
      </c>
      <c r="J1419" t="inlineStr">
        <is>
          <t>AUD</t>
        </is>
      </c>
      <c r="K1419" s="5" t="inlineStr">
        <is>
          <t>01a152b9-6ee2-7577-bddd-382bc3853fde</t>
        </is>
      </c>
      <c r="M1419" t="inlineStr">
        <is>
          <t>UNKNOWN</t>
        </is>
      </c>
      <c r="N1419" t="inlineStr">
        <is>
          <t>DEFAULT</t>
        </is>
      </c>
      <c r="Q1419" t="n">
        <v>0</v>
      </c>
      <c r="R1419" t="inlineStr">
        <is>
          <t>AUD</t>
        </is>
      </c>
      <c r="S1419" t="n">
        <v>0</v>
      </c>
      <c r="T1419" t="inlineStr">
        <is>
          <t>AUD</t>
        </is>
      </c>
      <c r="U1419" t="n">
        <v>0</v>
      </c>
    </row>
    <row r="1420">
      <c r="A1420" s="5" t="inlineStr">
        <is>
          <t>01a152b9-8594-724f-bb60-de07795c5b67</t>
        </is>
      </c>
      <c r="C1420" s="5" t="inlineStr">
        <is>
          <t>01a152b9-6e67-75da-8adb-b03e5d07fd21</t>
        </is>
      </c>
      <c r="D1420" s="4" t="n">
        <v>46314.24597801793</v>
      </c>
      <c r="E1420" s="4" t="n">
        <v>46314.24597801803</v>
      </c>
      <c r="F1420" t="b">
        <v>1</v>
      </c>
      <c r="G1420" t="n">
        <v/>
      </c>
      <c r="H1420" t="inlineStr">
        <is>
          <t>CIW</t>
        </is>
      </c>
      <c r="I1420" t="inlineStr">
        <is>
          <t>Clime Investment Management Ltd</t>
        </is>
      </c>
      <c r="J1420" t="inlineStr">
        <is>
          <t>AUD</t>
        </is>
      </c>
      <c r="K1420" s="5" t="inlineStr">
        <is>
          <t>01a152b9-6ee2-7577-bddd-382bc3853fde</t>
        </is>
      </c>
      <c r="M1420" t="inlineStr">
        <is>
          <t>UNKNOWN</t>
        </is>
      </c>
      <c r="N1420" t="inlineStr">
        <is>
          <t>DEFAULT</t>
        </is>
      </c>
      <c r="Q1420" t="n">
        <v>0</v>
      </c>
      <c r="R1420" t="inlineStr">
        <is>
          <t>AUD</t>
        </is>
      </c>
      <c r="S1420" t="n">
        <v>0</v>
      </c>
      <c r="T1420" t="inlineStr">
        <is>
          <t>AUD</t>
        </is>
      </c>
      <c r="U1420" t="n">
        <v>0</v>
      </c>
    </row>
    <row r="1421">
      <c r="A1421" s="5" t="inlineStr">
        <is>
          <t>01a152b9-8597-74aa-a986-782022ab701d</t>
        </is>
      </c>
      <c r="C1421" s="5" t="inlineStr">
        <is>
          <t>01a152b9-6e67-75da-8adb-b03e5d07fd21</t>
        </is>
      </c>
      <c r="D1421" s="4" t="n">
        <v>46314.24597805356</v>
      </c>
      <c r="E1421" s="4" t="n">
        <v>46314.24597805368</v>
      </c>
      <c r="F1421" t="b">
        <v>1</v>
      </c>
      <c r="G1421" t="n">
        <v/>
      </c>
      <c r="H1421" t="inlineStr">
        <is>
          <t>SRL</t>
        </is>
      </c>
      <c r="I1421" t="inlineStr">
        <is>
          <t>Sunrise Energy Metals Ltd</t>
        </is>
      </c>
      <c r="J1421" t="inlineStr">
        <is>
          <t>AUD</t>
        </is>
      </c>
      <c r="K1421" s="5" t="inlineStr">
        <is>
          <t>01a152b9-6ee2-7577-bddd-382bc3853fde</t>
        </is>
      </c>
      <c r="M1421" t="inlineStr">
        <is>
          <t>UNKNOWN</t>
        </is>
      </c>
      <c r="N1421" t="inlineStr">
        <is>
          <t>DEFAULT</t>
        </is>
      </c>
      <c r="Q1421" t="n">
        <v>0</v>
      </c>
      <c r="R1421" t="inlineStr">
        <is>
          <t>AUD</t>
        </is>
      </c>
      <c r="S1421" t="n">
        <v>0</v>
      </c>
      <c r="T1421" t="inlineStr">
        <is>
          <t>AUD</t>
        </is>
      </c>
      <c r="U1421" t="n">
        <v>0</v>
      </c>
    </row>
    <row r="1422">
      <c r="A1422" s="5" t="inlineStr">
        <is>
          <t>01a152b9-859b-70ae-8d33-9eb800cedb80</t>
        </is>
      </c>
      <c r="C1422" s="5" t="inlineStr">
        <is>
          <t>01a152b9-6e67-75da-8adb-b03e5d07fd21</t>
        </is>
      </c>
      <c r="D1422" s="4" t="n">
        <v>46314.24597809308</v>
      </c>
      <c r="E1422" s="4" t="n">
        <v>46314.2459780932</v>
      </c>
      <c r="F1422" t="b">
        <v>1</v>
      </c>
      <c r="G1422" t="n">
        <v/>
      </c>
      <c r="H1422" t="inlineStr">
        <is>
          <t>MXR</t>
        </is>
      </c>
      <c r="I1422" t="inlineStr">
        <is>
          <t>Maximus Resources Ltd</t>
        </is>
      </c>
      <c r="J1422" t="inlineStr">
        <is>
          <t>AUD</t>
        </is>
      </c>
      <c r="K1422" s="5" t="inlineStr">
        <is>
          <t>01a152b9-6ee2-7577-bddd-382bc3853fde</t>
        </is>
      </c>
      <c r="M1422" t="inlineStr">
        <is>
          <t>UNKNOWN</t>
        </is>
      </c>
      <c r="N1422" t="inlineStr">
        <is>
          <t>DEFAULT</t>
        </is>
      </c>
      <c r="Q1422" t="n">
        <v>0</v>
      </c>
      <c r="R1422" t="inlineStr">
        <is>
          <t>AUD</t>
        </is>
      </c>
      <c r="S1422" t="n">
        <v>0</v>
      </c>
      <c r="T1422" t="inlineStr">
        <is>
          <t>AUD</t>
        </is>
      </c>
      <c r="U1422" t="n">
        <v>0</v>
      </c>
    </row>
    <row r="1423">
      <c r="A1423" s="5" t="inlineStr">
        <is>
          <t>01a152b9-859e-756c-b5d1-4f69846986ea</t>
        </is>
      </c>
      <c r="C1423" s="5" t="inlineStr">
        <is>
          <t>01a152b9-6e67-75da-8adb-b03e5d07fd21</t>
        </is>
      </c>
      <c r="D1423" s="4" t="n">
        <v>46314.24597812968</v>
      </c>
      <c r="E1423" s="4" t="n">
        <v>46314.24597812978</v>
      </c>
      <c r="F1423" t="b">
        <v>1</v>
      </c>
      <c r="G1423" t="n">
        <v/>
      </c>
      <c r="H1423" t="inlineStr">
        <is>
          <t>GBE</t>
        </is>
      </c>
      <c r="I1423" t="inlineStr">
        <is>
          <t>Globe Metals &amp; Mining Ltd</t>
        </is>
      </c>
      <c r="J1423" t="inlineStr">
        <is>
          <t>AUD</t>
        </is>
      </c>
      <c r="K1423" s="5" t="inlineStr">
        <is>
          <t>01a152b9-6ee2-7577-bddd-382bc3853fde</t>
        </is>
      </c>
      <c r="M1423" t="inlineStr">
        <is>
          <t>UNKNOWN</t>
        </is>
      </c>
      <c r="N1423" t="inlineStr">
        <is>
          <t>DEFAULT</t>
        </is>
      </c>
      <c r="Q1423" t="n">
        <v>0</v>
      </c>
      <c r="R1423" t="inlineStr">
        <is>
          <t>AUD</t>
        </is>
      </c>
      <c r="S1423" t="n">
        <v>0</v>
      </c>
      <c r="T1423" t="inlineStr">
        <is>
          <t>AUD</t>
        </is>
      </c>
      <c r="U1423" t="n">
        <v>0</v>
      </c>
    </row>
    <row r="1424">
      <c r="A1424" s="5" t="inlineStr">
        <is>
          <t>01a152b9-85a1-74df-b511-131049efda31</t>
        </is>
      </c>
      <c r="C1424" s="5" t="inlineStr">
        <is>
          <t>01a152b9-6e67-75da-8adb-b03e5d07fd21</t>
        </is>
      </c>
      <c r="D1424" s="4" t="n">
        <v>46314.24597816495</v>
      </c>
      <c r="E1424" s="4" t="n">
        <v>46314.24597816507</v>
      </c>
      <c r="F1424" t="b">
        <v>1</v>
      </c>
      <c r="G1424" t="n">
        <v/>
      </c>
      <c r="H1424" t="inlineStr">
        <is>
          <t>KME</t>
        </is>
      </c>
      <c r="I1424" t="inlineStr">
        <is>
          <t>Kip Mcgrath Education Centres Ltd</t>
        </is>
      </c>
      <c r="J1424" t="inlineStr">
        <is>
          <t>AUD</t>
        </is>
      </c>
      <c r="K1424" s="5" t="inlineStr">
        <is>
          <t>01a152b9-6ee2-7577-bddd-382bc3853fde</t>
        </is>
      </c>
      <c r="M1424" t="inlineStr">
        <is>
          <t>UNKNOWN</t>
        </is>
      </c>
      <c r="N1424" t="inlineStr">
        <is>
          <t>DEFAULT</t>
        </is>
      </c>
      <c r="Q1424" t="n">
        <v>0</v>
      </c>
      <c r="R1424" t="inlineStr">
        <is>
          <t>AUD</t>
        </is>
      </c>
      <c r="S1424" t="n">
        <v>0</v>
      </c>
      <c r="T1424" t="inlineStr">
        <is>
          <t>AUD</t>
        </is>
      </c>
      <c r="U1424" t="n">
        <v>0</v>
      </c>
    </row>
    <row r="1425">
      <c r="A1425" s="5" t="inlineStr">
        <is>
          <t>01a152b9-85a4-75f7-b5b6-d3a776cf634b</t>
        </is>
      </c>
      <c r="C1425" s="5" t="inlineStr">
        <is>
          <t>01a152b9-6e67-75da-8adb-b03e5d07fd21</t>
        </is>
      </c>
      <c r="D1425" s="4" t="n">
        <v>46314.24597820576</v>
      </c>
      <c r="E1425" s="4" t="n">
        <v>46314.24597820586</v>
      </c>
      <c r="F1425" t="b">
        <v>1</v>
      </c>
      <c r="G1425" t="n">
        <v/>
      </c>
      <c r="H1425" t="inlineStr">
        <is>
          <t>CDO</t>
        </is>
      </c>
      <c r="I1425" t="inlineStr">
        <is>
          <t>Cadence Opportunities Fund Ltd</t>
        </is>
      </c>
      <c r="J1425" t="inlineStr">
        <is>
          <t>AUD</t>
        </is>
      </c>
      <c r="K1425" s="5" t="inlineStr">
        <is>
          <t>01a152b9-6ee2-7577-bddd-382bc3853fde</t>
        </is>
      </c>
      <c r="M1425" t="inlineStr">
        <is>
          <t>UNKNOWN</t>
        </is>
      </c>
      <c r="N1425" t="inlineStr">
        <is>
          <t>DEFAULT</t>
        </is>
      </c>
      <c r="Q1425" t="n">
        <v>0</v>
      </c>
      <c r="R1425" t="inlineStr">
        <is>
          <t>AUD</t>
        </is>
      </c>
      <c r="S1425" t="n">
        <v>0</v>
      </c>
      <c r="T1425" t="inlineStr">
        <is>
          <t>AUD</t>
        </is>
      </c>
      <c r="U1425" t="n">
        <v>0</v>
      </c>
    </row>
    <row r="1426">
      <c r="A1426" s="5" t="inlineStr">
        <is>
          <t>01a152b9-85a8-7067-8dd4-4bd9931e364c</t>
        </is>
      </c>
      <c r="C1426" s="5" t="inlineStr">
        <is>
          <t>01a152b9-6e67-75da-8adb-b03e5d07fd21</t>
        </is>
      </c>
      <c r="D1426" s="4" t="n">
        <v>46314.24597824242</v>
      </c>
      <c r="E1426" s="4" t="n">
        <v>46314.24597824251</v>
      </c>
      <c r="F1426" t="b">
        <v>1</v>
      </c>
      <c r="G1426" t="n">
        <v/>
      </c>
      <c r="H1426" t="inlineStr">
        <is>
          <t>ARD</t>
        </is>
      </c>
      <c r="I1426" t="inlineStr">
        <is>
          <t>Argent Minerals Ltd</t>
        </is>
      </c>
      <c r="J1426" t="inlineStr">
        <is>
          <t>AUD</t>
        </is>
      </c>
      <c r="K1426" s="5" t="inlineStr">
        <is>
          <t>01a152b9-6ee2-7577-bddd-382bc3853fde</t>
        </is>
      </c>
      <c r="M1426" t="inlineStr">
        <is>
          <t>UNKNOWN</t>
        </is>
      </c>
      <c r="N1426" t="inlineStr">
        <is>
          <t>DEFAULT</t>
        </is>
      </c>
      <c r="Q1426" t="n">
        <v>0</v>
      </c>
      <c r="R1426" t="inlineStr">
        <is>
          <t>AUD</t>
        </is>
      </c>
      <c r="S1426" t="n">
        <v>0</v>
      </c>
      <c r="T1426" t="inlineStr">
        <is>
          <t>AUD</t>
        </is>
      </c>
      <c r="U1426" t="n">
        <v>0</v>
      </c>
    </row>
    <row r="1427">
      <c r="A1427" s="5" t="inlineStr">
        <is>
          <t>01a152b9-85ab-75c0-b92c-39b5f2359438</t>
        </is>
      </c>
      <c r="C1427" s="5" t="inlineStr">
        <is>
          <t>01a152b9-6e67-75da-8adb-b03e5d07fd21</t>
        </is>
      </c>
      <c r="D1427" s="4" t="n">
        <v>46314.24597827947</v>
      </c>
      <c r="E1427" s="4" t="n">
        <v>46314.24597827957</v>
      </c>
      <c r="F1427" t="b">
        <v>1</v>
      </c>
      <c r="G1427" t="n">
        <v/>
      </c>
      <c r="H1427" t="inlineStr">
        <is>
          <t>MAT</t>
        </is>
      </c>
      <c r="I1427" t="inlineStr">
        <is>
          <t>Matsa Resources Ltd</t>
        </is>
      </c>
      <c r="J1427" t="inlineStr">
        <is>
          <t>AUD</t>
        </is>
      </c>
      <c r="K1427" s="5" t="inlineStr">
        <is>
          <t>01a152b9-6ee2-7577-bddd-382bc3853fde</t>
        </is>
      </c>
      <c r="M1427" t="inlineStr">
        <is>
          <t>UNKNOWN</t>
        </is>
      </c>
      <c r="N1427" t="inlineStr">
        <is>
          <t>DEFAULT</t>
        </is>
      </c>
      <c r="Q1427" t="n">
        <v>0</v>
      </c>
      <c r="R1427" t="inlineStr">
        <is>
          <t>AUD</t>
        </is>
      </c>
      <c r="S1427" t="n">
        <v>0</v>
      </c>
      <c r="T1427" t="inlineStr">
        <is>
          <t>AUD</t>
        </is>
      </c>
      <c r="U1427" t="n">
        <v>0</v>
      </c>
    </row>
    <row r="1428">
      <c r="A1428" s="5" t="inlineStr">
        <is>
          <t>01a152b9-85ae-75f8-8bf0-1a7c1c9067dd</t>
        </is>
      </c>
      <c r="C1428" s="5" t="inlineStr">
        <is>
          <t>01a152b9-6e67-75da-8adb-b03e5d07fd21</t>
        </is>
      </c>
      <c r="D1428" s="4" t="n">
        <v>46314.24597831703</v>
      </c>
      <c r="E1428" s="4" t="n">
        <v>46314.24597831712</v>
      </c>
      <c r="F1428" t="b">
        <v>1</v>
      </c>
      <c r="G1428" t="n">
        <v/>
      </c>
      <c r="H1428" t="inlineStr">
        <is>
          <t>ASH</t>
        </is>
      </c>
      <c r="I1428" t="inlineStr">
        <is>
          <t>Ashley Services Group Ltd</t>
        </is>
      </c>
      <c r="J1428" t="inlineStr">
        <is>
          <t>AUD</t>
        </is>
      </c>
      <c r="K1428" s="5" t="inlineStr">
        <is>
          <t>01a152b9-6ee2-7577-bddd-382bc3853fde</t>
        </is>
      </c>
      <c r="M1428" t="inlineStr">
        <is>
          <t>UNKNOWN</t>
        </is>
      </c>
      <c r="N1428" t="inlineStr">
        <is>
          <t>DEFAULT</t>
        </is>
      </c>
      <c r="Q1428" t="n">
        <v>0</v>
      </c>
      <c r="R1428" t="inlineStr">
        <is>
          <t>AUD</t>
        </is>
      </c>
      <c r="S1428" t="n">
        <v>0</v>
      </c>
      <c r="T1428" t="inlineStr">
        <is>
          <t>AUD</t>
        </is>
      </c>
      <c r="U1428" t="n">
        <v>0</v>
      </c>
    </row>
    <row r="1429">
      <c r="A1429" s="5" t="inlineStr">
        <is>
          <t>01a152b9-85b1-7476-8874-79d87f998c43</t>
        </is>
      </c>
      <c r="C1429" s="5" t="inlineStr">
        <is>
          <t>01a152b9-6e67-75da-8adb-b03e5d07fd21</t>
        </is>
      </c>
      <c r="D1429" s="4" t="n">
        <v>46314.24597835459</v>
      </c>
      <c r="E1429" s="4" t="n">
        <v>46314.24597835467</v>
      </c>
      <c r="F1429" t="b">
        <v>1</v>
      </c>
      <c r="G1429" t="n">
        <v/>
      </c>
      <c r="H1429" t="inlineStr">
        <is>
          <t>TOE</t>
        </is>
      </c>
      <c r="I1429" t="inlineStr">
        <is>
          <t>Toro Energy Ltd</t>
        </is>
      </c>
      <c r="J1429" t="inlineStr">
        <is>
          <t>AUD</t>
        </is>
      </c>
      <c r="K1429" s="5" t="inlineStr">
        <is>
          <t>01a152b9-6ee2-7577-bddd-382bc3853fde</t>
        </is>
      </c>
      <c r="M1429" t="inlineStr">
        <is>
          <t>UNKNOWN</t>
        </is>
      </c>
      <c r="N1429" t="inlineStr">
        <is>
          <t>DEFAULT</t>
        </is>
      </c>
      <c r="Q1429" t="n">
        <v>0</v>
      </c>
      <c r="R1429" t="inlineStr">
        <is>
          <t>AUD</t>
        </is>
      </c>
      <c r="S1429" t="n">
        <v>0</v>
      </c>
      <c r="T1429" t="inlineStr">
        <is>
          <t>AUD</t>
        </is>
      </c>
      <c r="U1429" t="n">
        <v>0</v>
      </c>
    </row>
    <row r="1430">
      <c r="A1430" s="5" t="inlineStr">
        <is>
          <t>01a152b9-85b4-77a2-a192-7080c02cfaf4</t>
        </is>
      </c>
      <c r="C1430" s="5" t="inlineStr">
        <is>
          <t>01a152b9-6e67-75da-8adb-b03e5d07fd21</t>
        </is>
      </c>
      <c r="D1430" s="4" t="n">
        <v>46314.24597838934</v>
      </c>
      <c r="E1430" s="4" t="n">
        <v>46314.24597838944</v>
      </c>
      <c r="F1430" t="b">
        <v>1</v>
      </c>
      <c r="G1430" t="n">
        <v/>
      </c>
      <c r="H1430" t="inlineStr">
        <is>
          <t>AHI</t>
        </is>
      </c>
      <c r="I1430" t="inlineStr">
        <is>
          <t>Advanced Health Intelligence Ltd</t>
        </is>
      </c>
      <c r="J1430" t="inlineStr">
        <is>
          <t>AUD</t>
        </is>
      </c>
      <c r="K1430" s="5" t="inlineStr">
        <is>
          <t>01a152b9-6ee2-7577-bddd-382bc3853fde</t>
        </is>
      </c>
      <c r="M1430" t="inlineStr">
        <is>
          <t>UNKNOWN</t>
        </is>
      </c>
      <c r="N1430" t="inlineStr">
        <is>
          <t>DEFAULT</t>
        </is>
      </c>
      <c r="Q1430" t="n">
        <v>0</v>
      </c>
      <c r="R1430" t="inlineStr">
        <is>
          <t>AUD</t>
        </is>
      </c>
      <c r="S1430" t="n">
        <v>0</v>
      </c>
      <c r="T1430" t="inlineStr">
        <is>
          <t>AUD</t>
        </is>
      </c>
      <c r="U1430" t="n">
        <v>0</v>
      </c>
    </row>
    <row r="1431">
      <c r="A1431" s="5" t="inlineStr">
        <is>
          <t>01a152b9-85b8-7644-8332-e30f472a181a</t>
        </is>
      </c>
      <c r="C1431" s="5" t="inlineStr">
        <is>
          <t>01a152b9-6e67-75da-8adb-b03e5d07fd21</t>
        </is>
      </c>
      <c r="D1431" s="4" t="n">
        <v>46314.24597843927</v>
      </c>
      <c r="E1431" s="4" t="n">
        <v>46314.2459784394</v>
      </c>
      <c r="F1431" t="b">
        <v>1</v>
      </c>
      <c r="G1431" t="n">
        <v/>
      </c>
      <c r="H1431" t="inlineStr">
        <is>
          <t>TAL</t>
        </is>
      </c>
      <c r="I1431" t="inlineStr">
        <is>
          <t>Talius Group Ltd</t>
        </is>
      </c>
      <c r="J1431" t="inlineStr">
        <is>
          <t>AUD</t>
        </is>
      </c>
      <c r="K1431" s="5" t="inlineStr">
        <is>
          <t>01a152b9-6ee2-7577-bddd-382bc3853fde</t>
        </is>
      </c>
      <c r="M1431" t="inlineStr">
        <is>
          <t>UNKNOWN</t>
        </is>
      </c>
      <c r="N1431" t="inlineStr">
        <is>
          <t>DEFAULT</t>
        </is>
      </c>
      <c r="Q1431" t="n">
        <v>0</v>
      </c>
      <c r="R1431" t="inlineStr">
        <is>
          <t>AUD</t>
        </is>
      </c>
      <c r="S1431" t="n">
        <v>0</v>
      </c>
      <c r="T1431" t="inlineStr">
        <is>
          <t>AUD</t>
        </is>
      </c>
      <c r="U1431" t="n">
        <v>0</v>
      </c>
    </row>
    <row r="1432">
      <c r="A1432" s="5" t="inlineStr">
        <is>
          <t>01a152b9-85bd-7026-84ed-d63a9243fbac</t>
        </is>
      </c>
      <c r="C1432" s="5" t="inlineStr">
        <is>
          <t>01a152b9-6e67-75da-8adb-b03e5d07fd21</t>
        </is>
      </c>
      <c r="D1432" s="4" t="n">
        <v>46314.24597848667</v>
      </c>
      <c r="E1432" s="4" t="n">
        <v>46314.2459784868</v>
      </c>
      <c r="F1432" t="b">
        <v>1</v>
      </c>
      <c r="G1432" t="n">
        <v/>
      </c>
      <c r="H1432" t="inlineStr">
        <is>
          <t>AGD</t>
        </is>
      </c>
      <c r="I1432" t="inlineStr">
        <is>
          <t>Austral Gold Ltd</t>
        </is>
      </c>
      <c r="J1432" t="inlineStr">
        <is>
          <t>AUD</t>
        </is>
      </c>
      <c r="K1432" s="5" t="inlineStr">
        <is>
          <t>01a152b9-6ee2-7577-bddd-382bc3853fde</t>
        </is>
      </c>
      <c r="M1432" t="inlineStr">
        <is>
          <t>UNKNOWN</t>
        </is>
      </c>
      <c r="N1432" t="inlineStr">
        <is>
          <t>DEFAULT</t>
        </is>
      </c>
      <c r="Q1432" t="n">
        <v>0</v>
      </c>
      <c r="R1432" t="inlineStr">
        <is>
          <t>AUD</t>
        </is>
      </c>
      <c r="S1432" t="n">
        <v>0</v>
      </c>
      <c r="T1432" t="inlineStr">
        <is>
          <t>AUD</t>
        </is>
      </c>
      <c r="U1432" t="n">
        <v>0</v>
      </c>
    </row>
    <row r="1433">
      <c r="A1433" s="5" t="inlineStr">
        <is>
          <t>01a152b9-85c0-703f-a5b2-157b4e192666</t>
        </is>
      </c>
      <c r="C1433" s="5" t="inlineStr">
        <is>
          <t>01a152b9-6e67-75da-8adb-b03e5d07fd21</t>
        </is>
      </c>
      <c r="D1433" s="4" t="n">
        <v>46314.24597852783</v>
      </c>
      <c r="E1433" s="4" t="n">
        <v>46314.24597852793</v>
      </c>
      <c r="F1433" t="b">
        <v>1</v>
      </c>
      <c r="G1433" t="n">
        <v/>
      </c>
      <c r="H1433" t="inlineStr">
        <is>
          <t>QMAX</t>
        </is>
      </c>
      <c r="I1433" t="inlineStr">
        <is>
          <t>Betashares Nasdaq 100 Yield MAX (Managed Fund)</t>
        </is>
      </c>
      <c r="J1433" t="inlineStr">
        <is>
          <t>AUD</t>
        </is>
      </c>
      <c r="K1433" s="5" t="inlineStr">
        <is>
          <t>01a152b9-6ee2-7577-bddd-382bc3853fde</t>
        </is>
      </c>
      <c r="M1433" t="inlineStr">
        <is>
          <t>UNKNOWN</t>
        </is>
      </c>
      <c r="N1433" t="inlineStr">
        <is>
          <t>DEFAULT</t>
        </is>
      </c>
      <c r="Q1433" t="n">
        <v>0</v>
      </c>
      <c r="R1433" t="inlineStr">
        <is>
          <t>AUD</t>
        </is>
      </c>
      <c r="S1433" t="n">
        <v>0</v>
      </c>
      <c r="T1433" t="inlineStr">
        <is>
          <t>AUD</t>
        </is>
      </c>
      <c r="U1433" t="n">
        <v>0</v>
      </c>
    </row>
    <row r="1434">
      <c r="A1434" s="5" t="inlineStr">
        <is>
          <t>01a152b9-85c3-7783-b5ba-f3ec367576af</t>
        </is>
      </c>
      <c r="C1434" s="5" t="inlineStr">
        <is>
          <t>01a152b9-6e67-75da-8adb-b03e5d07fd21</t>
        </is>
      </c>
      <c r="D1434" s="4" t="n">
        <v>46314.245978566</v>
      </c>
      <c r="E1434" s="4" t="n">
        <v>46314.24597856609</v>
      </c>
      <c r="F1434" t="b">
        <v>1</v>
      </c>
      <c r="G1434" t="n">
        <v/>
      </c>
      <c r="H1434" t="inlineStr">
        <is>
          <t>RFX</t>
        </is>
      </c>
      <c r="I1434" t="inlineStr">
        <is>
          <t>Redflow Ltd</t>
        </is>
      </c>
      <c r="J1434" t="inlineStr">
        <is>
          <t>AUD</t>
        </is>
      </c>
      <c r="K1434" s="5" t="inlineStr">
        <is>
          <t>01a152b9-6ee2-7577-bddd-382bc3853fde</t>
        </is>
      </c>
      <c r="M1434" t="inlineStr">
        <is>
          <t>UNKNOWN</t>
        </is>
      </c>
      <c r="N1434" t="inlineStr">
        <is>
          <t>DEFAULT</t>
        </is>
      </c>
      <c r="Q1434" t="n">
        <v>0</v>
      </c>
      <c r="R1434" t="inlineStr">
        <is>
          <t>AUD</t>
        </is>
      </c>
      <c r="S1434" t="n">
        <v>0</v>
      </c>
      <c r="T1434" t="inlineStr">
        <is>
          <t>AUD</t>
        </is>
      </c>
      <c r="U1434" t="n">
        <v>0</v>
      </c>
    </row>
    <row r="1435">
      <c r="A1435" s="5" t="inlineStr">
        <is>
          <t>01a152b9-85c7-729d-8c40-4a75d02096e9</t>
        </is>
      </c>
      <c r="C1435" s="5" t="inlineStr">
        <is>
          <t>01a152b9-6e67-75da-8adb-b03e5d07fd21</t>
        </is>
      </c>
      <c r="D1435" s="4" t="n">
        <v>46314.24597860425</v>
      </c>
      <c r="E1435" s="4" t="n">
        <v>46314.24597860434</v>
      </c>
      <c r="F1435" t="b">
        <v>1</v>
      </c>
      <c r="G1435" t="n">
        <v/>
      </c>
      <c r="H1435" t="inlineStr">
        <is>
          <t>KRM</t>
        </is>
      </c>
      <c r="I1435" t="inlineStr">
        <is>
          <t>Kingsrose Mining Ltd</t>
        </is>
      </c>
      <c r="J1435" t="inlineStr">
        <is>
          <t>AUD</t>
        </is>
      </c>
      <c r="K1435" s="5" t="inlineStr">
        <is>
          <t>01a152b9-6ee2-7577-bddd-382bc3853fde</t>
        </is>
      </c>
      <c r="M1435" t="inlineStr">
        <is>
          <t>UNKNOWN</t>
        </is>
      </c>
      <c r="N1435" t="inlineStr">
        <is>
          <t>DEFAULT</t>
        </is>
      </c>
      <c r="Q1435" t="n">
        <v>0</v>
      </c>
      <c r="R1435" t="inlineStr">
        <is>
          <t>AUD</t>
        </is>
      </c>
      <c r="S1435" t="n">
        <v>0</v>
      </c>
      <c r="T1435" t="inlineStr">
        <is>
          <t>AUD</t>
        </is>
      </c>
      <c r="U1435" t="n">
        <v>0</v>
      </c>
    </row>
    <row r="1436">
      <c r="A1436" s="5" t="inlineStr">
        <is>
          <t>01a152b9-85ca-7340-b6a4-729aade94525</t>
        </is>
      </c>
      <c r="C1436" s="5" t="inlineStr">
        <is>
          <t>01a152b9-6e67-75da-8adb-b03e5d07fd21</t>
        </is>
      </c>
      <c r="D1436" s="4" t="n">
        <v>46314.2459786426</v>
      </c>
      <c r="E1436" s="4" t="n">
        <v>46314.24597864271</v>
      </c>
      <c r="F1436" t="b">
        <v>1</v>
      </c>
      <c r="G1436" t="n">
        <v/>
      </c>
      <c r="H1436" t="inlineStr">
        <is>
          <t>ICI</t>
        </is>
      </c>
      <c r="I1436" t="inlineStr">
        <is>
          <t>Icandy Interactive Ltd</t>
        </is>
      </c>
      <c r="J1436" t="inlineStr">
        <is>
          <t>AUD</t>
        </is>
      </c>
      <c r="K1436" s="5" t="inlineStr">
        <is>
          <t>01a152b9-6ee2-7577-bddd-382bc3853fde</t>
        </is>
      </c>
      <c r="M1436" t="inlineStr">
        <is>
          <t>UNKNOWN</t>
        </is>
      </c>
      <c r="N1436" t="inlineStr">
        <is>
          <t>DEFAULT</t>
        </is>
      </c>
      <c r="Q1436" t="n">
        <v>0</v>
      </c>
      <c r="R1436" t="inlineStr">
        <is>
          <t>AUD</t>
        </is>
      </c>
      <c r="S1436" t="n">
        <v>0</v>
      </c>
      <c r="T1436" t="inlineStr">
        <is>
          <t>AUD</t>
        </is>
      </c>
      <c r="U1436" t="n">
        <v>0</v>
      </c>
    </row>
    <row r="1437">
      <c r="A1437" s="5" t="inlineStr">
        <is>
          <t>01a152b9-85ce-71fb-924f-b3429e528780</t>
        </is>
      </c>
      <c r="C1437" s="5" t="inlineStr">
        <is>
          <t>01a152b9-6e67-75da-8adb-b03e5d07fd21</t>
        </is>
      </c>
      <c r="D1437" s="4" t="n">
        <v>46314.24597868351</v>
      </c>
      <c r="E1437" s="4" t="n">
        <v>46314.24597868361</v>
      </c>
      <c r="F1437" t="b">
        <v>1</v>
      </c>
      <c r="G1437" t="n">
        <v/>
      </c>
      <c r="H1437" t="inlineStr">
        <is>
          <t>MRC</t>
        </is>
      </c>
      <c r="I1437" t="inlineStr">
        <is>
          <t>Mineral Commodities Ltd</t>
        </is>
      </c>
      <c r="J1437" t="inlineStr">
        <is>
          <t>AUD</t>
        </is>
      </c>
      <c r="K1437" s="5" t="inlineStr">
        <is>
          <t>01a152b9-6ee2-7577-bddd-382bc3853fde</t>
        </is>
      </c>
      <c r="M1437" t="inlineStr">
        <is>
          <t>UNKNOWN</t>
        </is>
      </c>
      <c r="N1437" t="inlineStr">
        <is>
          <t>DEFAULT</t>
        </is>
      </c>
      <c r="Q1437" t="n">
        <v>0</v>
      </c>
      <c r="R1437" t="inlineStr">
        <is>
          <t>AUD</t>
        </is>
      </c>
      <c r="S1437" t="n">
        <v>0</v>
      </c>
      <c r="T1437" t="inlineStr">
        <is>
          <t>AUD</t>
        </is>
      </c>
      <c r="U1437" t="n">
        <v>0</v>
      </c>
    </row>
    <row r="1438">
      <c r="A1438" s="5" t="inlineStr">
        <is>
          <t>01a152b9-85d2-72e1-aa5b-f2cdb906fbd9</t>
        </is>
      </c>
      <c r="C1438" s="5" t="inlineStr">
        <is>
          <t>01a152b9-6e67-75da-8adb-b03e5d07fd21</t>
        </is>
      </c>
      <c r="D1438" s="4" t="n">
        <v>46314.24597872861</v>
      </c>
      <c r="E1438" s="4" t="n">
        <v>46314.24597872872</v>
      </c>
      <c r="F1438" t="b">
        <v>1</v>
      </c>
      <c r="G1438" t="n">
        <v/>
      </c>
      <c r="H1438" t="inlineStr">
        <is>
          <t>TCO</t>
        </is>
      </c>
      <c r="I1438" t="inlineStr">
        <is>
          <t>Transmetro Corporation Ltd</t>
        </is>
      </c>
      <c r="J1438" t="inlineStr">
        <is>
          <t>AUD</t>
        </is>
      </c>
      <c r="K1438" s="5" t="inlineStr">
        <is>
          <t>01a152b9-6ee2-7577-bddd-382bc3853fde</t>
        </is>
      </c>
      <c r="M1438" t="inlineStr">
        <is>
          <t>UNKNOWN</t>
        </is>
      </c>
      <c r="N1438" t="inlineStr">
        <is>
          <t>DEFAULT</t>
        </is>
      </c>
      <c r="Q1438" t="n">
        <v>0</v>
      </c>
      <c r="R1438" t="inlineStr">
        <is>
          <t>AUD</t>
        </is>
      </c>
      <c r="S1438" t="n">
        <v>0</v>
      </c>
      <c r="T1438" t="inlineStr">
        <is>
          <t>AUD</t>
        </is>
      </c>
      <c r="U1438" t="n">
        <v>0</v>
      </c>
    </row>
    <row r="1439">
      <c r="A1439" s="5" t="inlineStr">
        <is>
          <t>01a152b9-85d5-70ee-ab7b-0d42a5c930f6</t>
        </is>
      </c>
      <c r="C1439" s="5" t="inlineStr">
        <is>
          <t>01a152b9-6e67-75da-8adb-b03e5d07fd21</t>
        </is>
      </c>
      <c r="D1439" s="4" t="n">
        <v>46314.24597876596</v>
      </c>
      <c r="E1439" s="4" t="n">
        <v>46314.24597876606</v>
      </c>
      <c r="F1439" t="b">
        <v>1</v>
      </c>
      <c r="G1439" t="n">
        <v/>
      </c>
      <c r="H1439" t="inlineStr">
        <is>
          <t>AAM</t>
        </is>
      </c>
      <c r="I1439" t="inlineStr">
        <is>
          <t>Aumega Metals Ltd</t>
        </is>
      </c>
      <c r="J1439" t="inlineStr">
        <is>
          <t>AUD</t>
        </is>
      </c>
      <c r="K1439" s="5" t="inlineStr">
        <is>
          <t>01a152b9-6ee2-7577-bddd-382bc3853fde</t>
        </is>
      </c>
      <c r="M1439" t="inlineStr">
        <is>
          <t>UNKNOWN</t>
        </is>
      </c>
      <c r="N1439" t="inlineStr">
        <is>
          <t>DEFAULT</t>
        </is>
      </c>
      <c r="Q1439" t="n">
        <v>0</v>
      </c>
      <c r="R1439" t="inlineStr">
        <is>
          <t>AUD</t>
        </is>
      </c>
      <c r="S1439" t="n">
        <v>0</v>
      </c>
      <c r="T1439" t="inlineStr">
        <is>
          <t>AUD</t>
        </is>
      </c>
      <c r="U1439" t="n">
        <v>0</v>
      </c>
    </row>
    <row r="1440">
      <c r="A1440" s="5" t="inlineStr">
        <is>
          <t>01a152b9-85d8-75ce-9a09-d827685222e4</t>
        </is>
      </c>
      <c r="C1440" s="5" t="inlineStr">
        <is>
          <t>01a152b9-6e67-75da-8adb-b03e5d07fd21</t>
        </is>
      </c>
      <c r="D1440" s="4" t="n">
        <v>46314.24597880285</v>
      </c>
      <c r="E1440" s="4" t="n">
        <v>46314.24597880294</v>
      </c>
      <c r="F1440" t="b">
        <v>1</v>
      </c>
      <c r="G1440" t="n">
        <v/>
      </c>
      <c r="H1440" t="inlineStr">
        <is>
          <t>UBI</t>
        </is>
      </c>
      <c r="I1440" t="inlineStr">
        <is>
          <t>Universal Biosensors Inc</t>
        </is>
      </c>
      <c r="J1440" t="inlineStr">
        <is>
          <t>AUD</t>
        </is>
      </c>
      <c r="K1440" s="5" t="inlineStr">
        <is>
          <t>01a152b9-6ee2-7577-bddd-382bc3853fde</t>
        </is>
      </c>
      <c r="M1440" t="inlineStr">
        <is>
          <t>UNKNOWN</t>
        </is>
      </c>
      <c r="N1440" t="inlineStr">
        <is>
          <t>DEFAULT</t>
        </is>
      </c>
      <c r="Q1440" t="n">
        <v>0</v>
      </c>
      <c r="R1440" t="inlineStr">
        <is>
          <t>AUD</t>
        </is>
      </c>
      <c r="S1440" t="n">
        <v>0</v>
      </c>
      <c r="T1440" t="inlineStr">
        <is>
          <t>AUD</t>
        </is>
      </c>
      <c r="U1440" t="n">
        <v>0</v>
      </c>
    </row>
    <row r="1441">
      <c r="A1441" s="5" t="inlineStr">
        <is>
          <t>01a152b9-85db-74e1-ad56-7305c08a9129</t>
        </is>
      </c>
      <c r="C1441" s="5" t="inlineStr">
        <is>
          <t>01a152b9-6e67-75da-8adb-b03e5d07fd21</t>
        </is>
      </c>
      <c r="D1441" s="4" t="n">
        <v>46314.24597884186</v>
      </c>
      <c r="E1441" s="4" t="n">
        <v>46314.24597884196</v>
      </c>
      <c r="F1441" t="b">
        <v>1</v>
      </c>
      <c r="G1441" t="n">
        <v/>
      </c>
      <c r="H1441" t="inlineStr">
        <is>
          <t>GT1</t>
        </is>
      </c>
      <c r="I1441" t="inlineStr">
        <is>
          <t>Green Technology Metals Ltd</t>
        </is>
      </c>
      <c r="J1441" t="inlineStr">
        <is>
          <t>AUD</t>
        </is>
      </c>
      <c r="K1441" s="5" t="inlineStr">
        <is>
          <t>01a152b9-6ee2-7577-bddd-382bc3853fde</t>
        </is>
      </c>
      <c r="M1441" t="inlineStr">
        <is>
          <t>UNKNOWN</t>
        </is>
      </c>
      <c r="N1441" t="inlineStr">
        <is>
          <t>DEFAULT</t>
        </is>
      </c>
      <c r="Q1441" t="n">
        <v>0</v>
      </c>
      <c r="R1441" t="inlineStr">
        <is>
          <t>AUD</t>
        </is>
      </c>
      <c r="S1441" t="n">
        <v>0</v>
      </c>
      <c r="T1441" t="inlineStr">
        <is>
          <t>AUD</t>
        </is>
      </c>
      <c r="U1441" t="n">
        <v>0</v>
      </c>
    </row>
    <row r="1442">
      <c r="A1442" s="5" t="inlineStr">
        <is>
          <t>01a152b9-85df-700c-80d6-12d6fe3503fe</t>
        </is>
      </c>
      <c r="C1442" s="5" t="inlineStr">
        <is>
          <t>01a152b9-6e67-75da-8adb-b03e5d07fd21</t>
        </is>
      </c>
      <c r="D1442" s="4" t="n">
        <v>46314.24597888371</v>
      </c>
      <c r="E1442" s="4" t="n">
        <v>46314.24597888385</v>
      </c>
      <c r="F1442" t="b">
        <v>1</v>
      </c>
      <c r="G1442" t="n">
        <v/>
      </c>
      <c r="H1442" t="inlineStr">
        <is>
          <t>BRX</t>
        </is>
      </c>
      <c r="I1442" t="inlineStr">
        <is>
          <t>Belararox Ltd</t>
        </is>
      </c>
      <c r="J1442" t="inlineStr">
        <is>
          <t>AUD</t>
        </is>
      </c>
      <c r="K1442" s="5" t="inlineStr">
        <is>
          <t>01a152b9-6ee2-7577-bddd-382bc3853fde</t>
        </is>
      </c>
      <c r="M1442" t="inlineStr">
        <is>
          <t>UNKNOWN</t>
        </is>
      </c>
      <c r="N1442" t="inlineStr">
        <is>
          <t>DEFAULT</t>
        </is>
      </c>
      <c r="Q1442" t="n">
        <v>0</v>
      </c>
      <c r="R1442" t="inlineStr">
        <is>
          <t>AUD</t>
        </is>
      </c>
      <c r="S1442" t="n">
        <v>0</v>
      </c>
      <c r="T1442" t="inlineStr">
        <is>
          <t>AUD</t>
        </is>
      </c>
      <c r="U1442" t="n">
        <v>0</v>
      </c>
    </row>
    <row r="1443">
      <c r="A1443" s="5" t="inlineStr">
        <is>
          <t>01a152b9-85e2-74bc-b36a-e603a5ea3d67</t>
        </is>
      </c>
      <c r="C1443" s="5" t="inlineStr">
        <is>
          <t>01a152b9-6e67-75da-8adb-b03e5d07fd21</t>
        </is>
      </c>
      <c r="D1443" s="4" t="n">
        <v>46314.24597892378</v>
      </c>
      <c r="E1443" s="4" t="n">
        <v>46314.24597892388</v>
      </c>
      <c r="F1443" t="b">
        <v>1</v>
      </c>
      <c r="G1443" t="n">
        <v/>
      </c>
      <c r="H1443" t="inlineStr">
        <is>
          <t>FPC</t>
        </is>
      </c>
      <c r="I1443" t="inlineStr">
        <is>
          <t>Fat Prophets Global Contrarian Fund Ltd</t>
        </is>
      </c>
      <c r="J1443" t="inlineStr">
        <is>
          <t>AUD</t>
        </is>
      </c>
      <c r="K1443" s="5" t="inlineStr">
        <is>
          <t>01a152b9-6ee2-7577-bddd-382bc3853fde</t>
        </is>
      </c>
      <c r="M1443" t="inlineStr">
        <is>
          <t>UNKNOWN</t>
        </is>
      </c>
      <c r="N1443" t="inlineStr">
        <is>
          <t>DEFAULT</t>
        </is>
      </c>
      <c r="Q1443" t="n">
        <v>0</v>
      </c>
      <c r="R1443" t="inlineStr">
        <is>
          <t>AUD</t>
        </is>
      </c>
      <c r="S1443" t="n">
        <v>0</v>
      </c>
      <c r="T1443" t="inlineStr">
        <is>
          <t>AUD</t>
        </is>
      </c>
      <c r="U1443" t="n">
        <v>0</v>
      </c>
    </row>
    <row r="1444">
      <c r="A1444" s="5" t="inlineStr">
        <is>
          <t>01a152b9-85e6-70cf-bed8-0df46a7470f2</t>
        </is>
      </c>
      <c r="C1444" s="5" t="inlineStr">
        <is>
          <t>01a152b9-6e67-75da-8adb-b03e5d07fd21</t>
        </is>
      </c>
      <c r="D1444" s="4" t="n">
        <v>46314.24597896506</v>
      </c>
      <c r="E1444" s="4" t="n">
        <v>46314.24597896516</v>
      </c>
      <c r="F1444" t="b">
        <v>1</v>
      </c>
      <c r="G1444" t="n">
        <v/>
      </c>
      <c r="H1444" t="inlineStr">
        <is>
          <t>AUQ</t>
        </is>
      </c>
      <c r="I1444" t="inlineStr">
        <is>
          <t>Alara Resources Ltd</t>
        </is>
      </c>
      <c r="J1444" t="inlineStr">
        <is>
          <t>AUD</t>
        </is>
      </c>
      <c r="K1444" s="5" t="inlineStr">
        <is>
          <t>01a152b9-6ee2-7577-bddd-382bc3853fde</t>
        </is>
      </c>
      <c r="M1444" t="inlineStr">
        <is>
          <t>UNKNOWN</t>
        </is>
      </c>
      <c r="N1444" t="inlineStr">
        <is>
          <t>DEFAULT</t>
        </is>
      </c>
      <c r="Q1444" t="n">
        <v>0</v>
      </c>
      <c r="R1444" t="inlineStr">
        <is>
          <t>AUD</t>
        </is>
      </c>
      <c r="S1444" t="n">
        <v>0</v>
      </c>
      <c r="T1444" t="inlineStr">
        <is>
          <t>AUD</t>
        </is>
      </c>
      <c r="U1444" t="n">
        <v>0</v>
      </c>
    </row>
    <row r="1445">
      <c r="A1445" s="5" t="inlineStr">
        <is>
          <t>01a152b9-85e9-7121-87c7-042ec679bd37</t>
        </is>
      </c>
      <c r="C1445" s="5" t="inlineStr">
        <is>
          <t>01a152b9-6e67-75da-8adb-b03e5d07fd21</t>
        </is>
      </c>
      <c r="D1445" s="4" t="n">
        <v>46314.24597900322</v>
      </c>
      <c r="E1445" s="4" t="n">
        <v>46314.24597900332</v>
      </c>
      <c r="F1445" t="b">
        <v>1</v>
      </c>
      <c r="G1445" t="n">
        <v/>
      </c>
      <c r="H1445" t="inlineStr">
        <is>
          <t>G6M</t>
        </is>
      </c>
      <c r="I1445" t="inlineStr">
        <is>
          <t>Group 6 Metals Ltd</t>
        </is>
      </c>
      <c r="J1445" t="inlineStr">
        <is>
          <t>AUD</t>
        </is>
      </c>
      <c r="K1445" s="5" t="inlineStr">
        <is>
          <t>01a152b9-6ee2-7577-bddd-382bc3853fde</t>
        </is>
      </c>
      <c r="M1445" t="inlineStr">
        <is>
          <t>UNKNOWN</t>
        </is>
      </c>
      <c r="N1445" t="inlineStr">
        <is>
          <t>DEFAULT</t>
        </is>
      </c>
      <c r="Q1445" t="n">
        <v>0</v>
      </c>
      <c r="R1445" t="inlineStr">
        <is>
          <t>AUD</t>
        </is>
      </c>
      <c r="S1445" t="n">
        <v>0</v>
      </c>
      <c r="T1445" t="inlineStr">
        <is>
          <t>AUD</t>
        </is>
      </c>
      <c r="U1445" t="n">
        <v>0</v>
      </c>
    </row>
    <row r="1446">
      <c r="A1446" s="5" t="inlineStr">
        <is>
          <t>01a152b9-85ed-779b-8b79-941d0affdafd</t>
        </is>
      </c>
      <c r="C1446" s="5" t="inlineStr">
        <is>
          <t>01a152b9-6e67-75da-8adb-b03e5d07fd21</t>
        </is>
      </c>
      <c r="D1446" s="4" t="n">
        <v>46314.24597904876</v>
      </c>
      <c r="E1446" s="4" t="n">
        <v>46314.24597904889</v>
      </c>
      <c r="F1446" t="b">
        <v>1</v>
      </c>
      <c r="G1446" t="n">
        <v/>
      </c>
      <c r="H1446" t="inlineStr">
        <is>
          <t>SUH</t>
        </is>
      </c>
      <c r="I1446" t="inlineStr">
        <is>
          <t>Southern Hemisphere Mining Ltd</t>
        </is>
      </c>
      <c r="J1446" t="inlineStr">
        <is>
          <t>AUD</t>
        </is>
      </c>
      <c r="K1446" s="5" t="inlineStr">
        <is>
          <t>01a152b9-6ee2-7577-bddd-382bc3853fde</t>
        </is>
      </c>
      <c r="M1446" t="inlineStr">
        <is>
          <t>UNKNOWN</t>
        </is>
      </c>
      <c r="N1446" t="inlineStr">
        <is>
          <t>DEFAULT</t>
        </is>
      </c>
      <c r="Q1446" t="n">
        <v>0</v>
      </c>
      <c r="R1446" t="inlineStr">
        <is>
          <t>AUD</t>
        </is>
      </c>
      <c r="S1446" t="n">
        <v>0</v>
      </c>
      <c r="T1446" t="inlineStr">
        <is>
          <t>AUD</t>
        </is>
      </c>
      <c r="U1446" t="n">
        <v>0</v>
      </c>
    </row>
    <row r="1447">
      <c r="A1447" s="5" t="inlineStr">
        <is>
          <t>01a152b9-85f1-73b2-a0ba-121f65468996</t>
        </is>
      </c>
      <c r="C1447" s="5" t="inlineStr">
        <is>
          <t>01a152b9-6e67-75da-8adb-b03e5d07fd21</t>
        </is>
      </c>
      <c r="D1447" s="4" t="n">
        <v>46314.24597909262</v>
      </c>
      <c r="E1447" s="4" t="n">
        <v>46314.24597909278</v>
      </c>
      <c r="F1447" t="b">
        <v>1</v>
      </c>
      <c r="G1447" t="n">
        <v/>
      </c>
      <c r="H1447" t="inlineStr">
        <is>
          <t>SOP</t>
        </is>
      </c>
      <c r="I1447" t="inlineStr">
        <is>
          <t>Synertec Corporation Ltd</t>
        </is>
      </c>
      <c r="J1447" t="inlineStr">
        <is>
          <t>AUD</t>
        </is>
      </c>
      <c r="K1447" s="5" t="inlineStr">
        <is>
          <t>01a152b9-6ee2-7577-bddd-382bc3853fde</t>
        </is>
      </c>
      <c r="M1447" t="inlineStr">
        <is>
          <t>UNKNOWN</t>
        </is>
      </c>
      <c r="N1447" t="inlineStr">
        <is>
          <t>DEFAULT</t>
        </is>
      </c>
      <c r="Q1447" t="n">
        <v>0</v>
      </c>
      <c r="R1447" t="inlineStr">
        <is>
          <t>AUD</t>
        </is>
      </c>
      <c r="S1447" t="n">
        <v>0</v>
      </c>
      <c r="T1447" t="inlineStr">
        <is>
          <t>AUD</t>
        </is>
      </c>
      <c r="U1447" t="n">
        <v>0</v>
      </c>
    </row>
    <row r="1448">
      <c r="A1448" s="5" t="inlineStr">
        <is>
          <t>01a152b9-85f5-7677-bdb6-17eb72559175</t>
        </is>
      </c>
      <c r="C1448" s="5" t="inlineStr">
        <is>
          <t>01a152b9-6e67-75da-8adb-b03e5d07fd21</t>
        </is>
      </c>
      <c r="D1448" s="4" t="n">
        <v>46314.24597913995</v>
      </c>
      <c r="E1448" s="4" t="n">
        <v>46314.24597914008</v>
      </c>
      <c r="F1448" t="b">
        <v>1</v>
      </c>
      <c r="G1448" t="n">
        <v/>
      </c>
      <c r="H1448" t="inlineStr">
        <is>
          <t>SPN</t>
        </is>
      </c>
      <c r="I1448" t="inlineStr">
        <is>
          <t>Sparc Technologies Ltd</t>
        </is>
      </c>
      <c r="J1448" t="inlineStr">
        <is>
          <t>AUD</t>
        </is>
      </c>
      <c r="K1448" s="5" t="inlineStr">
        <is>
          <t>01a152b9-6ee2-7577-bddd-382bc3853fde</t>
        </is>
      </c>
      <c r="M1448" t="inlineStr">
        <is>
          <t>UNKNOWN</t>
        </is>
      </c>
      <c r="N1448" t="inlineStr">
        <is>
          <t>DEFAULT</t>
        </is>
      </c>
      <c r="Q1448" t="n">
        <v>0</v>
      </c>
      <c r="R1448" t="inlineStr">
        <is>
          <t>AUD</t>
        </is>
      </c>
      <c r="S1448" t="n">
        <v>0</v>
      </c>
      <c r="T1448" t="inlineStr">
        <is>
          <t>AUD</t>
        </is>
      </c>
      <c r="U1448" t="n">
        <v>0</v>
      </c>
    </row>
    <row r="1449">
      <c r="A1449" s="5" t="inlineStr">
        <is>
          <t>01a152b9-85f8-73f3-882f-deac0b8ffd3f</t>
        </is>
      </c>
      <c r="C1449" s="5" t="inlineStr">
        <is>
          <t>01a152b9-6e67-75da-8adb-b03e5d07fd21</t>
        </is>
      </c>
      <c r="D1449" s="4" t="n">
        <v>46314.24597917614</v>
      </c>
      <c r="E1449" s="4" t="n">
        <v>46314.24597917625</v>
      </c>
      <c r="F1449" t="b">
        <v>1</v>
      </c>
      <c r="G1449" t="n">
        <v/>
      </c>
      <c r="H1449" t="inlineStr">
        <is>
          <t>AS1</t>
        </is>
      </c>
      <c r="I1449" t="inlineStr">
        <is>
          <t>Asara Resources Ltd</t>
        </is>
      </c>
      <c r="J1449" t="inlineStr">
        <is>
          <t>AUD</t>
        </is>
      </c>
      <c r="K1449" s="5" t="inlineStr">
        <is>
          <t>01a152b9-6ee2-7577-bddd-382bc3853fde</t>
        </is>
      </c>
      <c r="M1449" t="inlineStr">
        <is>
          <t>UNKNOWN</t>
        </is>
      </c>
      <c r="N1449" t="inlineStr">
        <is>
          <t>DEFAULT</t>
        </is>
      </c>
      <c r="Q1449" t="n">
        <v>0</v>
      </c>
      <c r="R1449" t="inlineStr">
        <is>
          <t>AUD</t>
        </is>
      </c>
      <c r="S1449" t="n">
        <v>0</v>
      </c>
      <c r="T1449" t="inlineStr">
        <is>
          <t>AUD</t>
        </is>
      </c>
      <c r="U1449" t="n">
        <v>0</v>
      </c>
    </row>
    <row r="1450">
      <c r="A1450" s="5" t="inlineStr">
        <is>
          <t>01a152b9-85fc-71e5-8156-e330d4116a10</t>
        </is>
      </c>
      <c r="C1450" s="5" t="inlineStr">
        <is>
          <t>01a152b9-6e67-75da-8adb-b03e5d07fd21</t>
        </is>
      </c>
      <c r="D1450" s="4" t="n">
        <v>46314.24597921701</v>
      </c>
      <c r="E1450" s="4" t="n">
        <v>46314.24597921713</v>
      </c>
      <c r="F1450" t="b">
        <v>1</v>
      </c>
      <c r="G1450" t="n">
        <v/>
      </c>
      <c r="H1450" t="inlineStr">
        <is>
          <t>GPR</t>
        </is>
      </c>
      <c r="I1450" t="inlineStr">
        <is>
          <t>Geopacific Resources Ltd</t>
        </is>
      </c>
      <c r="J1450" t="inlineStr">
        <is>
          <t>AUD</t>
        </is>
      </c>
      <c r="K1450" s="5" t="inlineStr">
        <is>
          <t>01a152b9-6ee2-7577-bddd-382bc3853fde</t>
        </is>
      </c>
      <c r="M1450" t="inlineStr">
        <is>
          <t>UNKNOWN</t>
        </is>
      </c>
      <c r="N1450" t="inlineStr">
        <is>
          <t>DEFAULT</t>
        </is>
      </c>
      <c r="Q1450" t="n">
        <v>0</v>
      </c>
      <c r="R1450" t="inlineStr">
        <is>
          <t>AUD</t>
        </is>
      </c>
      <c r="S1450" t="n">
        <v>0</v>
      </c>
      <c r="T1450" t="inlineStr">
        <is>
          <t>AUD</t>
        </is>
      </c>
      <c r="U1450" t="n">
        <v>0</v>
      </c>
    </row>
    <row r="1451">
      <c r="A1451" s="5" t="inlineStr">
        <is>
          <t>01a152b9-8600-7434-85c1-8cabe893aa95</t>
        </is>
      </c>
      <c r="C1451" s="5" t="inlineStr">
        <is>
          <t>01a152b9-6e67-75da-8adb-b03e5d07fd21</t>
        </is>
      </c>
      <c r="D1451" s="4" t="n">
        <v>46314.24597926098</v>
      </c>
      <c r="E1451" s="4" t="n">
        <v>46314.2459792611</v>
      </c>
      <c r="F1451" t="b">
        <v>1</v>
      </c>
      <c r="G1451" t="n">
        <v/>
      </c>
      <c r="H1451" t="inlineStr">
        <is>
          <t>CWX</t>
        </is>
      </c>
      <c r="I1451" t="inlineStr">
        <is>
          <t>Carawine Resources Ltd</t>
        </is>
      </c>
      <c r="J1451" t="inlineStr">
        <is>
          <t>AUD</t>
        </is>
      </c>
      <c r="K1451" s="5" t="inlineStr">
        <is>
          <t>01a152b9-6ee2-7577-bddd-382bc3853fde</t>
        </is>
      </c>
      <c r="M1451" t="inlineStr">
        <is>
          <t>UNKNOWN</t>
        </is>
      </c>
      <c r="N1451" t="inlineStr">
        <is>
          <t>DEFAULT</t>
        </is>
      </c>
      <c r="Q1451" t="n">
        <v>0</v>
      </c>
      <c r="R1451" t="inlineStr">
        <is>
          <t>AUD</t>
        </is>
      </c>
      <c r="S1451" t="n">
        <v>0</v>
      </c>
      <c r="T1451" t="inlineStr">
        <is>
          <t>AUD</t>
        </is>
      </c>
      <c r="U1451" t="n">
        <v>0</v>
      </c>
    </row>
    <row r="1452">
      <c r="A1452" s="5" t="inlineStr">
        <is>
          <t>01a152b9-8603-75cb-8dd6-7dfa3cce9753</t>
        </is>
      </c>
      <c r="C1452" s="5" t="inlineStr">
        <is>
          <t>01a152b9-6e67-75da-8adb-b03e5d07fd21</t>
        </is>
      </c>
      <c r="D1452" s="4" t="n">
        <v>46314.2459793048</v>
      </c>
      <c r="E1452" s="4" t="n">
        <v>46314.24597930493</v>
      </c>
      <c r="F1452" t="b">
        <v>1</v>
      </c>
      <c r="G1452" t="n">
        <v/>
      </c>
      <c r="H1452" t="inlineStr">
        <is>
          <t>NFM</t>
        </is>
      </c>
      <c r="I1452" t="inlineStr">
        <is>
          <t>New Frontier Minerals Ltd</t>
        </is>
      </c>
      <c r="J1452" t="inlineStr">
        <is>
          <t>AUD</t>
        </is>
      </c>
      <c r="K1452" s="5" t="inlineStr">
        <is>
          <t>01a152b9-6ee2-7577-bddd-382bc3853fde</t>
        </is>
      </c>
      <c r="M1452" t="inlineStr">
        <is>
          <t>UNKNOWN</t>
        </is>
      </c>
      <c r="N1452" t="inlineStr">
        <is>
          <t>DEFAULT</t>
        </is>
      </c>
      <c r="Q1452" t="n">
        <v>0</v>
      </c>
      <c r="R1452" t="inlineStr">
        <is>
          <t>AUD</t>
        </is>
      </c>
      <c r="S1452" t="n">
        <v>0</v>
      </c>
      <c r="T1452" t="inlineStr">
        <is>
          <t>AUD</t>
        </is>
      </c>
      <c r="U1452" t="n">
        <v>0</v>
      </c>
    </row>
    <row r="1453">
      <c r="A1453" s="5" t="inlineStr">
        <is>
          <t>01a152b9-8607-7241-81b3-10d6dc0e87bd</t>
        </is>
      </c>
      <c r="C1453" s="5" t="inlineStr">
        <is>
          <t>01a152b9-6e67-75da-8adb-b03e5d07fd21</t>
        </is>
      </c>
      <c r="D1453" s="4" t="n">
        <v>46314.24597934322</v>
      </c>
      <c r="E1453" s="4" t="n">
        <v>46314.24597934334</v>
      </c>
      <c r="F1453" t="b">
        <v>1</v>
      </c>
      <c r="G1453" t="n">
        <v/>
      </c>
      <c r="H1453" t="inlineStr">
        <is>
          <t>MFOA</t>
        </is>
      </c>
      <c r="I1453" t="inlineStr">
        <is>
          <t>Milford Australian Absolute Growth (Hedge Fund)</t>
        </is>
      </c>
      <c r="J1453" t="inlineStr">
        <is>
          <t>AUD</t>
        </is>
      </c>
      <c r="K1453" s="5" t="inlineStr">
        <is>
          <t>01a152b9-6ee2-7577-bddd-382bc3853fde</t>
        </is>
      </c>
      <c r="M1453" t="inlineStr">
        <is>
          <t>UNKNOWN</t>
        </is>
      </c>
      <c r="N1453" t="inlineStr">
        <is>
          <t>DEFAULT</t>
        </is>
      </c>
      <c r="Q1453" t="n">
        <v>0</v>
      </c>
      <c r="R1453" t="inlineStr">
        <is>
          <t>AUD</t>
        </is>
      </c>
      <c r="S1453" t="n">
        <v>0</v>
      </c>
      <c r="T1453" t="inlineStr">
        <is>
          <t>AUD</t>
        </is>
      </c>
      <c r="U1453" t="n">
        <v>0</v>
      </c>
    </row>
    <row r="1454">
      <c r="A1454" s="5" t="inlineStr">
        <is>
          <t>01a152b9-860a-71eb-8c07-013472c3d78e</t>
        </is>
      </c>
      <c r="C1454" s="5" t="inlineStr">
        <is>
          <t>01a152b9-6e67-75da-8adb-b03e5d07fd21</t>
        </is>
      </c>
      <c r="D1454" s="4" t="n">
        <v>46314.24597938212</v>
      </c>
      <c r="E1454" s="4" t="n">
        <v>46314.24597938224</v>
      </c>
      <c r="F1454" t="b">
        <v>1</v>
      </c>
      <c r="G1454" t="n">
        <v/>
      </c>
      <c r="H1454" t="inlineStr">
        <is>
          <t>RDN</t>
        </is>
      </c>
      <c r="I1454" t="inlineStr">
        <is>
          <t>Raiden Resources Ltd</t>
        </is>
      </c>
      <c r="J1454" t="inlineStr">
        <is>
          <t>AUD</t>
        </is>
      </c>
      <c r="K1454" s="5" t="inlineStr">
        <is>
          <t>01a152b9-6ee2-7577-bddd-382bc3853fde</t>
        </is>
      </c>
      <c r="M1454" t="inlineStr">
        <is>
          <t>UNKNOWN</t>
        </is>
      </c>
      <c r="N1454" t="inlineStr">
        <is>
          <t>DEFAULT</t>
        </is>
      </c>
      <c r="Q1454" t="n">
        <v>0</v>
      </c>
      <c r="R1454" t="inlineStr">
        <is>
          <t>AUD</t>
        </is>
      </c>
      <c r="S1454" t="n">
        <v>0</v>
      </c>
      <c r="T1454" t="inlineStr">
        <is>
          <t>AUD</t>
        </is>
      </c>
      <c r="U1454" t="n">
        <v>0</v>
      </c>
    </row>
    <row r="1455">
      <c r="A1455" s="5" t="inlineStr">
        <is>
          <t>01a152b9-860d-7208-b4ba-d1629235c433</t>
        </is>
      </c>
      <c r="C1455" s="5" t="inlineStr">
        <is>
          <t>01a152b9-6e67-75da-8adb-b03e5d07fd21</t>
        </is>
      </c>
      <c r="D1455" s="4" t="n">
        <v>46314.24597942158</v>
      </c>
      <c r="E1455" s="4" t="n">
        <v>46314.24597942169</v>
      </c>
      <c r="F1455" t="b">
        <v>1</v>
      </c>
      <c r="G1455" t="n">
        <v/>
      </c>
      <c r="H1455" t="inlineStr">
        <is>
          <t>CBE</t>
        </is>
      </c>
      <c r="I1455" t="inlineStr">
        <is>
          <t>Cobre Ltd</t>
        </is>
      </c>
      <c r="J1455" t="inlineStr">
        <is>
          <t>AUD</t>
        </is>
      </c>
      <c r="K1455" s="5" t="inlineStr">
        <is>
          <t>01a152b9-6ee2-7577-bddd-382bc3853fde</t>
        </is>
      </c>
      <c r="M1455" t="inlineStr">
        <is>
          <t>UNKNOWN</t>
        </is>
      </c>
      <c r="N1455" t="inlineStr">
        <is>
          <t>DEFAULT</t>
        </is>
      </c>
      <c r="Q1455" t="n">
        <v>0</v>
      </c>
      <c r="R1455" t="inlineStr">
        <is>
          <t>AUD</t>
        </is>
      </c>
      <c r="S1455" t="n">
        <v>0</v>
      </c>
      <c r="T1455" t="inlineStr">
        <is>
          <t>AUD</t>
        </is>
      </c>
      <c r="U1455" t="n">
        <v>0</v>
      </c>
    </row>
    <row r="1456">
      <c r="A1456" s="5" t="inlineStr">
        <is>
          <t>01a152b9-8611-777c-b000-c7ab05855f9a</t>
        </is>
      </c>
      <c r="C1456" s="5" t="inlineStr">
        <is>
          <t>01a152b9-6e67-75da-8adb-b03e5d07fd21</t>
        </is>
      </c>
      <c r="D1456" s="4" t="n">
        <v>46314.24597945883</v>
      </c>
      <c r="E1456" s="4" t="n">
        <v>46314.24597945894</v>
      </c>
      <c r="F1456" t="b">
        <v>1</v>
      </c>
      <c r="G1456" t="n">
        <v/>
      </c>
      <c r="H1456" t="inlineStr">
        <is>
          <t>RHT</t>
        </is>
      </c>
      <c r="I1456" t="inlineStr">
        <is>
          <t>Resonance Health Ltd</t>
        </is>
      </c>
      <c r="J1456" t="inlineStr">
        <is>
          <t>AUD</t>
        </is>
      </c>
      <c r="K1456" s="5" t="inlineStr">
        <is>
          <t>01a152b9-6ee2-7577-bddd-382bc3853fde</t>
        </is>
      </c>
      <c r="M1456" t="inlineStr">
        <is>
          <t>UNKNOWN</t>
        </is>
      </c>
      <c r="N1456" t="inlineStr">
        <is>
          <t>DEFAULT</t>
        </is>
      </c>
      <c r="Q1456" t="n">
        <v>0</v>
      </c>
      <c r="R1456" t="inlineStr">
        <is>
          <t>AUD</t>
        </is>
      </c>
      <c r="S1456" t="n">
        <v>0</v>
      </c>
      <c r="T1456" t="inlineStr">
        <is>
          <t>AUD</t>
        </is>
      </c>
      <c r="U1456" t="n">
        <v>0</v>
      </c>
    </row>
    <row r="1457">
      <c r="A1457" s="5" t="inlineStr">
        <is>
          <t>01a152b9-8614-741c-b31a-4f8488a715d1</t>
        </is>
      </c>
      <c r="C1457" s="5" t="inlineStr">
        <is>
          <t>01a152b9-6e67-75da-8adb-b03e5d07fd21</t>
        </is>
      </c>
      <c r="D1457" s="4" t="n">
        <v>46314.24597949913</v>
      </c>
      <c r="E1457" s="4" t="n">
        <v>46314.24597949925</v>
      </c>
      <c r="F1457" t="b">
        <v>1</v>
      </c>
      <c r="G1457" t="n">
        <v/>
      </c>
      <c r="H1457" t="inlineStr">
        <is>
          <t>FAL</t>
        </is>
      </c>
      <c r="I1457" t="inlineStr">
        <is>
          <t>Falcon Metals Ltd</t>
        </is>
      </c>
      <c r="J1457" t="inlineStr">
        <is>
          <t>AUD</t>
        </is>
      </c>
      <c r="K1457" s="5" t="inlineStr">
        <is>
          <t>01a152b9-6ee2-7577-bddd-382bc3853fde</t>
        </is>
      </c>
      <c r="M1457" t="inlineStr">
        <is>
          <t>UNKNOWN</t>
        </is>
      </c>
      <c r="N1457" t="inlineStr">
        <is>
          <t>DEFAULT</t>
        </is>
      </c>
      <c r="Q1457" t="n">
        <v>0</v>
      </c>
      <c r="R1457" t="inlineStr">
        <is>
          <t>AUD</t>
        </is>
      </c>
      <c r="S1457" t="n">
        <v>0</v>
      </c>
      <c r="T1457" t="inlineStr">
        <is>
          <t>AUD</t>
        </is>
      </c>
      <c r="U1457" t="n">
        <v>0</v>
      </c>
    </row>
    <row r="1458">
      <c r="A1458" s="5" t="inlineStr">
        <is>
          <t>01a152b9-8617-73da-9022-e2a54c53ba55</t>
        </is>
      </c>
      <c r="C1458" s="5" t="inlineStr">
        <is>
          <t>01a152b9-6e67-75da-8adb-b03e5d07fd21</t>
        </is>
      </c>
      <c r="D1458" s="4" t="n">
        <v>46314.24597953488</v>
      </c>
      <c r="E1458" s="4" t="n">
        <v>46314.24597953499</v>
      </c>
      <c r="F1458" t="b">
        <v>1</v>
      </c>
      <c r="G1458" t="n">
        <v/>
      </c>
      <c r="H1458" t="inlineStr">
        <is>
          <t>AQN</t>
        </is>
      </c>
      <c r="I1458" t="inlineStr">
        <is>
          <t>Aquirian Ltd</t>
        </is>
      </c>
      <c r="J1458" t="inlineStr">
        <is>
          <t>AUD</t>
        </is>
      </c>
      <c r="K1458" s="5" t="inlineStr">
        <is>
          <t>01a152b9-6ee2-7577-bddd-382bc3853fde</t>
        </is>
      </c>
      <c r="M1458" t="inlineStr">
        <is>
          <t>UNKNOWN</t>
        </is>
      </c>
      <c r="N1458" t="inlineStr">
        <is>
          <t>DEFAULT</t>
        </is>
      </c>
      <c r="Q1458" t="n">
        <v>0</v>
      </c>
      <c r="R1458" t="inlineStr">
        <is>
          <t>AUD</t>
        </is>
      </c>
      <c r="S1458" t="n">
        <v>0</v>
      </c>
      <c r="T1458" t="inlineStr">
        <is>
          <t>AUD</t>
        </is>
      </c>
      <c r="U1458" t="n">
        <v>0</v>
      </c>
    </row>
    <row r="1459">
      <c r="A1459" s="5" t="inlineStr">
        <is>
          <t>01a152b9-861a-7793-b64d-372150fa4fa4</t>
        </is>
      </c>
      <c r="C1459" s="5" t="inlineStr">
        <is>
          <t>01a152b9-6e67-75da-8adb-b03e5d07fd21</t>
        </is>
      </c>
      <c r="D1459" s="4" t="n">
        <v>46314.24597957081</v>
      </c>
      <c r="E1459" s="4" t="n">
        <v>46314.24597957091</v>
      </c>
      <c r="F1459" t="b">
        <v>1</v>
      </c>
      <c r="G1459" t="n">
        <v/>
      </c>
      <c r="H1459" t="inlineStr">
        <is>
          <t>TMK</t>
        </is>
      </c>
      <c r="I1459" t="inlineStr">
        <is>
          <t>TMK Energy Ltd</t>
        </is>
      </c>
      <c r="J1459" t="inlineStr">
        <is>
          <t>AUD</t>
        </is>
      </c>
      <c r="K1459" s="5" t="inlineStr">
        <is>
          <t>01a152b9-6ee2-7577-bddd-382bc3853fde</t>
        </is>
      </c>
      <c r="M1459" t="inlineStr">
        <is>
          <t>UNKNOWN</t>
        </is>
      </c>
      <c r="N1459" t="inlineStr">
        <is>
          <t>DEFAULT</t>
        </is>
      </c>
      <c r="Q1459" t="n">
        <v>0</v>
      </c>
      <c r="R1459" t="inlineStr">
        <is>
          <t>AUD</t>
        </is>
      </c>
      <c r="S1459" t="n">
        <v>0</v>
      </c>
      <c r="T1459" t="inlineStr">
        <is>
          <t>AUD</t>
        </is>
      </c>
      <c r="U1459" t="n">
        <v>0</v>
      </c>
    </row>
    <row r="1460">
      <c r="A1460" s="5" t="inlineStr">
        <is>
          <t>01a152b9-861e-73dd-a0c4-5a0422dc8df1</t>
        </is>
      </c>
      <c r="C1460" s="5" t="inlineStr">
        <is>
          <t>01a152b9-6e67-75da-8adb-b03e5d07fd21</t>
        </is>
      </c>
      <c r="D1460" s="4" t="n">
        <v>46314.24597961182</v>
      </c>
      <c r="E1460" s="4" t="n">
        <v>46314.24597961194</v>
      </c>
      <c r="F1460" t="b">
        <v>1</v>
      </c>
      <c r="G1460" t="n">
        <v/>
      </c>
      <c r="H1460" t="inlineStr">
        <is>
          <t>FTL</t>
        </is>
      </c>
      <c r="I1460" t="inlineStr">
        <is>
          <t>Firetail Resources Ltd</t>
        </is>
      </c>
      <c r="J1460" t="inlineStr">
        <is>
          <t>AUD</t>
        </is>
      </c>
      <c r="K1460" s="5" t="inlineStr">
        <is>
          <t>01a152b9-6ee2-7577-bddd-382bc3853fde</t>
        </is>
      </c>
      <c r="M1460" t="inlineStr">
        <is>
          <t>UNKNOWN</t>
        </is>
      </c>
      <c r="N1460" t="inlineStr">
        <is>
          <t>DEFAULT</t>
        </is>
      </c>
      <c r="Q1460" t="n">
        <v>0</v>
      </c>
      <c r="R1460" t="inlineStr">
        <is>
          <t>AUD</t>
        </is>
      </c>
      <c r="S1460" t="n">
        <v>0</v>
      </c>
      <c r="T1460" t="inlineStr">
        <is>
          <t>AUD</t>
        </is>
      </c>
      <c r="U1460" t="n">
        <v>0</v>
      </c>
    </row>
    <row r="1461">
      <c r="A1461" s="5" t="inlineStr">
        <is>
          <t>01a152b9-8622-768e-a029-f0663fd52667</t>
        </is>
      </c>
      <c r="C1461" s="5" t="inlineStr">
        <is>
          <t>01a152b9-6e67-75da-8adb-b03e5d07fd21</t>
        </is>
      </c>
      <c r="D1461" s="4" t="n">
        <v>46314.24597965446</v>
      </c>
      <c r="E1461" s="4" t="n">
        <v>46314.24597965456</v>
      </c>
      <c r="F1461" t="b">
        <v>1</v>
      </c>
      <c r="G1461" t="n">
        <v/>
      </c>
      <c r="H1461" t="inlineStr">
        <is>
          <t>OSL</t>
        </is>
      </c>
      <c r="I1461" t="inlineStr">
        <is>
          <t>Oncosil Medical Ltd</t>
        </is>
      </c>
      <c r="J1461" t="inlineStr">
        <is>
          <t>AUD</t>
        </is>
      </c>
      <c r="K1461" s="5" t="inlineStr">
        <is>
          <t>01a152b9-6ee2-7577-bddd-382bc3853fde</t>
        </is>
      </c>
      <c r="M1461" t="inlineStr">
        <is>
          <t>UNKNOWN</t>
        </is>
      </c>
      <c r="N1461" t="inlineStr">
        <is>
          <t>DEFAULT</t>
        </is>
      </c>
      <c r="Q1461" t="n">
        <v>0</v>
      </c>
      <c r="R1461" t="inlineStr">
        <is>
          <t>AUD</t>
        </is>
      </c>
      <c r="S1461" t="n">
        <v>0</v>
      </c>
      <c r="T1461" t="inlineStr">
        <is>
          <t>AUD</t>
        </is>
      </c>
      <c r="U1461" t="n">
        <v>0</v>
      </c>
    </row>
    <row r="1462">
      <c r="A1462" s="5" t="inlineStr">
        <is>
          <t>01a152b9-8625-77e8-a015-93eaf2a18eaa</t>
        </is>
      </c>
      <c r="C1462" s="5" t="inlineStr">
        <is>
          <t>01a152b9-6e67-75da-8adb-b03e5d07fd21</t>
        </is>
      </c>
      <c r="D1462" s="4" t="n">
        <v>46314.2459796905</v>
      </c>
      <c r="E1462" s="4" t="n">
        <v>46314.24597969059</v>
      </c>
      <c r="F1462" t="b">
        <v>1</v>
      </c>
      <c r="G1462" t="n">
        <v/>
      </c>
      <c r="H1462" t="inlineStr">
        <is>
          <t>NVQ</t>
        </is>
      </c>
      <c r="I1462" t="inlineStr">
        <is>
          <t>Noviqtech Ltd</t>
        </is>
      </c>
      <c r="J1462" t="inlineStr">
        <is>
          <t>AUD</t>
        </is>
      </c>
      <c r="K1462" s="5" t="inlineStr">
        <is>
          <t>01a152b9-6ee2-7577-bddd-382bc3853fde</t>
        </is>
      </c>
      <c r="M1462" t="inlineStr">
        <is>
          <t>UNKNOWN</t>
        </is>
      </c>
      <c r="N1462" t="inlineStr">
        <is>
          <t>DEFAULT</t>
        </is>
      </c>
      <c r="Q1462" t="n">
        <v>0</v>
      </c>
      <c r="R1462" t="inlineStr">
        <is>
          <t>AUD</t>
        </is>
      </c>
      <c r="S1462" t="n">
        <v>0</v>
      </c>
      <c r="T1462" t="inlineStr">
        <is>
          <t>AUD</t>
        </is>
      </c>
      <c r="U1462" t="n">
        <v>0</v>
      </c>
    </row>
    <row r="1463">
      <c r="A1463" s="5" t="inlineStr">
        <is>
          <t>01a152b9-8628-714b-9a92-6959c032a747</t>
        </is>
      </c>
      <c r="C1463" s="5" t="inlineStr">
        <is>
          <t>01a152b9-6e67-75da-8adb-b03e5d07fd21</t>
        </is>
      </c>
      <c r="D1463" s="4" t="n">
        <v>46314.24597972743</v>
      </c>
      <c r="E1463" s="4" t="n">
        <v>46314.24597972752</v>
      </c>
      <c r="F1463" t="b">
        <v>1</v>
      </c>
      <c r="G1463" t="n">
        <v/>
      </c>
      <c r="H1463" t="inlineStr">
        <is>
          <t>GC1</t>
        </is>
      </c>
      <c r="I1463" t="inlineStr">
        <is>
          <t>Glennon Small Companies Ltd</t>
        </is>
      </c>
      <c r="J1463" t="inlineStr">
        <is>
          <t>AUD</t>
        </is>
      </c>
      <c r="K1463" s="5" t="inlineStr">
        <is>
          <t>01a152b9-6ee2-7577-bddd-382bc3853fde</t>
        </is>
      </c>
      <c r="M1463" t="inlineStr">
        <is>
          <t>UNKNOWN</t>
        </is>
      </c>
      <c r="N1463" t="inlineStr">
        <is>
          <t>DEFAULT</t>
        </is>
      </c>
      <c r="Q1463" t="n">
        <v>0</v>
      </c>
      <c r="R1463" t="inlineStr">
        <is>
          <t>AUD</t>
        </is>
      </c>
      <c r="S1463" t="n">
        <v>0</v>
      </c>
      <c r="T1463" t="inlineStr">
        <is>
          <t>AUD</t>
        </is>
      </c>
      <c r="U1463" t="n">
        <v>0</v>
      </c>
    </row>
    <row r="1464">
      <c r="A1464" s="5" t="inlineStr">
        <is>
          <t>01a152b9-862b-711a-a65b-1d7fc88ee00a</t>
        </is>
      </c>
      <c r="C1464" s="5" t="inlineStr">
        <is>
          <t>01a152b9-6e67-75da-8adb-b03e5d07fd21</t>
        </is>
      </c>
      <c r="D1464" s="4" t="n">
        <v>46314.24597976539</v>
      </c>
      <c r="E1464" s="4" t="n">
        <v>46314.24597976549</v>
      </c>
      <c r="F1464" t="b">
        <v>1</v>
      </c>
      <c r="G1464" t="n">
        <v/>
      </c>
      <c r="H1464" t="inlineStr">
        <is>
          <t>XRG</t>
        </is>
      </c>
      <c r="I1464" t="inlineStr">
        <is>
          <t>Xreality Group Ltd</t>
        </is>
      </c>
      <c r="J1464" t="inlineStr">
        <is>
          <t>AUD</t>
        </is>
      </c>
      <c r="K1464" s="5" t="inlineStr">
        <is>
          <t>01a152b9-6ee2-7577-bddd-382bc3853fde</t>
        </is>
      </c>
      <c r="M1464" t="inlineStr">
        <is>
          <t>UNKNOWN</t>
        </is>
      </c>
      <c r="N1464" t="inlineStr">
        <is>
          <t>DEFAULT</t>
        </is>
      </c>
      <c r="Q1464" t="n">
        <v>0</v>
      </c>
      <c r="R1464" t="inlineStr">
        <is>
          <t>AUD</t>
        </is>
      </c>
      <c r="S1464" t="n">
        <v>0</v>
      </c>
      <c r="T1464" t="inlineStr">
        <is>
          <t>AUD</t>
        </is>
      </c>
      <c r="U1464" t="n">
        <v>0</v>
      </c>
    </row>
    <row r="1465">
      <c r="A1465" s="5" t="inlineStr">
        <is>
          <t>01a152b9-862e-77a8-bf9e-c67bf5608afc</t>
        </is>
      </c>
      <c r="C1465" s="5" t="inlineStr">
        <is>
          <t>01a152b9-6e67-75da-8adb-b03e5d07fd21</t>
        </is>
      </c>
      <c r="D1465" s="4" t="n">
        <v>46314.24597980423</v>
      </c>
      <c r="E1465" s="4" t="n">
        <v>46314.24597980433</v>
      </c>
      <c r="F1465" t="b">
        <v>1</v>
      </c>
      <c r="G1465" t="n">
        <v/>
      </c>
      <c r="H1465" t="inlineStr">
        <is>
          <t>XMET</t>
        </is>
      </c>
      <c r="I1465" t="inlineStr">
        <is>
          <t>Betashares Energy Transition Metals ETF</t>
        </is>
      </c>
      <c r="J1465" t="inlineStr">
        <is>
          <t>AUD</t>
        </is>
      </c>
      <c r="K1465" s="5" t="inlineStr">
        <is>
          <t>01a152b9-6ee2-7577-bddd-382bc3853fde</t>
        </is>
      </c>
      <c r="M1465" t="inlineStr">
        <is>
          <t>UNKNOWN</t>
        </is>
      </c>
      <c r="N1465" t="inlineStr">
        <is>
          <t>DEFAULT</t>
        </is>
      </c>
      <c r="Q1465" t="n">
        <v>0</v>
      </c>
      <c r="R1465" t="inlineStr">
        <is>
          <t>AUD</t>
        </is>
      </c>
      <c r="S1465" t="n">
        <v>0</v>
      </c>
      <c r="T1465" t="inlineStr">
        <is>
          <t>AUD</t>
        </is>
      </c>
      <c r="U1465" t="n">
        <v>0</v>
      </c>
    </row>
    <row r="1466">
      <c r="A1466" s="5" t="inlineStr">
        <is>
          <t>01a152b9-8632-75f5-94a4-6da8a84e21d8</t>
        </is>
      </c>
      <c r="C1466" s="5" t="inlineStr">
        <is>
          <t>01a152b9-6e67-75da-8adb-b03e5d07fd21</t>
        </is>
      </c>
      <c r="D1466" s="4" t="n">
        <v>46314.24597984226</v>
      </c>
      <c r="E1466" s="4" t="n">
        <v>46314.24597984235</v>
      </c>
      <c r="F1466" t="b">
        <v>1</v>
      </c>
      <c r="G1466" t="n">
        <v/>
      </c>
      <c r="H1466" t="inlineStr">
        <is>
          <t>S3GO</t>
        </is>
      </c>
      <c r="I1466" t="inlineStr">
        <is>
          <t>Firetrail S3 Global Opps Fund (Managed Fund)</t>
        </is>
      </c>
      <c r="J1466" t="inlineStr">
        <is>
          <t>AUD</t>
        </is>
      </c>
      <c r="K1466" s="5" t="inlineStr">
        <is>
          <t>01a152b9-6ee2-7577-bddd-382bc3853fde</t>
        </is>
      </c>
      <c r="M1466" t="inlineStr">
        <is>
          <t>UNKNOWN</t>
        </is>
      </c>
      <c r="N1466" t="inlineStr">
        <is>
          <t>DEFAULT</t>
        </is>
      </c>
      <c r="Q1466" t="n">
        <v>0</v>
      </c>
      <c r="R1466" t="inlineStr">
        <is>
          <t>AUD</t>
        </is>
      </c>
      <c r="S1466" t="n">
        <v>0</v>
      </c>
      <c r="T1466" t="inlineStr">
        <is>
          <t>AUD</t>
        </is>
      </c>
      <c r="U1466" t="n">
        <v>0</v>
      </c>
    </row>
    <row r="1467">
      <c r="A1467" s="5" t="inlineStr">
        <is>
          <t>01a152b9-8636-7175-9c72-a513f1deb767</t>
        </is>
      </c>
      <c r="C1467" s="5" t="inlineStr">
        <is>
          <t>01a152b9-6e67-75da-8adb-b03e5d07fd21</t>
        </is>
      </c>
      <c r="D1467" s="4" t="n">
        <v>46314.24597988719</v>
      </c>
      <c r="E1467" s="4" t="n">
        <v>46314.24597988734</v>
      </c>
      <c r="F1467" t="b">
        <v>1</v>
      </c>
      <c r="G1467" t="n">
        <v/>
      </c>
      <c r="H1467" t="inlineStr">
        <is>
          <t>PXX</t>
        </is>
      </c>
      <c r="I1467" t="inlineStr">
        <is>
          <t>Polarx Ltd</t>
        </is>
      </c>
      <c r="J1467" t="inlineStr">
        <is>
          <t>AUD</t>
        </is>
      </c>
      <c r="K1467" s="5" t="inlineStr">
        <is>
          <t>01a152b9-6ee2-7577-bddd-382bc3853fde</t>
        </is>
      </c>
      <c r="M1467" t="inlineStr">
        <is>
          <t>UNKNOWN</t>
        </is>
      </c>
      <c r="N1467" t="inlineStr">
        <is>
          <t>DEFAULT</t>
        </is>
      </c>
      <c r="Q1467" t="n">
        <v>0</v>
      </c>
      <c r="R1467" t="inlineStr">
        <is>
          <t>AUD</t>
        </is>
      </c>
      <c r="S1467" t="n">
        <v>0</v>
      </c>
      <c r="T1467" t="inlineStr">
        <is>
          <t>AUD</t>
        </is>
      </c>
      <c r="U1467" t="n">
        <v>0</v>
      </c>
    </row>
    <row r="1468">
      <c r="A1468" s="5" t="inlineStr">
        <is>
          <t>01a152b9-8639-769b-9d59-78774bef6a62</t>
        </is>
      </c>
      <c r="C1468" s="5" t="inlineStr">
        <is>
          <t>01a152b9-6e67-75da-8adb-b03e5d07fd21</t>
        </is>
      </c>
      <c r="D1468" s="4" t="n">
        <v>46314.24597992853</v>
      </c>
      <c r="E1468" s="4" t="n">
        <v>46314.24597992868</v>
      </c>
      <c r="F1468" t="b">
        <v>1</v>
      </c>
      <c r="G1468" t="n">
        <v/>
      </c>
      <c r="H1468" t="inlineStr">
        <is>
          <t>WEMG</t>
        </is>
      </c>
      <c r="I1468" t="inlineStr">
        <is>
          <t>SPDR S&amp;P Emerging Markets Carbon Control Fund</t>
        </is>
      </c>
      <c r="J1468" t="inlineStr">
        <is>
          <t>AUD</t>
        </is>
      </c>
      <c r="K1468" s="5" t="inlineStr">
        <is>
          <t>01a152b9-6ee2-7577-bddd-382bc3853fde</t>
        </is>
      </c>
      <c r="M1468" t="inlineStr">
        <is>
          <t>UNKNOWN</t>
        </is>
      </c>
      <c r="N1468" t="inlineStr">
        <is>
          <t>DEFAULT</t>
        </is>
      </c>
      <c r="Q1468" t="n">
        <v>0</v>
      </c>
      <c r="R1468" t="inlineStr">
        <is>
          <t>AUD</t>
        </is>
      </c>
      <c r="S1468" t="n">
        <v>0</v>
      </c>
      <c r="T1468" t="inlineStr">
        <is>
          <t>AUD</t>
        </is>
      </c>
      <c r="U1468" t="n">
        <v>0</v>
      </c>
    </row>
    <row r="1469">
      <c r="A1469" s="5" t="inlineStr">
        <is>
          <t>01a152b9-863d-7119-af64-bd5acba8e969</t>
        </is>
      </c>
      <c r="C1469" s="5" t="inlineStr">
        <is>
          <t>01a152b9-6e67-75da-8adb-b03e5d07fd21</t>
        </is>
      </c>
      <c r="D1469" s="4" t="n">
        <v>46314.24597997132</v>
      </c>
      <c r="E1469" s="4" t="n">
        <v>46314.24597997143</v>
      </c>
      <c r="F1469" t="b">
        <v>1</v>
      </c>
      <c r="G1469" t="n">
        <v/>
      </c>
      <c r="H1469" t="inlineStr">
        <is>
          <t>DFND</t>
        </is>
      </c>
      <c r="I1469" t="inlineStr">
        <is>
          <t>Vaneck Global Defence ETF</t>
        </is>
      </c>
      <c r="J1469" t="inlineStr">
        <is>
          <t>AUD</t>
        </is>
      </c>
      <c r="K1469" s="5" t="inlineStr">
        <is>
          <t>01a152b9-6ee2-7577-bddd-382bc3853fde</t>
        </is>
      </c>
      <c r="M1469" t="inlineStr">
        <is>
          <t>UNKNOWN</t>
        </is>
      </c>
      <c r="N1469" t="inlineStr">
        <is>
          <t>DEFAULT</t>
        </is>
      </c>
      <c r="Q1469" t="n">
        <v>0</v>
      </c>
      <c r="R1469" t="inlineStr">
        <is>
          <t>AUD</t>
        </is>
      </c>
      <c r="S1469" t="n">
        <v>0</v>
      </c>
      <c r="T1469" t="inlineStr">
        <is>
          <t>AUD</t>
        </is>
      </c>
      <c r="U1469" t="n">
        <v>0</v>
      </c>
    </row>
    <row r="1470">
      <c r="A1470" s="5" t="inlineStr">
        <is>
          <t>01a152b9-8640-77eb-bbc7-6c6031a8be84</t>
        </is>
      </c>
      <c r="C1470" s="5" t="inlineStr">
        <is>
          <t>01a152b9-6e67-75da-8adb-b03e5d07fd21</t>
        </is>
      </c>
      <c r="D1470" s="4" t="n">
        <v>46314.24598001175</v>
      </c>
      <c r="E1470" s="4" t="n">
        <v>46314.24598001185</v>
      </c>
      <c r="F1470" t="b">
        <v>1</v>
      </c>
      <c r="G1470" t="n">
        <v/>
      </c>
      <c r="H1470" t="inlineStr">
        <is>
          <t>NXM</t>
        </is>
      </c>
      <c r="I1470" t="inlineStr">
        <is>
          <t>Nexus Minerals Ltd</t>
        </is>
      </c>
      <c r="J1470" t="inlineStr">
        <is>
          <t>AUD</t>
        </is>
      </c>
      <c r="K1470" s="5" t="inlineStr">
        <is>
          <t>01a152b9-6ee2-7577-bddd-382bc3853fde</t>
        </is>
      </c>
      <c r="M1470" t="inlineStr">
        <is>
          <t>UNKNOWN</t>
        </is>
      </c>
      <c r="N1470" t="inlineStr">
        <is>
          <t>DEFAULT</t>
        </is>
      </c>
      <c r="Q1470" t="n">
        <v>0</v>
      </c>
      <c r="R1470" t="inlineStr">
        <is>
          <t>AUD</t>
        </is>
      </c>
      <c r="S1470" t="n">
        <v>0</v>
      </c>
      <c r="T1470" t="inlineStr">
        <is>
          <t>AUD</t>
        </is>
      </c>
      <c r="U1470" t="n">
        <v>0</v>
      </c>
    </row>
    <row r="1471">
      <c r="A1471" s="5" t="inlineStr">
        <is>
          <t>01a152b9-8644-70c9-8853-71a36fcb1742</t>
        </is>
      </c>
      <c r="C1471" s="5" t="inlineStr">
        <is>
          <t>01a152b9-6e67-75da-8adb-b03e5d07fd21</t>
        </is>
      </c>
      <c r="D1471" s="4" t="n">
        <v>46314.24598005321</v>
      </c>
      <c r="E1471" s="4" t="n">
        <v>46314.24598005331</v>
      </c>
      <c r="F1471" t="b">
        <v>1</v>
      </c>
      <c r="G1471" t="n">
        <v/>
      </c>
      <c r="H1471" t="inlineStr">
        <is>
          <t>CXZ</t>
        </is>
      </c>
      <c r="I1471" t="inlineStr">
        <is>
          <t>Connexion Mobility Ltd</t>
        </is>
      </c>
      <c r="J1471" t="inlineStr">
        <is>
          <t>AUD</t>
        </is>
      </c>
      <c r="K1471" s="5" t="inlineStr">
        <is>
          <t>01a152b9-6ee2-7577-bddd-382bc3853fde</t>
        </is>
      </c>
      <c r="M1471" t="inlineStr">
        <is>
          <t>UNKNOWN</t>
        </is>
      </c>
      <c r="N1471" t="inlineStr">
        <is>
          <t>DEFAULT</t>
        </is>
      </c>
      <c r="Q1471" t="n">
        <v>0</v>
      </c>
      <c r="R1471" t="inlineStr">
        <is>
          <t>AUD</t>
        </is>
      </c>
      <c r="S1471" t="n">
        <v>0</v>
      </c>
      <c r="T1471" t="inlineStr">
        <is>
          <t>AUD</t>
        </is>
      </c>
      <c r="U1471" t="n">
        <v>0</v>
      </c>
    </row>
    <row r="1472">
      <c r="A1472" s="5" t="inlineStr">
        <is>
          <t>01a152b9-8647-7653-97d4-1396e44fcf7b</t>
        </is>
      </c>
      <c r="C1472" s="5" t="inlineStr">
        <is>
          <t>01a152b9-6e67-75da-8adb-b03e5d07fd21</t>
        </is>
      </c>
      <c r="D1472" s="4" t="n">
        <v>46314.24598008721</v>
      </c>
      <c r="E1472" s="4" t="n">
        <v>46314.24598008731</v>
      </c>
      <c r="F1472" t="b">
        <v>1</v>
      </c>
      <c r="G1472" t="n">
        <v/>
      </c>
      <c r="H1472" t="inlineStr">
        <is>
          <t>COD</t>
        </is>
      </c>
      <c r="I1472" t="inlineStr">
        <is>
          <t>Coda Minerals Ltd</t>
        </is>
      </c>
      <c r="J1472" t="inlineStr">
        <is>
          <t>AUD</t>
        </is>
      </c>
      <c r="K1472" s="5" t="inlineStr">
        <is>
          <t>01a152b9-6ee2-7577-bddd-382bc3853fde</t>
        </is>
      </c>
      <c r="M1472" t="inlineStr">
        <is>
          <t>UNKNOWN</t>
        </is>
      </c>
      <c r="N1472" t="inlineStr">
        <is>
          <t>DEFAULT</t>
        </is>
      </c>
      <c r="Q1472" t="n">
        <v>0</v>
      </c>
      <c r="R1472" t="inlineStr">
        <is>
          <t>AUD</t>
        </is>
      </c>
      <c r="S1472" t="n">
        <v>0</v>
      </c>
      <c r="T1472" t="inlineStr">
        <is>
          <t>AUD</t>
        </is>
      </c>
      <c r="U1472" t="n">
        <v>0</v>
      </c>
    </row>
    <row r="1473">
      <c r="A1473" s="5" t="inlineStr">
        <is>
          <t>01a152b9-864a-7564-beac-e46c8568874a</t>
        </is>
      </c>
      <c r="C1473" s="5" t="inlineStr">
        <is>
          <t>01a152b9-6e67-75da-8adb-b03e5d07fd21</t>
        </is>
      </c>
      <c r="D1473" s="4" t="n">
        <v>46314.24598012484</v>
      </c>
      <c r="E1473" s="4" t="n">
        <v>46314.24598012493</v>
      </c>
      <c r="F1473" t="b">
        <v>1</v>
      </c>
      <c r="G1473" t="n">
        <v/>
      </c>
      <c r="H1473" t="inlineStr">
        <is>
          <t>MOV</t>
        </is>
      </c>
      <c r="I1473" t="inlineStr">
        <is>
          <t>Move Logistics Group Ltd</t>
        </is>
      </c>
      <c r="J1473" t="inlineStr">
        <is>
          <t>AUD</t>
        </is>
      </c>
      <c r="K1473" s="5" t="inlineStr">
        <is>
          <t>01a152b9-6ee2-7577-bddd-382bc3853fde</t>
        </is>
      </c>
      <c r="M1473" t="inlineStr">
        <is>
          <t>UNKNOWN</t>
        </is>
      </c>
      <c r="N1473" t="inlineStr">
        <is>
          <t>DEFAULT</t>
        </is>
      </c>
      <c r="Q1473" t="n">
        <v>0</v>
      </c>
      <c r="R1473" t="inlineStr">
        <is>
          <t>AUD</t>
        </is>
      </c>
      <c r="S1473" t="n">
        <v>0</v>
      </c>
      <c r="T1473" t="inlineStr">
        <is>
          <t>AUD</t>
        </is>
      </c>
      <c r="U1473" t="n">
        <v>0</v>
      </c>
    </row>
    <row r="1474">
      <c r="A1474" s="5" t="inlineStr">
        <is>
          <t>01a152b9-864e-752d-8818-7d64c137e47e</t>
        </is>
      </c>
      <c r="C1474" s="5" t="inlineStr">
        <is>
          <t>01a152b9-6e67-75da-8adb-b03e5d07fd21</t>
        </is>
      </c>
      <c r="D1474" s="4" t="n">
        <v>46314.24598016871</v>
      </c>
      <c r="E1474" s="4" t="n">
        <v>46314.24598016883</v>
      </c>
      <c r="F1474" t="b">
        <v>1</v>
      </c>
      <c r="G1474" t="n">
        <v/>
      </c>
      <c r="H1474" t="inlineStr">
        <is>
          <t>WAG</t>
        </is>
      </c>
      <c r="I1474" t="inlineStr">
        <is>
          <t>The Australian Wealth Advisors Group Ltd</t>
        </is>
      </c>
      <c r="J1474" t="inlineStr">
        <is>
          <t>AUD</t>
        </is>
      </c>
      <c r="K1474" s="5" t="inlineStr">
        <is>
          <t>01a152b9-6ee2-7577-bddd-382bc3853fde</t>
        </is>
      </c>
      <c r="M1474" t="inlineStr">
        <is>
          <t>UNKNOWN</t>
        </is>
      </c>
      <c r="N1474" t="inlineStr">
        <is>
          <t>DEFAULT</t>
        </is>
      </c>
      <c r="Q1474" t="n">
        <v>0</v>
      </c>
      <c r="R1474" t="inlineStr">
        <is>
          <t>AUD</t>
        </is>
      </c>
      <c r="S1474" t="n">
        <v>0</v>
      </c>
      <c r="T1474" t="inlineStr">
        <is>
          <t>AUD</t>
        </is>
      </c>
      <c r="U1474" t="n">
        <v>0</v>
      </c>
    </row>
    <row r="1475">
      <c r="A1475" s="5" t="inlineStr">
        <is>
          <t>01a152b9-8652-7222-bafe-820d315574af</t>
        </is>
      </c>
      <c r="C1475" s="5" t="inlineStr">
        <is>
          <t>01a152b9-6e67-75da-8adb-b03e5d07fd21</t>
        </is>
      </c>
      <c r="D1475" s="4" t="n">
        <v>46314.24598021321</v>
      </c>
      <c r="E1475" s="4" t="n">
        <v>46314.24598021331</v>
      </c>
      <c r="F1475" t="b">
        <v>1</v>
      </c>
      <c r="G1475" t="n">
        <v/>
      </c>
      <c r="H1475" t="inlineStr">
        <is>
          <t>ADN</t>
        </is>
      </c>
      <c r="I1475" t="inlineStr">
        <is>
          <t>Andromeda Metals Ltd</t>
        </is>
      </c>
      <c r="J1475" t="inlineStr">
        <is>
          <t>AUD</t>
        </is>
      </c>
      <c r="K1475" s="5" t="inlineStr">
        <is>
          <t>01a152b9-6ee2-7577-bddd-382bc3853fde</t>
        </is>
      </c>
      <c r="M1475" t="inlineStr">
        <is>
          <t>UNKNOWN</t>
        </is>
      </c>
      <c r="N1475" t="inlineStr">
        <is>
          <t>DEFAULT</t>
        </is>
      </c>
      <c r="Q1475" t="n">
        <v>0</v>
      </c>
      <c r="R1475" t="inlineStr">
        <is>
          <t>AUD</t>
        </is>
      </c>
      <c r="S1475" t="n">
        <v>0</v>
      </c>
      <c r="T1475" t="inlineStr">
        <is>
          <t>AUD</t>
        </is>
      </c>
      <c r="U1475" t="n">
        <v>0</v>
      </c>
    </row>
    <row r="1476">
      <c r="A1476" s="5" t="inlineStr">
        <is>
          <t>01a152b9-8656-700e-856c-7ac15545c0f3</t>
        </is>
      </c>
      <c r="C1476" s="5" t="inlineStr">
        <is>
          <t>01a152b9-6e67-75da-8adb-b03e5d07fd21</t>
        </is>
      </c>
      <c r="D1476" s="4" t="n">
        <v>46314.24598025861</v>
      </c>
      <c r="E1476" s="4" t="n">
        <v>46314.24598025873</v>
      </c>
      <c r="F1476" t="b">
        <v>1</v>
      </c>
      <c r="G1476" t="n">
        <v/>
      </c>
      <c r="H1476" t="inlineStr">
        <is>
          <t>ICL</t>
        </is>
      </c>
      <c r="I1476" t="inlineStr">
        <is>
          <t>Iceni Gold Ltd</t>
        </is>
      </c>
      <c r="J1476" t="inlineStr">
        <is>
          <t>AUD</t>
        </is>
      </c>
      <c r="K1476" s="5" t="inlineStr">
        <is>
          <t>01a152b9-6ee2-7577-bddd-382bc3853fde</t>
        </is>
      </c>
      <c r="M1476" t="inlineStr">
        <is>
          <t>UNKNOWN</t>
        </is>
      </c>
      <c r="N1476" t="inlineStr">
        <is>
          <t>DEFAULT</t>
        </is>
      </c>
      <c r="Q1476" t="n">
        <v>0</v>
      </c>
      <c r="R1476" t="inlineStr">
        <is>
          <t>AUD</t>
        </is>
      </c>
      <c r="S1476" t="n">
        <v>0</v>
      </c>
      <c r="T1476" t="inlineStr">
        <is>
          <t>AUD</t>
        </is>
      </c>
      <c r="U1476" t="n">
        <v>0</v>
      </c>
    </row>
    <row r="1477">
      <c r="A1477" s="5" t="inlineStr">
        <is>
          <t>01a152b9-8659-7654-9246-71258cded6d9</t>
        </is>
      </c>
      <c r="C1477" s="5" t="inlineStr">
        <is>
          <t>01a152b9-6e67-75da-8adb-b03e5d07fd21</t>
        </is>
      </c>
      <c r="D1477" s="4" t="n">
        <v>46314.24598029794</v>
      </c>
      <c r="E1477" s="4" t="n">
        <v>46314.24598029803</v>
      </c>
      <c r="F1477" t="b">
        <v>1</v>
      </c>
      <c r="G1477" t="n">
        <v/>
      </c>
      <c r="H1477" t="inlineStr">
        <is>
          <t>MAG</t>
        </is>
      </c>
      <c r="I1477" t="inlineStr">
        <is>
          <t>Magmatic Resources Ltd</t>
        </is>
      </c>
      <c r="J1477" t="inlineStr">
        <is>
          <t>AUD</t>
        </is>
      </c>
      <c r="K1477" s="5" t="inlineStr">
        <is>
          <t>01a152b9-6ee2-7577-bddd-382bc3853fde</t>
        </is>
      </c>
      <c r="M1477" t="inlineStr">
        <is>
          <t>UNKNOWN</t>
        </is>
      </c>
      <c r="N1477" t="inlineStr">
        <is>
          <t>DEFAULT</t>
        </is>
      </c>
      <c r="Q1477" t="n">
        <v>0</v>
      </c>
      <c r="R1477" t="inlineStr">
        <is>
          <t>AUD</t>
        </is>
      </c>
      <c r="S1477" t="n">
        <v>0</v>
      </c>
      <c r="T1477" t="inlineStr">
        <is>
          <t>AUD</t>
        </is>
      </c>
      <c r="U1477" t="n">
        <v>0</v>
      </c>
    </row>
    <row r="1478">
      <c r="A1478" s="5" t="inlineStr">
        <is>
          <t>01a152b9-865c-7722-8d28-7f9f16374204</t>
        </is>
      </c>
      <c r="C1478" s="5" t="inlineStr">
        <is>
          <t>01a152b9-6e67-75da-8adb-b03e5d07fd21</t>
        </is>
      </c>
      <c r="D1478" s="4" t="n">
        <v>46314.24598033685</v>
      </c>
      <c r="E1478" s="4" t="n">
        <v>46314.24598033696</v>
      </c>
      <c r="F1478" t="b">
        <v>1</v>
      </c>
      <c r="G1478" t="n">
        <v/>
      </c>
      <c r="H1478" t="inlineStr">
        <is>
          <t>5GG</t>
        </is>
      </c>
      <c r="I1478" t="inlineStr">
        <is>
          <t>Pentanet Ltd</t>
        </is>
      </c>
      <c r="J1478" t="inlineStr">
        <is>
          <t>AUD</t>
        </is>
      </c>
      <c r="K1478" s="5" t="inlineStr">
        <is>
          <t>01a152b9-6ee2-7577-bddd-382bc3853fde</t>
        </is>
      </c>
      <c r="M1478" t="inlineStr">
        <is>
          <t>UNKNOWN</t>
        </is>
      </c>
      <c r="N1478" t="inlineStr">
        <is>
          <t>DEFAULT</t>
        </is>
      </c>
      <c r="Q1478" t="n">
        <v>0</v>
      </c>
      <c r="R1478" t="inlineStr">
        <is>
          <t>AUD</t>
        </is>
      </c>
      <c r="S1478" t="n">
        <v>0</v>
      </c>
      <c r="T1478" t="inlineStr">
        <is>
          <t>AUD</t>
        </is>
      </c>
      <c r="U1478" t="n">
        <v>0</v>
      </c>
    </row>
    <row r="1479">
      <c r="A1479" s="5" t="inlineStr">
        <is>
          <t>01a152b9-8660-76ed-81dc-eb85ba39b1fc</t>
        </is>
      </c>
      <c r="C1479" s="5" t="inlineStr">
        <is>
          <t>01a152b9-6e67-75da-8adb-b03e5d07fd21</t>
        </is>
      </c>
      <c r="D1479" s="4" t="n">
        <v>46314.24598037205</v>
      </c>
      <c r="E1479" s="4" t="n">
        <v>46314.24598037214</v>
      </c>
      <c r="F1479" t="b">
        <v>1</v>
      </c>
      <c r="G1479" t="n">
        <v/>
      </c>
      <c r="H1479" t="inlineStr">
        <is>
          <t>BMR</t>
        </is>
      </c>
      <c r="I1479" t="inlineStr">
        <is>
          <t>Ballymore Resources Ltd</t>
        </is>
      </c>
      <c r="J1479" t="inlineStr">
        <is>
          <t>AUD</t>
        </is>
      </c>
      <c r="K1479" s="5" t="inlineStr">
        <is>
          <t>01a152b9-6ee2-7577-bddd-382bc3853fde</t>
        </is>
      </c>
      <c r="M1479" t="inlineStr">
        <is>
          <t>UNKNOWN</t>
        </is>
      </c>
      <c r="N1479" t="inlineStr">
        <is>
          <t>DEFAULT</t>
        </is>
      </c>
      <c r="Q1479" t="n">
        <v>0</v>
      </c>
      <c r="R1479" t="inlineStr">
        <is>
          <t>AUD</t>
        </is>
      </c>
      <c r="S1479" t="n">
        <v>0</v>
      </c>
      <c r="T1479" t="inlineStr">
        <is>
          <t>AUD</t>
        </is>
      </c>
      <c r="U1479" t="n">
        <v>0</v>
      </c>
    </row>
    <row r="1480">
      <c r="A1480" s="5" t="inlineStr">
        <is>
          <t>01a152b9-8664-708a-8e31-69f46f4a8817</t>
        </is>
      </c>
      <c r="C1480" s="5" t="inlineStr">
        <is>
          <t>01a152b9-6e67-75da-8adb-b03e5d07fd21</t>
        </is>
      </c>
      <c r="D1480" s="4" t="n">
        <v>46314.24598042244</v>
      </c>
      <c r="E1480" s="4" t="n">
        <v>46314.24598042257</v>
      </c>
      <c r="F1480" t="b">
        <v>1</v>
      </c>
      <c r="G1480" t="n">
        <v/>
      </c>
      <c r="H1480" t="inlineStr">
        <is>
          <t>ECS</t>
        </is>
      </c>
      <c r="I1480" t="inlineStr">
        <is>
          <t>ECS Botanics Holdings Ltd</t>
        </is>
      </c>
      <c r="J1480" t="inlineStr">
        <is>
          <t>AUD</t>
        </is>
      </c>
      <c r="K1480" s="5" t="inlineStr">
        <is>
          <t>01a152b9-6ee2-7577-bddd-382bc3853fde</t>
        </is>
      </c>
      <c r="M1480" t="inlineStr">
        <is>
          <t>UNKNOWN</t>
        </is>
      </c>
      <c r="N1480" t="inlineStr">
        <is>
          <t>DEFAULT</t>
        </is>
      </c>
      <c r="Q1480" t="n">
        <v>0</v>
      </c>
      <c r="R1480" t="inlineStr">
        <is>
          <t>AUD</t>
        </is>
      </c>
      <c r="S1480" t="n">
        <v>0</v>
      </c>
      <c r="T1480" t="inlineStr">
        <is>
          <t>AUD</t>
        </is>
      </c>
      <c r="U1480" t="n">
        <v>0</v>
      </c>
    </row>
    <row r="1481">
      <c r="A1481" s="5" t="inlineStr">
        <is>
          <t>01a152b9-8667-7388-8979-87bba82a5d40</t>
        </is>
      </c>
      <c r="C1481" s="5" t="inlineStr">
        <is>
          <t>01a152b9-6e67-75da-8adb-b03e5d07fd21</t>
        </is>
      </c>
      <c r="D1481" s="4" t="n">
        <v>46314.24598046213</v>
      </c>
      <c r="E1481" s="4" t="n">
        <v>46314.24598046227</v>
      </c>
      <c r="F1481" t="b">
        <v>1</v>
      </c>
      <c r="G1481" t="n">
        <v/>
      </c>
      <c r="H1481" t="inlineStr">
        <is>
          <t>NHE</t>
        </is>
      </c>
      <c r="I1481" t="inlineStr">
        <is>
          <t>Noble Helium Ltd</t>
        </is>
      </c>
      <c r="J1481" t="inlineStr">
        <is>
          <t>AUD</t>
        </is>
      </c>
      <c r="K1481" s="5" t="inlineStr">
        <is>
          <t>01a152b9-6ee2-7577-bddd-382bc3853fde</t>
        </is>
      </c>
      <c r="M1481" t="inlineStr">
        <is>
          <t>UNKNOWN</t>
        </is>
      </c>
      <c r="N1481" t="inlineStr">
        <is>
          <t>DEFAULT</t>
        </is>
      </c>
      <c r="Q1481" t="n">
        <v>0</v>
      </c>
      <c r="R1481" t="inlineStr">
        <is>
          <t>AUD</t>
        </is>
      </c>
      <c r="S1481" t="n">
        <v>0</v>
      </c>
      <c r="T1481" t="inlineStr">
        <is>
          <t>AUD</t>
        </is>
      </c>
      <c r="U1481" t="n">
        <v>0</v>
      </c>
    </row>
    <row r="1482">
      <c r="A1482" s="5" t="inlineStr">
        <is>
          <t>01a152b9-866b-7637-9af1-fee5a1d7c087</t>
        </is>
      </c>
      <c r="C1482" s="5" t="inlineStr">
        <is>
          <t>01a152b9-6e67-75da-8adb-b03e5d07fd21</t>
        </is>
      </c>
      <c r="D1482" s="4" t="n">
        <v>46314.24598050046</v>
      </c>
      <c r="E1482" s="4" t="n">
        <v>46314.24598050056</v>
      </c>
      <c r="F1482" t="b">
        <v>1</v>
      </c>
      <c r="G1482" t="n">
        <v/>
      </c>
      <c r="H1482" t="inlineStr">
        <is>
          <t>KPO</t>
        </is>
      </c>
      <c r="I1482" t="inlineStr">
        <is>
          <t>Kalina Power Ltd</t>
        </is>
      </c>
      <c r="J1482" t="inlineStr">
        <is>
          <t>AUD</t>
        </is>
      </c>
      <c r="K1482" s="5" t="inlineStr">
        <is>
          <t>01a152b9-6ee2-7577-bddd-382bc3853fde</t>
        </is>
      </c>
      <c r="M1482" t="inlineStr">
        <is>
          <t>UNKNOWN</t>
        </is>
      </c>
      <c r="N1482" t="inlineStr">
        <is>
          <t>DEFAULT</t>
        </is>
      </c>
      <c r="Q1482" t="n">
        <v>0</v>
      </c>
      <c r="R1482" t="inlineStr">
        <is>
          <t>AUD</t>
        </is>
      </c>
      <c r="S1482" t="n">
        <v>0</v>
      </c>
      <c r="T1482" t="inlineStr">
        <is>
          <t>AUD</t>
        </is>
      </c>
      <c r="U1482" t="n">
        <v>0</v>
      </c>
    </row>
    <row r="1483">
      <c r="A1483" s="5" t="inlineStr">
        <is>
          <t>01a152b9-866e-71cc-acad-19e473b96ec8</t>
        </is>
      </c>
      <c r="C1483" s="5" t="inlineStr">
        <is>
          <t>01a152b9-6e67-75da-8adb-b03e5d07fd21</t>
        </is>
      </c>
      <c r="D1483" s="4" t="n">
        <v>46314.2459805353</v>
      </c>
      <c r="E1483" s="4" t="n">
        <v>46314.24598053539</v>
      </c>
      <c r="F1483" t="b">
        <v>1</v>
      </c>
      <c r="G1483" t="n">
        <v/>
      </c>
      <c r="H1483" t="inlineStr">
        <is>
          <t>NUH</t>
        </is>
      </c>
      <c r="I1483" t="inlineStr">
        <is>
          <t>Nuheara Ltd</t>
        </is>
      </c>
      <c r="J1483" t="inlineStr">
        <is>
          <t>AUD</t>
        </is>
      </c>
      <c r="K1483" s="5" t="inlineStr">
        <is>
          <t>01a152b9-6ee2-7577-bddd-382bc3853fde</t>
        </is>
      </c>
      <c r="M1483" t="inlineStr">
        <is>
          <t>UNKNOWN</t>
        </is>
      </c>
      <c r="N1483" t="inlineStr">
        <is>
          <t>DEFAULT</t>
        </is>
      </c>
      <c r="Q1483" t="n">
        <v>0</v>
      </c>
      <c r="R1483" t="inlineStr">
        <is>
          <t>AUD</t>
        </is>
      </c>
      <c r="S1483" t="n">
        <v>0</v>
      </c>
      <c r="T1483" t="inlineStr">
        <is>
          <t>AUD</t>
        </is>
      </c>
      <c r="U1483" t="n">
        <v>0</v>
      </c>
    </row>
    <row r="1484">
      <c r="A1484" s="5" t="inlineStr">
        <is>
          <t>01a152b9-8671-707d-b48d-4c0d846ee815</t>
        </is>
      </c>
      <c r="C1484" s="5" t="inlineStr">
        <is>
          <t>01a152b9-6e67-75da-8adb-b03e5d07fd21</t>
        </is>
      </c>
      <c r="D1484" s="4" t="n">
        <v>46314.2459805789</v>
      </c>
      <c r="E1484" s="4" t="n">
        <v>46314.24598057901</v>
      </c>
      <c r="F1484" t="b">
        <v>1</v>
      </c>
      <c r="G1484" t="n">
        <v/>
      </c>
      <c r="H1484" t="inlineStr">
        <is>
          <t>MKR</t>
        </is>
      </c>
      <c r="I1484" t="inlineStr">
        <is>
          <t>Manuka Resources Ltd</t>
        </is>
      </c>
      <c r="J1484" t="inlineStr">
        <is>
          <t>AUD</t>
        </is>
      </c>
      <c r="K1484" s="5" t="inlineStr">
        <is>
          <t>01a152b9-6ee2-7577-bddd-382bc3853fde</t>
        </is>
      </c>
      <c r="M1484" t="inlineStr">
        <is>
          <t>UNKNOWN</t>
        </is>
      </c>
      <c r="N1484" t="inlineStr">
        <is>
          <t>DEFAULT</t>
        </is>
      </c>
      <c r="Q1484" t="n">
        <v>0</v>
      </c>
      <c r="R1484" t="inlineStr">
        <is>
          <t>AUD</t>
        </is>
      </c>
      <c r="S1484" t="n">
        <v>0</v>
      </c>
      <c r="T1484" t="inlineStr">
        <is>
          <t>AUD</t>
        </is>
      </c>
      <c r="U1484" t="n">
        <v>0</v>
      </c>
    </row>
    <row r="1485">
      <c r="A1485" s="5" t="inlineStr">
        <is>
          <t>01a152b9-8675-73a2-a2bd-1eaef917d0cf</t>
        </is>
      </c>
      <c r="C1485" s="5" t="inlineStr">
        <is>
          <t>01a152b9-6e67-75da-8adb-b03e5d07fd21</t>
        </is>
      </c>
      <c r="D1485" s="4" t="n">
        <v>46314.24598061883</v>
      </c>
      <c r="E1485" s="4" t="n">
        <v>46314.24598061892</v>
      </c>
      <c r="F1485" t="b">
        <v>1</v>
      </c>
      <c r="G1485" t="n">
        <v/>
      </c>
      <c r="H1485" t="inlineStr">
        <is>
          <t>HCF</t>
        </is>
      </c>
      <c r="I1485" t="inlineStr">
        <is>
          <t>H&amp;G High Conviction Ltd</t>
        </is>
      </c>
      <c r="J1485" t="inlineStr">
        <is>
          <t>AUD</t>
        </is>
      </c>
      <c r="K1485" s="5" t="inlineStr">
        <is>
          <t>01a152b9-6ee2-7577-bddd-382bc3853fde</t>
        </is>
      </c>
      <c r="M1485" t="inlineStr">
        <is>
          <t>UNKNOWN</t>
        </is>
      </c>
      <c r="N1485" t="inlineStr">
        <is>
          <t>DEFAULT</t>
        </is>
      </c>
      <c r="Q1485" t="n">
        <v>0</v>
      </c>
      <c r="R1485" t="inlineStr">
        <is>
          <t>AUD</t>
        </is>
      </c>
      <c r="S1485" t="n">
        <v>0</v>
      </c>
      <c r="T1485" t="inlineStr">
        <is>
          <t>AUD</t>
        </is>
      </c>
      <c r="U1485" t="n">
        <v>0</v>
      </c>
    </row>
    <row r="1486">
      <c r="A1486" s="5" t="inlineStr">
        <is>
          <t>01a152b9-8678-7145-b777-11c633a675ad</t>
        </is>
      </c>
      <c r="C1486" s="5" t="inlineStr">
        <is>
          <t>01a152b9-6e67-75da-8adb-b03e5d07fd21</t>
        </is>
      </c>
      <c r="D1486" s="4" t="n">
        <v>46314.24598065802</v>
      </c>
      <c r="E1486" s="4" t="n">
        <v>46314.24598065811</v>
      </c>
      <c r="F1486" t="b">
        <v>1</v>
      </c>
      <c r="G1486" t="n">
        <v/>
      </c>
      <c r="H1486" t="inlineStr">
        <is>
          <t>US10</t>
        </is>
      </c>
      <c r="I1486" t="inlineStr">
        <is>
          <t>Betashares US Treasury Bond 7-10YR CH ETF</t>
        </is>
      </c>
      <c r="J1486" t="inlineStr">
        <is>
          <t>AUD</t>
        </is>
      </c>
      <c r="K1486" s="5" t="inlineStr">
        <is>
          <t>01a152b9-6ee2-7577-bddd-382bc3853fde</t>
        </is>
      </c>
      <c r="M1486" t="inlineStr">
        <is>
          <t>UNKNOWN</t>
        </is>
      </c>
      <c r="N1486" t="inlineStr">
        <is>
          <t>DEFAULT</t>
        </is>
      </c>
      <c r="Q1486" t="n">
        <v>0</v>
      </c>
      <c r="R1486" t="inlineStr">
        <is>
          <t>AUD</t>
        </is>
      </c>
      <c r="S1486" t="n">
        <v>0</v>
      </c>
      <c r="T1486" t="inlineStr">
        <is>
          <t>AUD</t>
        </is>
      </c>
      <c r="U1486" t="n">
        <v>0</v>
      </c>
    </row>
    <row r="1487">
      <c r="A1487" s="5" t="inlineStr">
        <is>
          <t>01a152b9-867c-77bd-bf73-62d68f9baa64</t>
        </is>
      </c>
      <c r="C1487" s="5" t="inlineStr">
        <is>
          <t>01a152b9-6e67-75da-8adb-b03e5d07fd21</t>
        </is>
      </c>
      <c r="D1487" s="4" t="n">
        <v>46314.2459807015</v>
      </c>
      <c r="E1487" s="4" t="n">
        <v>46314.24598070163</v>
      </c>
      <c r="F1487" t="b">
        <v>1</v>
      </c>
      <c r="G1487" t="n">
        <v/>
      </c>
      <c r="H1487" t="inlineStr">
        <is>
          <t>MQEG</t>
        </is>
      </c>
      <c r="I1487" t="inlineStr">
        <is>
          <t>Macquarie Core Global Equity Active ETF</t>
        </is>
      </c>
      <c r="J1487" t="inlineStr">
        <is>
          <t>AUD</t>
        </is>
      </c>
      <c r="K1487" s="5" t="inlineStr">
        <is>
          <t>01a152b9-6ee2-7577-bddd-382bc3853fde</t>
        </is>
      </c>
      <c r="M1487" t="inlineStr">
        <is>
          <t>UNKNOWN</t>
        </is>
      </c>
      <c r="N1487" t="inlineStr">
        <is>
          <t>DEFAULT</t>
        </is>
      </c>
      <c r="Q1487" t="n">
        <v>0</v>
      </c>
      <c r="R1487" t="inlineStr">
        <is>
          <t>AUD</t>
        </is>
      </c>
      <c r="S1487" t="n">
        <v>0</v>
      </c>
      <c r="T1487" t="inlineStr">
        <is>
          <t>AUD</t>
        </is>
      </c>
      <c r="U1487" t="n">
        <v>0</v>
      </c>
    </row>
    <row r="1488">
      <c r="A1488" s="5" t="inlineStr">
        <is>
          <t>01a152b9-867f-75a2-8b1e-c8739a926295</t>
        </is>
      </c>
      <c r="C1488" s="5" t="inlineStr">
        <is>
          <t>01a152b9-6e67-75da-8adb-b03e5d07fd21</t>
        </is>
      </c>
      <c r="D1488" s="4" t="n">
        <v>46314.24598074037</v>
      </c>
      <c r="E1488" s="4" t="n">
        <v>46314.24598074047</v>
      </c>
      <c r="F1488" t="b">
        <v>1</v>
      </c>
      <c r="G1488" t="n">
        <v/>
      </c>
      <c r="H1488" t="inlineStr">
        <is>
          <t>REZ</t>
        </is>
      </c>
      <c r="I1488" t="inlineStr">
        <is>
          <t>Resources &amp; Energy Group Ltd</t>
        </is>
      </c>
      <c r="J1488" t="inlineStr">
        <is>
          <t>AUD</t>
        </is>
      </c>
      <c r="K1488" s="5" t="inlineStr">
        <is>
          <t>01a152b9-6ee2-7577-bddd-382bc3853fde</t>
        </is>
      </c>
      <c r="M1488" t="inlineStr">
        <is>
          <t>UNKNOWN</t>
        </is>
      </c>
      <c r="N1488" t="inlineStr">
        <is>
          <t>DEFAULT</t>
        </is>
      </c>
      <c r="Q1488" t="n">
        <v>0</v>
      </c>
      <c r="R1488" t="inlineStr">
        <is>
          <t>AUD</t>
        </is>
      </c>
      <c r="S1488" t="n">
        <v>0</v>
      </c>
      <c r="T1488" t="inlineStr">
        <is>
          <t>AUD</t>
        </is>
      </c>
      <c r="U1488" t="n">
        <v>0</v>
      </c>
    </row>
    <row r="1489">
      <c r="A1489" s="5" t="inlineStr">
        <is>
          <t>01a152b9-8683-735a-b03d-8dae6e014b31</t>
        </is>
      </c>
      <c r="C1489" s="5" t="inlineStr">
        <is>
          <t>01a152b9-6e67-75da-8adb-b03e5d07fd21</t>
        </is>
      </c>
      <c r="D1489" s="4" t="n">
        <v>46314.24598078305</v>
      </c>
      <c r="E1489" s="4" t="n">
        <v>46314.24598078316</v>
      </c>
      <c r="F1489" t="b">
        <v>1</v>
      </c>
      <c r="G1489" t="n">
        <v/>
      </c>
      <c r="H1489" t="inlineStr">
        <is>
          <t>LIT</t>
        </is>
      </c>
      <c r="I1489" t="inlineStr">
        <is>
          <t>Livium Ltd</t>
        </is>
      </c>
      <c r="J1489" t="inlineStr">
        <is>
          <t>AUD</t>
        </is>
      </c>
      <c r="K1489" s="5" t="inlineStr">
        <is>
          <t>01a152b9-6ee2-7577-bddd-382bc3853fde</t>
        </is>
      </c>
      <c r="M1489" t="inlineStr">
        <is>
          <t>UNKNOWN</t>
        </is>
      </c>
      <c r="N1489" t="inlineStr">
        <is>
          <t>DEFAULT</t>
        </is>
      </c>
      <c r="Q1489" t="n">
        <v>0</v>
      </c>
      <c r="R1489" t="inlineStr">
        <is>
          <t>AUD</t>
        </is>
      </c>
      <c r="S1489" t="n">
        <v>0</v>
      </c>
      <c r="T1489" t="inlineStr">
        <is>
          <t>AUD</t>
        </is>
      </c>
      <c r="U1489" t="n">
        <v>0</v>
      </c>
    </row>
    <row r="1490">
      <c r="A1490" s="5" t="inlineStr">
        <is>
          <t>01a152b9-8686-71aa-83ee-3e585bebc07e</t>
        </is>
      </c>
      <c r="C1490" s="5" t="inlineStr">
        <is>
          <t>01a152b9-6e67-75da-8adb-b03e5d07fd21</t>
        </is>
      </c>
      <c r="D1490" s="4" t="n">
        <v>46314.24598082242</v>
      </c>
      <c r="E1490" s="4" t="n">
        <v>46314.24598082252</v>
      </c>
      <c r="F1490" t="b">
        <v>1</v>
      </c>
      <c r="G1490" t="n">
        <v/>
      </c>
      <c r="H1490" t="inlineStr">
        <is>
          <t>ION</t>
        </is>
      </c>
      <c r="I1490" t="inlineStr">
        <is>
          <t>Iondrive Ltd</t>
        </is>
      </c>
      <c r="J1490" t="inlineStr">
        <is>
          <t>AUD</t>
        </is>
      </c>
      <c r="K1490" s="5" t="inlineStr">
        <is>
          <t>01a152b9-6ee2-7577-bddd-382bc3853fde</t>
        </is>
      </c>
      <c r="M1490" t="inlineStr">
        <is>
          <t>UNKNOWN</t>
        </is>
      </c>
      <c r="N1490" t="inlineStr">
        <is>
          <t>DEFAULT</t>
        </is>
      </c>
      <c r="Q1490" t="n">
        <v>0</v>
      </c>
      <c r="R1490" t="inlineStr">
        <is>
          <t>AUD</t>
        </is>
      </c>
      <c r="S1490" t="n">
        <v>0</v>
      </c>
      <c r="T1490" t="inlineStr">
        <is>
          <t>AUD</t>
        </is>
      </c>
      <c r="U1490" t="n">
        <v>0</v>
      </c>
    </row>
    <row r="1491">
      <c r="A1491" s="5" t="inlineStr">
        <is>
          <t>01a152b9-868a-7246-8cc0-cd4bc6ad08d5</t>
        </is>
      </c>
      <c r="C1491" s="5" t="inlineStr">
        <is>
          <t>01a152b9-6e67-75da-8adb-b03e5d07fd21</t>
        </is>
      </c>
      <c r="D1491" s="4" t="n">
        <v>46314.24598086005</v>
      </c>
      <c r="E1491" s="4" t="n">
        <v>46314.24598086015</v>
      </c>
      <c r="F1491" t="b">
        <v>1</v>
      </c>
      <c r="G1491" t="n">
        <v/>
      </c>
      <c r="H1491" t="inlineStr">
        <is>
          <t>JAL</t>
        </is>
      </c>
      <c r="I1491" t="inlineStr">
        <is>
          <t>Jameson Resources Ltd</t>
        </is>
      </c>
      <c r="J1491" t="inlineStr">
        <is>
          <t>AUD</t>
        </is>
      </c>
      <c r="K1491" s="5" t="inlineStr">
        <is>
          <t>01a152b9-6ee2-7577-bddd-382bc3853fde</t>
        </is>
      </c>
      <c r="M1491" t="inlineStr">
        <is>
          <t>UNKNOWN</t>
        </is>
      </c>
      <c r="N1491" t="inlineStr">
        <is>
          <t>DEFAULT</t>
        </is>
      </c>
      <c r="Q1491" t="n">
        <v>0</v>
      </c>
      <c r="R1491" t="inlineStr">
        <is>
          <t>AUD</t>
        </is>
      </c>
      <c r="S1491" t="n">
        <v>0</v>
      </c>
      <c r="T1491" t="inlineStr">
        <is>
          <t>AUD</t>
        </is>
      </c>
      <c r="U1491" t="n">
        <v>0</v>
      </c>
    </row>
    <row r="1492">
      <c r="A1492" s="5" t="inlineStr">
        <is>
          <t>01a152b9-868d-72a0-a2db-d75ff6529a4d</t>
        </is>
      </c>
      <c r="C1492" s="5" t="inlineStr">
        <is>
          <t>01a152b9-6e67-75da-8adb-b03e5d07fd21</t>
        </is>
      </c>
      <c r="D1492" s="4" t="n">
        <v>46314.2459808998</v>
      </c>
      <c r="E1492" s="4" t="n">
        <v>46314.2459808999</v>
      </c>
      <c r="F1492" t="b">
        <v>1</v>
      </c>
      <c r="G1492" t="n">
        <v/>
      </c>
      <c r="H1492" t="inlineStr">
        <is>
          <t>EMP</t>
        </is>
      </c>
      <c r="I1492" t="inlineStr">
        <is>
          <t>Emperor Energy Ltd</t>
        </is>
      </c>
      <c r="J1492" t="inlineStr">
        <is>
          <t>AUD</t>
        </is>
      </c>
      <c r="K1492" s="5" t="inlineStr">
        <is>
          <t>01a152b9-6ee2-7577-bddd-382bc3853fde</t>
        </is>
      </c>
      <c r="M1492" t="inlineStr">
        <is>
          <t>UNKNOWN</t>
        </is>
      </c>
      <c r="N1492" t="inlineStr">
        <is>
          <t>DEFAULT</t>
        </is>
      </c>
      <c r="Q1492" t="n">
        <v>0</v>
      </c>
      <c r="R1492" t="inlineStr">
        <is>
          <t>AUD</t>
        </is>
      </c>
      <c r="S1492" t="n">
        <v>0</v>
      </c>
      <c r="T1492" t="inlineStr">
        <is>
          <t>AUD</t>
        </is>
      </c>
      <c r="U1492" t="n">
        <v>0</v>
      </c>
    </row>
    <row r="1493">
      <c r="A1493" s="5" t="inlineStr">
        <is>
          <t>01a152b9-8690-75ae-b6e3-27995f94247b</t>
        </is>
      </c>
      <c r="C1493" s="5" t="inlineStr">
        <is>
          <t>01a152b9-6e67-75da-8adb-b03e5d07fd21</t>
        </is>
      </c>
      <c r="D1493" s="4" t="n">
        <v>46314.24598093723</v>
      </c>
      <c r="E1493" s="4" t="n">
        <v>46314.24598093732</v>
      </c>
      <c r="F1493" t="b">
        <v>1</v>
      </c>
      <c r="G1493" t="n">
        <v/>
      </c>
      <c r="H1493" t="inlineStr">
        <is>
          <t>EVZ</t>
        </is>
      </c>
      <c r="I1493" t="inlineStr">
        <is>
          <t>EVZ Ltd</t>
        </is>
      </c>
      <c r="J1493" t="inlineStr">
        <is>
          <t>AUD</t>
        </is>
      </c>
      <c r="K1493" s="5" t="inlineStr">
        <is>
          <t>01a152b9-6ee2-7577-bddd-382bc3853fde</t>
        </is>
      </c>
      <c r="M1493" t="inlineStr">
        <is>
          <t>UNKNOWN</t>
        </is>
      </c>
      <c r="N1493" t="inlineStr">
        <is>
          <t>DEFAULT</t>
        </is>
      </c>
      <c r="Q1493" t="n">
        <v>0</v>
      </c>
      <c r="R1493" t="inlineStr">
        <is>
          <t>AUD</t>
        </is>
      </c>
      <c r="S1493" t="n">
        <v>0</v>
      </c>
      <c r="T1493" t="inlineStr">
        <is>
          <t>AUD</t>
        </is>
      </c>
      <c r="U1493" t="n">
        <v>0</v>
      </c>
    </row>
    <row r="1494">
      <c r="A1494" s="5" t="inlineStr">
        <is>
          <t>01a152b9-8694-77f1-8357-b4c821e60bbd</t>
        </is>
      </c>
      <c r="C1494" s="5" t="inlineStr">
        <is>
          <t>01a152b9-6e67-75da-8adb-b03e5d07fd21</t>
        </is>
      </c>
      <c r="D1494" s="4" t="n">
        <v>46314.24598097714</v>
      </c>
      <c r="E1494" s="4" t="n">
        <v>46314.24598097723</v>
      </c>
      <c r="F1494" t="b">
        <v>1</v>
      </c>
      <c r="G1494" t="n">
        <v/>
      </c>
      <c r="H1494" t="inlineStr">
        <is>
          <t>SRJ</t>
        </is>
      </c>
      <c r="I1494" t="inlineStr">
        <is>
          <t>SRJ Technologies Group Plc</t>
        </is>
      </c>
      <c r="J1494" t="inlineStr">
        <is>
          <t>AUD</t>
        </is>
      </c>
      <c r="K1494" s="5" t="inlineStr">
        <is>
          <t>01a152b9-6ee2-7577-bddd-382bc3853fde</t>
        </is>
      </c>
      <c r="M1494" t="inlineStr">
        <is>
          <t>UNKNOWN</t>
        </is>
      </c>
      <c r="N1494" t="inlineStr">
        <is>
          <t>DEFAULT</t>
        </is>
      </c>
      <c r="Q1494" t="n">
        <v>0</v>
      </c>
      <c r="R1494" t="inlineStr">
        <is>
          <t>AUD</t>
        </is>
      </c>
      <c r="S1494" t="n">
        <v>0</v>
      </c>
      <c r="T1494" t="inlineStr">
        <is>
          <t>AUD</t>
        </is>
      </c>
      <c r="U1494" t="n">
        <v>0</v>
      </c>
    </row>
    <row r="1495">
      <c r="A1495" s="5" t="inlineStr">
        <is>
          <t>01a152b9-8697-7192-98c8-98b5be88e4a1</t>
        </is>
      </c>
      <c r="C1495" s="5" t="inlineStr">
        <is>
          <t>01a152b9-6e67-75da-8adb-b03e5d07fd21</t>
        </is>
      </c>
      <c r="D1495" s="4" t="n">
        <v>46314.24598101056</v>
      </c>
      <c r="E1495" s="4" t="n">
        <v>46314.24598101066</v>
      </c>
      <c r="F1495" t="b">
        <v>1</v>
      </c>
      <c r="G1495" t="n">
        <v/>
      </c>
      <c r="H1495" t="inlineStr">
        <is>
          <t>LVH</t>
        </is>
      </c>
      <c r="I1495" t="inlineStr">
        <is>
          <t>Livehire Ltd</t>
        </is>
      </c>
      <c r="J1495" t="inlineStr">
        <is>
          <t>AUD</t>
        </is>
      </c>
      <c r="K1495" s="5" t="inlineStr">
        <is>
          <t>01a152b9-6ee2-7577-bddd-382bc3853fde</t>
        </is>
      </c>
      <c r="M1495" t="inlineStr">
        <is>
          <t>UNKNOWN</t>
        </is>
      </c>
      <c r="N1495" t="inlineStr">
        <is>
          <t>DEFAULT</t>
        </is>
      </c>
      <c r="Q1495" t="n">
        <v>0</v>
      </c>
      <c r="R1495" t="inlineStr">
        <is>
          <t>AUD</t>
        </is>
      </c>
      <c r="S1495" t="n">
        <v>0</v>
      </c>
      <c r="T1495" t="inlineStr">
        <is>
          <t>AUD</t>
        </is>
      </c>
      <c r="U1495" t="n">
        <v>0</v>
      </c>
    </row>
    <row r="1496">
      <c r="A1496" s="5" t="inlineStr">
        <is>
          <t>01a152b9-869a-76d8-b15e-a02d7fa93468</t>
        </is>
      </c>
      <c r="C1496" s="5" t="inlineStr">
        <is>
          <t>01a152b9-6e67-75da-8adb-b03e5d07fd21</t>
        </is>
      </c>
      <c r="D1496" s="4" t="n">
        <v>46314.24598105263</v>
      </c>
      <c r="E1496" s="4" t="n">
        <v>46314.24598105272</v>
      </c>
      <c r="F1496" t="b">
        <v>1</v>
      </c>
      <c r="G1496" t="n">
        <v/>
      </c>
      <c r="H1496" t="inlineStr">
        <is>
          <t>ACU</t>
        </is>
      </c>
      <c r="I1496" t="inlineStr">
        <is>
          <t>Acumentis Group Ltd</t>
        </is>
      </c>
      <c r="J1496" t="inlineStr">
        <is>
          <t>AUD</t>
        </is>
      </c>
      <c r="K1496" s="5" t="inlineStr">
        <is>
          <t>01a152b9-6ee2-7577-bddd-382bc3853fde</t>
        </is>
      </c>
      <c r="M1496" t="inlineStr">
        <is>
          <t>UNKNOWN</t>
        </is>
      </c>
      <c r="N1496" t="inlineStr">
        <is>
          <t>DEFAULT</t>
        </is>
      </c>
      <c r="Q1496" t="n">
        <v>0</v>
      </c>
      <c r="R1496" t="inlineStr">
        <is>
          <t>AUD</t>
        </is>
      </c>
      <c r="S1496" t="n">
        <v>0</v>
      </c>
      <c r="T1496" t="inlineStr">
        <is>
          <t>AUD</t>
        </is>
      </c>
      <c r="U1496" t="n">
        <v>0</v>
      </c>
    </row>
    <row r="1497">
      <c r="A1497" s="5" t="inlineStr">
        <is>
          <t>01a152b9-869e-728b-ad45-a1694ab19215</t>
        </is>
      </c>
      <c r="C1497" s="5" t="inlineStr">
        <is>
          <t>01a152b9-6e67-75da-8adb-b03e5d07fd21</t>
        </is>
      </c>
      <c r="D1497" s="4" t="n">
        <v>46314.2459810916</v>
      </c>
      <c r="E1497" s="4" t="n">
        <v>46314.24598109169</v>
      </c>
      <c r="F1497" t="b">
        <v>1</v>
      </c>
      <c r="G1497" t="n">
        <v/>
      </c>
      <c r="H1497" t="inlineStr">
        <is>
          <t>MQWS</t>
        </is>
      </c>
      <c r="I1497" t="inlineStr">
        <is>
          <t>MQ Walter Scott GLBL EQ Active ETF (Managed Fund)</t>
        </is>
      </c>
      <c r="J1497" t="inlineStr">
        <is>
          <t>AUD</t>
        </is>
      </c>
      <c r="K1497" s="5" t="inlineStr">
        <is>
          <t>01a152b9-6ee2-7577-bddd-382bc3853fde</t>
        </is>
      </c>
      <c r="M1497" t="inlineStr">
        <is>
          <t>UNKNOWN</t>
        </is>
      </c>
      <c r="N1497" t="inlineStr">
        <is>
          <t>DEFAULT</t>
        </is>
      </c>
      <c r="Q1497" t="n">
        <v>0</v>
      </c>
      <c r="R1497" t="inlineStr">
        <is>
          <t>AUD</t>
        </is>
      </c>
      <c r="S1497" t="n">
        <v>0</v>
      </c>
      <c r="T1497" t="inlineStr">
        <is>
          <t>AUD</t>
        </is>
      </c>
      <c r="U1497" t="n">
        <v>0</v>
      </c>
    </row>
    <row r="1498">
      <c r="A1498" s="5" t="inlineStr">
        <is>
          <t>01a152b9-86a1-7558-a505-477b8dbbc50c</t>
        </is>
      </c>
      <c r="C1498" s="5" t="inlineStr">
        <is>
          <t>01a152b9-6e67-75da-8adb-b03e5d07fd21</t>
        </is>
      </c>
      <c r="D1498" s="4" t="n">
        <v>46314.24598113196</v>
      </c>
      <c r="E1498" s="4" t="n">
        <v>46314.24598113206</v>
      </c>
      <c r="F1498" t="b">
        <v>1</v>
      </c>
      <c r="G1498" t="n">
        <v/>
      </c>
      <c r="H1498" t="inlineStr">
        <is>
          <t>AR9</t>
        </is>
      </c>
      <c r="I1498" t="inlineStr">
        <is>
          <t>Archtis Ltd</t>
        </is>
      </c>
      <c r="J1498" t="inlineStr">
        <is>
          <t>AUD</t>
        </is>
      </c>
      <c r="K1498" s="5" t="inlineStr">
        <is>
          <t>01a152b9-6ee2-7577-bddd-382bc3853fde</t>
        </is>
      </c>
      <c r="M1498" t="inlineStr">
        <is>
          <t>UNKNOWN</t>
        </is>
      </c>
      <c r="N1498" t="inlineStr">
        <is>
          <t>DEFAULT</t>
        </is>
      </c>
      <c r="Q1498" t="n">
        <v>0</v>
      </c>
      <c r="R1498" t="inlineStr">
        <is>
          <t>AUD</t>
        </is>
      </c>
      <c r="S1498" t="n">
        <v>0</v>
      </c>
      <c r="T1498" t="inlineStr">
        <is>
          <t>AUD</t>
        </is>
      </c>
      <c r="U1498" t="n">
        <v>0</v>
      </c>
    </row>
    <row r="1499">
      <c r="A1499" s="5" t="inlineStr">
        <is>
          <t>01a152b9-86a5-72d3-a242-690b64168818</t>
        </is>
      </c>
      <c r="C1499" s="5" t="inlineStr">
        <is>
          <t>01a152b9-6e67-75da-8adb-b03e5d07fd21</t>
        </is>
      </c>
      <c r="D1499" s="4" t="n">
        <v>46314.24598117165</v>
      </c>
      <c r="E1499" s="4" t="n">
        <v>46314.24598117179</v>
      </c>
      <c r="F1499" t="b">
        <v>1</v>
      </c>
      <c r="G1499" t="n">
        <v/>
      </c>
      <c r="H1499" t="inlineStr">
        <is>
          <t>NMR</t>
        </is>
      </c>
      <c r="I1499" t="inlineStr">
        <is>
          <t>Native Mineral Resources Holdings Ltd</t>
        </is>
      </c>
      <c r="J1499" t="inlineStr">
        <is>
          <t>AUD</t>
        </is>
      </c>
      <c r="K1499" s="5" t="inlineStr">
        <is>
          <t>01a152b9-6ee2-7577-bddd-382bc3853fde</t>
        </is>
      </c>
      <c r="M1499" t="inlineStr">
        <is>
          <t>UNKNOWN</t>
        </is>
      </c>
      <c r="N1499" t="inlineStr">
        <is>
          <t>DEFAULT</t>
        </is>
      </c>
      <c r="Q1499" t="n">
        <v>0</v>
      </c>
      <c r="R1499" t="inlineStr">
        <is>
          <t>AUD</t>
        </is>
      </c>
      <c r="S1499" t="n">
        <v>0</v>
      </c>
      <c r="T1499" t="inlineStr">
        <is>
          <t>AUD</t>
        </is>
      </c>
      <c r="U1499" t="n">
        <v>0</v>
      </c>
    </row>
    <row r="1500">
      <c r="A1500" s="5" t="inlineStr">
        <is>
          <t>01a152b9-86a9-71b8-b184-305a9c88ac45</t>
        </is>
      </c>
      <c r="C1500" s="5" t="inlineStr">
        <is>
          <t>01a152b9-6e67-75da-8adb-b03e5d07fd21</t>
        </is>
      </c>
      <c r="D1500" s="4" t="n">
        <v>46314.24598122244</v>
      </c>
      <c r="E1500" s="4" t="n">
        <v>46314.24598122259</v>
      </c>
      <c r="F1500" t="b">
        <v>1</v>
      </c>
      <c r="G1500" t="n">
        <v/>
      </c>
      <c r="H1500" t="inlineStr">
        <is>
          <t>ADEF</t>
        </is>
      </c>
      <c r="I1500" t="inlineStr">
        <is>
          <t>Apostle Dundas Global Equity Classd (Managed Fund)</t>
        </is>
      </c>
      <c r="J1500" t="inlineStr">
        <is>
          <t>AUD</t>
        </is>
      </c>
      <c r="K1500" s="5" t="inlineStr">
        <is>
          <t>01a152b9-6ee2-7577-bddd-382bc3853fde</t>
        </is>
      </c>
      <c r="M1500" t="inlineStr">
        <is>
          <t>UNKNOWN</t>
        </is>
      </c>
      <c r="N1500" t="inlineStr">
        <is>
          <t>DEFAULT</t>
        </is>
      </c>
      <c r="Q1500" t="n">
        <v>0</v>
      </c>
      <c r="R1500" t="inlineStr">
        <is>
          <t>AUD</t>
        </is>
      </c>
      <c r="S1500" t="n">
        <v>0</v>
      </c>
      <c r="T1500" t="inlineStr">
        <is>
          <t>AUD</t>
        </is>
      </c>
      <c r="U1500" t="n">
        <v>0</v>
      </c>
    </row>
    <row r="1501">
      <c r="A1501" s="5" t="inlineStr">
        <is>
          <t>01a152b9-86ae-73ca-9b4e-0ee4f97943f7</t>
        </is>
      </c>
      <c r="C1501" s="5" t="inlineStr">
        <is>
          <t>01a152b9-6e67-75da-8adb-b03e5d07fd21</t>
        </is>
      </c>
      <c r="D1501" s="4" t="n">
        <v>46314.24598127569</v>
      </c>
      <c r="E1501" s="4" t="n">
        <v>46314.24598127585</v>
      </c>
      <c r="F1501" t="b">
        <v>1</v>
      </c>
      <c r="G1501" t="n">
        <v/>
      </c>
      <c r="H1501" t="inlineStr">
        <is>
          <t>WNX</t>
        </is>
      </c>
      <c r="I1501" t="inlineStr">
        <is>
          <t>Wellnex Life Ltd</t>
        </is>
      </c>
      <c r="J1501" t="inlineStr">
        <is>
          <t>AUD</t>
        </is>
      </c>
      <c r="K1501" s="5" t="inlineStr">
        <is>
          <t>01a152b9-6ee2-7577-bddd-382bc3853fde</t>
        </is>
      </c>
      <c r="M1501" t="inlineStr">
        <is>
          <t>UNKNOWN</t>
        </is>
      </c>
      <c r="N1501" t="inlineStr">
        <is>
          <t>DEFAULT</t>
        </is>
      </c>
      <c r="Q1501" t="n">
        <v>0</v>
      </c>
      <c r="R1501" t="inlineStr">
        <is>
          <t>AUD</t>
        </is>
      </c>
      <c r="S1501" t="n">
        <v>0</v>
      </c>
      <c r="T1501" t="inlineStr">
        <is>
          <t>AUD</t>
        </is>
      </c>
      <c r="U1501" t="n">
        <v>0</v>
      </c>
    </row>
    <row r="1502">
      <c r="A1502" s="5" t="inlineStr">
        <is>
          <t>01a152b9-86b3-761c-ada7-b56696e6dd0c</t>
        </is>
      </c>
      <c r="C1502" s="5" t="inlineStr">
        <is>
          <t>01a152b9-6e67-75da-8adb-b03e5d07fd21</t>
        </is>
      </c>
      <c r="D1502" s="4" t="n">
        <v>46314.24598133504</v>
      </c>
      <c r="E1502" s="4" t="n">
        <v>46314.24598133522</v>
      </c>
      <c r="F1502" t="b">
        <v>1</v>
      </c>
      <c r="G1502" t="n">
        <v/>
      </c>
      <c r="H1502" t="inlineStr">
        <is>
          <t>AYI</t>
        </is>
      </c>
      <c r="I1502" t="inlineStr">
        <is>
          <t>A1 Investments &amp; Resources Ltd</t>
        </is>
      </c>
      <c r="J1502" t="inlineStr">
        <is>
          <t>AUD</t>
        </is>
      </c>
      <c r="K1502" s="5" t="inlineStr">
        <is>
          <t>01a152b9-6ee2-7577-bddd-382bc3853fde</t>
        </is>
      </c>
      <c r="M1502" t="inlineStr">
        <is>
          <t>UNKNOWN</t>
        </is>
      </c>
      <c r="N1502" t="inlineStr">
        <is>
          <t>DEFAULT</t>
        </is>
      </c>
      <c r="Q1502" t="n">
        <v>0</v>
      </c>
      <c r="R1502" t="inlineStr">
        <is>
          <t>AUD</t>
        </is>
      </c>
      <c r="S1502" t="n">
        <v>0</v>
      </c>
      <c r="T1502" t="inlineStr">
        <is>
          <t>AUD</t>
        </is>
      </c>
      <c r="U1502" t="n">
        <v>0</v>
      </c>
    </row>
    <row r="1503">
      <c r="A1503" s="5" t="inlineStr">
        <is>
          <t>01a152b9-86b7-7426-8d51-8f1f18cc2e8d</t>
        </is>
      </c>
      <c r="C1503" s="5" t="inlineStr">
        <is>
          <t>01a152b9-6e67-75da-8adb-b03e5d07fd21</t>
        </is>
      </c>
      <c r="D1503" s="4" t="n">
        <v>46314.24598138787</v>
      </c>
      <c r="E1503" s="4" t="n">
        <v>46314.245981388</v>
      </c>
      <c r="F1503" t="b">
        <v>1</v>
      </c>
      <c r="G1503" t="n">
        <v/>
      </c>
      <c r="H1503" t="inlineStr">
        <is>
          <t>ATU</t>
        </is>
      </c>
      <c r="I1503" t="inlineStr">
        <is>
          <t>Atrum Coal Ltd</t>
        </is>
      </c>
      <c r="J1503" t="inlineStr">
        <is>
          <t>AUD</t>
        </is>
      </c>
      <c r="K1503" s="5" t="inlineStr">
        <is>
          <t>01a152b9-6ee2-7577-bddd-382bc3853fde</t>
        </is>
      </c>
      <c r="M1503" t="inlineStr">
        <is>
          <t>UNKNOWN</t>
        </is>
      </c>
      <c r="N1503" t="inlineStr">
        <is>
          <t>DEFAULT</t>
        </is>
      </c>
      <c r="Q1503" t="n">
        <v>0</v>
      </c>
      <c r="R1503" t="inlineStr">
        <is>
          <t>AUD</t>
        </is>
      </c>
      <c r="S1503" t="n">
        <v>0</v>
      </c>
      <c r="T1503" t="inlineStr">
        <is>
          <t>AUD</t>
        </is>
      </c>
      <c r="U1503" t="n">
        <v>0</v>
      </c>
    </row>
    <row r="1504">
      <c r="A1504" s="5" t="inlineStr">
        <is>
          <t>01a152b9-86bb-7266-b767-663c9cf0bde3</t>
        </is>
      </c>
      <c r="C1504" s="5" t="inlineStr">
        <is>
          <t>01a152b9-6e67-75da-8adb-b03e5d07fd21</t>
        </is>
      </c>
      <c r="D1504" s="4" t="n">
        <v>46314.24598143216</v>
      </c>
      <c r="E1504" s="4" t="n">
        <v>46314.24598143229</v>
      </c>
      <c r="F1504" t="b">
        <v>1</v>
      </c>
      <c r="G1504" t="n">
        <v/>
      </c>
      <c r="H1504" t="inlineStr">
        <is>
          <t>ODA</t>
        </is>
      </c>
      <c r="I1504" t="inlineStr">
        <is>
          <t>Orcoda Ltd</t>
        </is>
      </c>
      <c r="J1504" t="inlineStr">
        <is>
          <t>AUD</t>
        </is>
      </c>
      <c r="K1504" s="5" t="inlineStr">
        <is>
          <t>01a152b9-6ee2-7577-bddd-382bc3853fde</t>
        </is>
      </c>
      <c r="M1504" t="inlineStr">
        <is>
          <t>UNKNOWN</t>
        </is>
      </c>
      <c r="N1504" t="inlineStr">
        <is>
          <t>DEFAULT</t>
        </is>
      </c>
      <c r="Q1504" t="n">
        <v>0</v>
      </c>
      <c r="R1504" t="inlineStr">
        <is>
          <t>AUD</t>
        </is>
      </c>
      <c r="S1504" t="n">
        <v>0</v>
      </c>
      <c r="T1504" t="inlineStr">
        <is>
          <t>AUD</t>
        </is>
      </c>
      <c r="U1504" t="n">
        <v>0</v>
      </c>
    </row>
    <row r="1505">
      <c r="A1505" s="5" t="inlineStr">
        <is>
          <t>01a152b9-86bf-770a-98cd-0e1a3e17d823</t>
        </is>
      </c>
      <c r="C1505" s="5" t="inlineStr">
        <is>
          <t>01a152b9-6e67-75da-8adb-b03e5d07fd21</t>
        </is>
      </c>
      <c r="D1505" s="4" t="n">
        <v>46314.24598147434</v>
      </c>
      <c r="E1505" s="4" t="n">
        <v>46314.24598147447</v>
      </c>
      <c r="F1505" t="b">
        <v>1</v>
      </c>
      <c r="G1505" t="n">
        <v/>
      </c>
      <c r="H1505" t="inlineStr">
        <is>
          <t>GUE</t>
        </is>
      </c>
      <c r="I1505" t="inlineStr">
        <is>
          <t>Global Uranium and Enrichment Ltd</t>
        </is>
      </c>
      <c r="J1505" t="inlineStr">
        <is>
          <t>AUD</t>
        </is>
      </c>
      <c r="K1505" s="5" t="inlineStr">
        <is>
          <t>01a152b9-6ee2-7577-bddd-382bc3853fde</t>
        </is>
      </c>
      <c r="M1505" t="inlineStr">
        <is>
          <t>UNKNOWN</t>
        </is>
      </c>
      <c r="N1505" t="inlineStr">
        <is>
          <t>DEFAULT</t>
        </is>
      </c>
      <c r="Q1505" t="n">
        <v>0</v>
      </c>
      <c r="R1505" t="inlineStr">
        <is>
          <t>AUD</t>
        </is>
      </c>
      <c r="S1505" t="n">
        <v>0</v>
      </c>
      <c r="T1505" t="inlineStr">
        <is>
          <t>AUD</t>
        </is>
      </c>
      <c r="U1505" t="n">
        <v>0</v>
      </c>
    </row>
    <row r="1506">
      <c r="A1506" s="5" t="inlineStr">
        <is>
          <t>01a152b9-86c2-75f7-a07a-93b77d7820a2</t>
        </is>
      </c>
      <c r="C1506" s="5" t="inlineStr">
        <is>
          <t>01a152b9-6e67-75da-8adb-b03e5d07fd21</t>
        </is>
      </c>
      <c r="D1506" s="4" t="n">
        <v>46314.24598151608</v>
      </c>
      <c r="E1506" s="4" t="n">
        <v>46314.24598151619</v>
      </c>
      <c r="F1506" t="b">
        <v>1</v>
      </c>
      <c r="G1506" t="n">
        <v/>
      </c>
      <c r="H1506" t="inlineStr">
        <is>
          <t>CYB</t>
        </is>
      </c>
      <c r="I1506" t="inlineStr">
        <is>
          <t>Aucyber Ltd</t>
        </is>
      </c>
      <c r="J1506" t="inlineStr">
        <is>
          <t>AUD</t>
        </is>
      </c>
      <c r="K1506" s="5" t="inlineStr">
        <is>
          <t>01a152b9-6ee2-7577-bddd-382bc3853fde</t>
        </is>
      </c>
      <c r="M1506" t="inlineStr">
        <is>
          <t>UNKNOWN</t>
        </is>
      </c>
      <c r="N1506" t="inlineStr">
        <is>
          <t>DEFAULT</t>
        </is>
      </c>
      <c r="Q1506" t="n">
        <v>0</v>
      </c>
      <c r="R1506" t="inlineStr">
        <is>
          <t>AUD</t>
        </is>
      </c>
      <c r="S1506" t="n">
        <v>0</v>
      </c>
      <c r="T1506" t="inlineStr">
        <is>
          <t>AUD</t>
        </is>
      </c>
      <c r="U1506" t="n">
        <v>0</v>
      </c>
    </row>
    <row r="1507">
      <c r="A1507" s="5" t="inlineStr">
        <is>
          <t>01a152b9-86c7-762a-beed-37eaf3bef7d2</t>
        </is>
      </c>
      <c r="C1507" s="5" t="inlineStr">
        <is>
          <t>01a152b9-6e67-75da-8adb-b03e5d07fd21</t>
        </is>
      </c>
      <c r="D1507" s="4" t="n">
        <v>46314.24598156953</v>
      </c>
      <c r="E1507" s="4" t="n">
        <v>46314.24598156965</v>
      </c>
      <c r="F1507" t="b">
        <v>1</v>
      </c>
      <c r="G1507" t="n">
        <v/>
      </c>
      <c r="H1507" t="inlineStr">
        <is>
          <t>CCM</t>
        </is>
      </c>
      <c r="I1507" t="inlineStr">
        <is>
          <t>Cadoux Ltd</t>
        </is>
      </c>
      <c r="J1507" t="inlineStr">
        <is>
          <t>AUD</t>
        </is>
      </c>
      <c r="K1507" s="5" t="inlineStr">
        <is>
          <t>01a152b9-6ee2-7577-bddd-382bc3853fde</t>
        </is>
      </c>
      <c r="M1507" t="inlineStr">
        <is>
          <t>UNKNOWN</t>
        </is>
      </c>
      <c r="N1507" t="inlineStr">
        <is>
          <t>DEFAULT</t>
        </is>
      </c>
      <c r="Q1507" t="n">
        <v>0</v>
      </c>
      <c r="R1507" t="inlineStr">
        <is>
          <t>AUD</t>
        </is>
      </c>
      <c r="S1507" t="n">
        <v>0</v>
      </c>
      <c r="T1507" t="inlineStr">
        <is>
          <t>AUD</t>
        </is>
      </c>
      <c r="U1507" t="n">
        <v>0</v>
      </c>
    </row>
    <row r="1508">
      <c r="A1508" s="5" t="inlineStr">
        <is>
          <t>01a152b9-86cb-75b8-a4ff-8ccb1cb54f0b</t>
        </is>
      </c>
      <c r="C1508" s="5" t="inlineStr">
        <is>
          <t>01a152b9-6e67-75da-8adb-b03e5d07fd21</t>
        </is>
      </c>
      <c r="D1508" s="4" t="n">
        <v>46314.24598161777</v>
      </c>
      <c r="E1508" s="4" t="n">
        <v>46314.2459816179</v>
      </c>
      <c r="F1508" t="b">
        <v>1</v>
      </c>
      <c r="G1508" t="n">
        <v/>
      </c>
      <c r="H1508" t="inlineStr">
        <is>
          <t>BTN</t>
        </is>
      </c>
      <c r="I1508" t="inlineStr">
        <is>
          <t>Butn Ltd</t>
        </is>
      </c>
      <c r="J1508" t="inlineStr">
        <is>
          <t>AUD</t>
        </is>
      </c>
      <c r="K1508" s="5" t="inlineStr">
        <is>
          <t>01a152b9-6ee2-7577-bddd-382bc3853fde</t>
        </is>
      </c>
      <c r="M1508" t="inlineStr">
        <is>
          <t>UNKNOWN</t>
        </is>
      </c>
      <c r="N1508" t="inlineStr">
        <is>
          <t>DEFAULT</t>
        </is>
      </c>
      <c r="Q1508" t="n">
        <v>0</v>
      </c>
      <c r="R1508" t="inlineStr">
        <is>
          <t>AUD</t>
        </is>
      </c>
      <c r="S1508" t="n">
        <v>0</v>
      </c>
      <c r="T1508" t="inlineStr">
        <is>
          <t>AUD</t>
        </is>
      </c>
      <c r="U1508" t="n">
        <v>0</v>
      </c>
    </row>
    <row r="1509">
      <c r="A1509" s="5" t="inlineStr">
        <is>
          <t>01a152b9-86cf-7054-88e3-3028cfb2f60d</t>
        </is>
      </c>
      <c r="C1509" s="5" t="inlineStr">
        <is>
          <t>01a152b9-6e67-75da-8adb-b03e5d07fd21</t>
        </is>
      </c>
      <c r="D1509" s="4" t="n">
        <v>46314.24598166186</v>
      </c>
      <c r="E1509" s="4" t="n">
        <v>46314.245981662</v>
      </c>
      <c r="F1509" t="b">
        <v>1</v>
      </c>
      <c r="G1509" t="n">
        <v/>
      </c>
      <c r="H1509" t="inlineStr">
        <is>
          <t>CAN</t>
        </is>
      </c>
      <c r="I1509" t="inlineStr">
        <is>
          <t>Cann Group Ltd</t>
        </is>
      </c>
      <c r="J1509" t="inlineStr">
        <is>
          <t>AUD</t>
        </is>
      </c>
      <c r="K1509" s="5" t="inlineStr">
        <is>
          <t>01a152b9-6ee2-7577-bddd-382bc3853fde</t>
        </is>
      </c>
      <c r="M1509" t="inlineStr">
        <is>
          <t>UNKNOWN</t>
        </is>
      </c>
      <c r="N1509" t="inlineStr">
        <is>
          <t>DEFAULT</t>
        </is>
      </c>
      <c r="Q1509" t="n">
        <v>0</v>
      </c>
      <c r="R1509" t="inlineStr">
        <is>
          <t>AUD</t>
        </is>
      </c>
      <c r="S1509" t="n">
        <v>0</v>
      </c>
      <c r="T1509" t="inlineStr">
        <is>
          <t>AUD</t>
        </is>
      </c>
      <c r="U1509" t="n">
        <v>0</v>
      </c>
    </row>
    <row r="1510">
      <c r="A1510" s="5" t="inlineStr">
        <is>
          <t>01a152b9-86d2-7583-817b-dd308cbef243</t>
        </is>
      </c>
      <c r="C1510" s="5" t="inlineStr">
        <is>
          <t>01a152b9-6e67-75da-8adb-b03e5d07fd21</t>
        </is>
      </c>
      <c r="D1510" s="4" t="n">
        <v>46314.24598169802</v>
      </c>
      <c r="E1510" s="4" t="n">
        <v>46314.24598169814</v>
      </c>
      <c r="F1510" t="b">
        <v>1</v>
      </c>
      <c r="G1510" t="n">
        <v/>
      </c>
      <c r="H1510" t="inlineStr">
        <is>
          <t>MVOL</t>
        </is>
      </c>
      <c r="I1510" t="inlineStr">
        <is>
          <t>Ishares Edge MSCI Australia Minimum Volatility ETF</t>
        </is>
      </c>
      <c r="J1510" t="inlineStr">
        <is>
          <t>AUD</t>
        </is>
      </c>
      <c r="K1510" s="5" t="inlineStr">
        <is>
          <t>01a152b9-6ee2-7577-bddd-382bc3853fde</t>
        </is>
      </c>
      <c r="M1510" t="inlineStr">
        <is>
          <t>UNKNOWN</t>
        </is>
      </c>
      <c r="N1510" t="inlineStr">
        <is>
          <t>DEFAULT</t>
        </is>
      </c>
      <c r="Q1510" t="n">
        <v>0</v>
      </c>
      <c r="R1510" t="inlineStr">
        <is>
          <t>AUD</t>
        </is>
      </c>
      <c r="S1510" t="n">
        <v>0</v>
      </c>
      <c r="T1510" t="inlineStr">
        <is>
          <t>AUD</t>
        </is>
      </c>
      <c r="U1510" t="n">
        <v>0</v>
      </c>
    </row>
    <row r="1511">
      <c r="A1511" s="5" t="inlineStr">
        <is>
          <t>01a152b9-86d6-75ca-918e-f095153b1542</t>
        </is>
      </c>
      <c r="C1511" s="5" t="inlineStr">
        <is>
          <t>01a152b9-6e67-75da-8adb-b03e5d07fd21</t>
        </is>
      </c>
      <c r="D1511" s="4" t="n">
        <v>46314.24598174024</v>
      </c>
      <c r="E1511" s="4" t="n">
        <v>46314.24598174037</v>
      </c>
      <c r="F1511" t="b">
        <v>1</v>
      </c>
      <c r="G1511" t="n">
        <v/>
      </c>
      <c r="H1511" t="inlineStr">
        <is>
          <t>BDG</t>
        </is>
      </c>
      <c r="I1511" t="inlineStr">
        <is>
          <t>Black Dragon Gold Corp</t>
        </is>
      </c>
      <c r="J1511" t="inlineStr">
        <is>
          <t>AUD</t>
        </is>
      </c>
      <c r="K1511" s="5" t="inlineStr">
        <is>
          <t>01a152b9-6ee2-7577-bddd-382bc3853fde</t>
        </is>
      </c>
      <c r="M1511" t="inlineStr">
        <is>
          <t>UNKNOWN</t>
        </is>
      </c>
      <c r="N1511" t="inlineStr">
        <is>
          <t>DEFAULT</t>
        </is>
      </c>
      <c r="Q1511" t="n">
        <v>0</v>
      </c>
      <c r="R1511" t="inlineStr">
        <is>
          <t>AUD</t>
        </is>
      </c>
      <c r="S1511" t="n">
        <v>0</v>
      </c>
      <c r="T1511" t="inlineStr">
        <is>
          <t>AUD</t>
        </is>
      </c>
      <c r="U1511" t="n">
        <v>0</v>
      </c>
    </row>
    <row r="1512">
      <c r="A1512" s="5" t="inlineStr">
        <is>
          <t>01a152b9-86d9-7712-a1e2-e28c7d2f863c</t>
        </is>
      </c>
      <c r="C1512" s="5" t="inlineStr">
        <is>
          <t>01a152b9-6e67-75da-8adb-b03e5d07fd21</t>
        </is>
      </c>
      <c r="D1512" s="4" t="n">
        <v>46314.24598178056</v>
      </c>
      <c r="E1512" s="4" t="n">
        <v>46314.24598178067</v>
      </c>
      <c r="F1512" t="b">
        <v>1</v>
      </c>
      <c r="G1512" t="n">
        <v/>
      </c>
      <c r="H1512" t="inlineStr">
        <is>
          <t>CNQ</t>
        </is>
      </c>
      <c r="I1512" t="inlineStr">
        <is>
          <t>Clean TEQ Water Ltd</t>
        </is>
      </c>
      <c r="J1512" t="inlineStr">
        <is>
          <t>AUD</t>
        </is>
      </c>
      <c r="K1512" s="5" t="inlineStr">
        <is>
          <t>01a152b9-6ee2-7577-bddd-382bc3853fde</t>
        </is>
      </c>
      <c r="M1512" t="inlineStr">
        <is>
          <t>UNKNOWN</t>
        </is>
      </c>
      <c r="N1512" t="inlineStr">
        <is>
          <t>DEFAULT</t>
        </is>
      </c>
      <c r="Q1512" t="n">
        <v>0</v>
      </c>
      <c r="R1512" t="inlineStr">
        <is>
          <t>AUD</t>
        </is>
      </c>
      <c r="S1512" t="n">
        <v>0</v>
      </c>
      <c r="T1512" t="inlineStr">
        <is>
          <t>AUD</t>
        </is>
      </c>
      <c r="U1512" t="n">
        <v>0</v>
      </c>
    </row>
    <row r="1513">
      <c r="A1513" s="5" t="inlineStr">
        <is>
          <t>01a152b9-86dd-77aa-b651-482ec58f8657</t>
        </is>
      </c>
      <c r="C1513" s="5" t="inlineStr">
        <is>
          <t>01a152b9-6e67-75da-8adb-b03e5d07fd21</t>
        </is>
      </c>
      <c r="D1513" s="4" t="n">
        <v>46314.24598182835</v>
      </c>
      <c r="E1513" s="4" t="n">
        <v>46314.24598182856</v>
      </c>
      <c r="F1513" t="b">
        <v>1</v>
      </c>
      <c r="G1513" t="n">
        <v/>
      </c>
      <c r="H1513" t="inlineStr">
        <is>
          <t>NAC</t>
        </is>
      </c>
      <c r="I1513" t="inlineStr">
        <is>
          <t>Naos Ex-50 Opportunities Company Ltd</t>
        </is>
      </c>
      <c r="J1513" t="inlineStr">
        <is>
          <t>AUD</t>
        </is>
      </c>
      <c r="K1513" s="5" t="inlineStr">
        <is>
          <t>01a152b9-6ee2-7577-bddd-382bc3853fde</t>
        </is>
      </c>
      <c r="M1513" t="inlineStr">
        <is>
          <t>UNKNOWN</t>
        </is>
      </c>
      <c r="N1513" t="inlineStr">
        <is>
          <t>DEFAULT</t>
        </is>
      </c>
      <c r="Q1513" t="n">
        <v>0</v>
      </c>
      <c r="R1513" t="inlineStr">
        <is>
          <t>AUD</t>
        </is>
      </c>
      <c r="S1513" t="n">
        <v>0</v>
      </c>
      <c r="T1513" t="inlineStr">
        <is>
          <t>AUD</t>
        </is>
      </c>
      <c r="U1513" t="n">
        <v>0</v>
      </c>
    </row>
    <row r="1514">
      <c r="A1514" s="5" t="inlineStr">
        <is>
          <t>01a152b9-86e2-70cb-8361-1938f4763f68</t>
        </is>
      </c>
      <c r="C1514" s="5" t="inlineStr">
        <is>
          <t>01a152b9-6e67-75da-8adb-b03e5d07fd21</t>
        </is>
      </c>
      <c r="D1514" s="4" t="n">
        <v>46314.24598187859</v>
      </c>
      <c r="E1514" s="4" t="n">
        <v>46314.2459818787</v>
      </c>
      <c r="F1514" t="b">
        <v>1</v>
      </c>
      <c r="G1514" t="n">
        <v/>
      </c>
      <c r="H1514" t="inlineStr">
        <is>
          <t>FSIGA</t>
        </is>
      </c>
      <c r="I1514" t="inlineStr">
        <is>
          <t>Flagship Investments Ltd</t>
        </is>
      </c>
      <c r="J1514" t="inlineStr">
        <is>
          <t>AUD</t>
        </is>
      </c>
      <c r="K1514" s="5" t="inlineStr">
        <is>
          <t>01a152b9-6ee2-7577-bddd-382bc3853fde</t>
        </is>
      </c>
      <c r="M1514" t="inlineStr">
        <is>
          <t>UNKNOWN</t>
        </is>
      </c>
      <c r="N1514" t="inlineStr">
        <is>
          <t>DEFAULT</t>
        </is>
      </c>
      <c r="Q1514" t="n">
        <v>0</v>
      </c>
      <c r="R1514" t="inlineStr">
        <is>
          <t>AUD</t>
        </is>
      </c>
      <c r="S1514" t="n">
        <v>0</v>
      </c>
      <c r="T1514" t="inlineStr">
        <is>
          <t>AUD</t>
        </is>
      </c>
      <c r="U1514" t="n">
        <v>0</v>
      </c>
    </row>
    <row r="1515">
      <c r="A1515" s="5" t="inlineStr">
        <is>
          <t>01a152b9-86e5-75e5-8fe3-2a143e352e82</t>
        </is>
      </c>
      <c r="C1515" s="5" t="inlineStr">
        <is>
          <t>01a152b9-6e67-75da-8adb-b03e5d07fd21</t>
        </is>
      </c>
      <c r="D1515" s="4" t="n">
        <v>46314.24598191987</v>
      </c>
      <c r="E1515" s="4" t="n">
        <v>46314.24598192001</v>
      </c>
      <c r="F1515" t="b">
        <v>1</v>
      </c>
      <c r="G1515" t="n">
        <v/>
      </c>
      <c r="H1515" t="inlineStr">
        <is>
          <t>PHO</t>
        </is>
      </c>
      <c r="I1515" t="inlineStr">
        <is>
          <t>Phosco Ltd</t>
        </is>
      </c>
      <c r="J1515" t="inlineStr">
        <is>
          <t>AUD</t>
        </is>
      </c>
      <c r="K1515" s="5" t="inlineStr">
        <is>
          <t>01a152b9-6ee2-7577-bddd-382bc3853fde</t>
        </is>
      </c>
      <c r="M1515" t="inlineStr">
        <is>
          <t>UNKNOWN</t>
        </is>
      </c>
      <c r="N1515" t="inlineStr">
        <is>
          <t>DEFAULT</t>
        </is>
      </c>
      <c r="Q1515" t="n">
        <v>0</v>
      </c>
      <c r="R1515" t="inlineStr">
        <is>
          <t>AUD</t>
        </is>
      </c>
      <c r="S1515" t="n">
        <v>0</v>
      </c>
      <c r="T1515" t="inlineStr">
        <is>
          <t>AUD</t>
        </is>
      </c>
      <c r="U1515" t="n">
        <v>0</v>
      </c>
    </row>
    <row r="1516">
      <c r="A1516" s="5" t="inlineStr">
        <is>
          <t>01a152b9-86e9-7772-bc1a-26cd410cbc98</t>
        </is>
      </c>
      <c r="C1516" s="5" t="inlineStr">
        <is>
          <t>01a152b9-6e67-75da-8adb-b03e5d07fd21</t>
        </is>
      </c>
      <c r="D1516" s="4" t="n">
        <v>46314.2459819674</v>
      </c>
      <c r="E1516" s="4" t="n">
        <v>46314.24598196751</v>
      </c>
      <c r="F1516" t="b">
        <v>1</v>
      </c>
      <c r="G1516" t="n">
        <v/>
      </c>
      <c r="H1516" t="inlineStr">
        <is>
          <t>VRS</t>
        </is>
      </c>
      <c r="I1516" t="inlineStr">
        <is>
          <t>Veris Ltd</t>
        </is>
      </c>
      <c r="J1516" t="inlineStr">
        <is>
          <t>AUD</t>
        </is>
      </c>
      <c r="K1516" s="5" t="inlineStr">
        <is>
          <t>01a152b9-6ee2-7577-bddd-382bc3853fde</t>
        </is>
      </c>
      <c r="M1516" t="inlineStr">
        <is>
          <t>UNKNOWN</t>
        </is>
      </c>
      <c r="N1516" t="inlineStr">
        <is>
          <t>DEFAULT</t>
        </is>
      </c>
      <c r="Q1516" t="n">
        <v>0</v>
      </c>
      <c r="R1516" t="inlineStr">
        <is>
          <t>AUD</t>
        </is>
      </c>
      <c r="S1516" t="n">
        <v>0</v>
      </c>
      <c r="T1516" t="inlineStr">
        <is>
          <t>AUD</t>
        </is>
      </c>
      <c r="U1516" t="n">
        <v>0</v>
      </c>
    </row>
    <row r="1517">
      <c r="A1517" s="5" t="inlineStr">
        <is>
          <t>01a152b9-86ed-75ae-8b85-9ba4e003c9f8</t>
        </is>
      </c>
      <c r="C1517" s="5" t="inlineStr">
        <is>
          <t>01a152b9-6e67-75da-8adb-b03e5d07fd21</t>
        </is>
      </c>
      <c r="D1517" s="4" t="n">
        <v>46314.24598200739</v>
      </c>
      <c r="E1517" s="4" t="n">
        <v>46314.24598200751</v>
      </c>
      <c r="F1517" t="b">
        <v>1</v>
      </c>
      <c r="G1517" t="n">
        <v/>
      </c>
      <c r="H1517" t="inlineStr">
        <is>
          <t>IMC</t>
        </is>
      </c>
      <c r="I1517" t="inlineStr">
        <is>
          <t>Immuron Ltd</t>
        </is>
      </c>
      <c r="J1517" t="inlineStr">
        <is>
          <t>AUD</t>
        </is>
      </c>
      <c r="K1517" s="5" t="inlineStr">
        <is>
          <t>01a152b9-6ee2-7577-bddd-382bc3853fde</t>
        </is>
      </c>
      <c r="M1517" t="inlineStr">
        <is>
          <t>UNKNOWN</t>
        </is>
      </c>
      <c r="N1517" t="inlineStr">
        <is>
          <t>DEFAULT</t>
        </is>
      </c>
      <c r="Q1517" t="n">
        <v>0</v>
      </c>
      <c r="R1517" t="inlineStr">
        <is>
          <t>AUD</t>
        </is>
      </c>
      <c r="S1517" t="n">
        <v>0</v>
      </c>
      <c r="T1517" t="inlineStr">
        <is>
          <t>AUD</t>
        </is>
      </c>
      <c r="U1517" t="n">
        <v>0</v>
      </c>
    </row>
    <row r="1518">
      <c r="A1518" s="5" t="inlineStr">
        <is>
          <t>01a152b9-86f1-77d6-a6cf-b63f3688c8e3</t>
        </is>
      </c>
      <c r="C1518" s="5" t="inlineStr">
        <is>
          <t>01a152b9-6e67-75da-8adb-b03e5d07fd21</t>
        </is>
      </c>
      <c r="D1518" s="4" t="n">
        <v>46314.24598205065</v>
      </c>
      <c r="E1518" s="4" t="n">
        <v>46314.24598205075</v>
      </c>
      <c r="F1518" t="b">
        <v>1</v>
      </c>
      <c r="G1518" t="n">
        <v/>
      </c>
      <c r="H1518" t="inlineStr">
        <is>
          <t>ARV</t>
        </is>
      </c>
      <c r="I1518" t="inlineStr">
        <is>
          <t>Artemis Resources Ltd</t>
        </is>
      </c>
      <c r="J1518" t="inlineStr">
        <is>
          <t>AUD</t>
        </is>
      </c>
      <c r="K1518" s="5" t="inlineStr">
        <is>
          <t>01a152b9-6ee2-7577-bddd-382bc3853fde</t>
        </is>
      </c>
      <c r="M1518" t="inlineStr">
        <is>
          <t>UNKNOWN</t>
        </is>
      </c>
      <c r="N1518" t="inlineStr">
        <is>
          <t>DEFAULT</t>
        </is>
      </c>
      <c r="Q1518" t="n">
        <v>0</v>
      </c>
      <c r="R1518" t="inlineStr">
        <is>
          <t>AUD</t>
        </is>
      </c>
      <c r="S1518" t="n">
        <v>0</v>
      </c>
      <c r="T1518" t="inlineStr">
        <is>
          <t>AUD</t>
        </is>
      </c>
      <c r="U1518" t="n">
        <v>0</v>
      </c>
    </row>
    <row r="1519">
      <c r="A1519" s="5" t="inlineStr">
        <is>
          <t>01a152b9-86f4-716b-aac0-bc128ba048e4</t>
        </is>
      </c>
      <c r="C1519" s="5" t="inlineStr">
        <is>
          <t>01a152b9-6e67-75da-8adb-b03e5d07fd21</t>
        </is>
      </c>
      <c r="D1519" s="4" t="n">
        <v>46314.24598209345</v>
      </c>
      <c r="E1519" s="4" t="n">
        <v>46314.24598209356</v>
      </c>
      <c r="F1519" t="b">
        <v>1</v>
      </c>
      <c r="G1519" t="n">
        <v/>
      </c>
      <c r="H1519" t="inlineStr">
        <is>
          <t>MAUCA</t>
        </is>
      </c>
      <c r="I1519" t="inlineStr">
        <is>
          <t>Magnetic Resources NL</t>
        </is>
      </c>
      <c r="J1519" t="inlineStr">
        <is>
          <t>AUD</t>
        </is>
      </c>
      <c r="K1519" s="5" t="inlineStr">
        <is>
          <t>01a152b9-6ee2-7577-bddd-382bc3853fde</t>
        </is>
      </c>
      <c r="M1519" t="inlineStr">
        <is>
          <t>UNKNOWN</t>
        </is>
      </c>
      <c r="N1519" t="inlineStr">
        <is>
          <t>DEFAULT</t>
        </is>
      </c>
      <c r="Q1519" t="n">
        <v>0</v>
      </c>
      <c r="R1519" t="inlineStr">
        <is>
          <t>AUD</t>
        </is>
      </c>
      <c r="S1519" t="n">
        <v>0</v>
      </c>
      <c r="T1519" t="inlineStr">
        <is>
          <t>AUD</t>
        </is>
      </c>
      <c r="U1519" t="n">
        <v>0</v>
      </c>
    </row>
    <row r="1520">
      <c r="A1520" s="5" t="inlineStr">
        <is>
          <t>01a152b9-86f9-74a9-aebe-1ec396815383</t>
        </is>
      </c>
      <c r="C1520" s="5" t="inlineStr">
        <is>
          <t>01a152b9-6e67-75da-8adb-b03e5d07fd21</t>
        </is>
      </c>
      <c r="D1520" s="4" t="n">
        <v>46314.24598214318</v>
      </c>
      <c r="E1520" s="4" t="n">
        <v>46314.24598214332</v>
      </c>
      <c r="F1520" t="b">
        <v>1</v>
      </c>
      <c r="G1520" t="n">
        <v/>
      </c>
      <c r="H1520" t="inlineStr">
        <is>
          <t>SOR</t>
        </is>
      </c>
      <c r="I1520" t="inlineStr">
        <is>
          <t>Strategic Elements Ltd</t>
        </is>
      </c>
      <c r="J1520" t="inlineStr">
        <is>
          <t>AUD</t>
        </is>
      </c>
      <c r="K1520" s="5" t="inlineStr">
        <is>
          <t>01a152b9-6ee2-7577-bddd-382bc3853fde</t>
        </is>
      </c>
      <c r="M1520" t="inlineStr">
        <is>
          <t>UNKNOWN</t>
        </is>
      </c>
      <c r="N1520" t="inlineStr">
        <is>
          <t>DEFAULT</t>
        </is>
      </c>
      <c r="Q1520" t="n">
        <v>0</v>
      </c>
      <c r="R1520" t="inlineStr">
        <is>
          <t>AUD</t>
        </is>
      </c>
      <c r="S1520" t="n">
        <v>0</v>
      </c>
      <c r="T1520" t="inlineStr">
        <is>
          <t>AUD</t>
        </is>
      </c>
      <c r="U1520" t="n">
        <v>0</v>
      </c>
    </row>
    <row r="1521">
      <c r="A1521" s="5" t="inlineStr">
        <is>
          <t>01a152b9-86fd-72ba-852e-0258f382668f</t>
        </is>
      </c>
      <c r="C1521" s="5" t="inlineStr">
        <is>
          <t>01a152b9-6e67-75da-8adb-b03e5d07fd21</t>
        </is>
      </c>
      <c r="D1521" s="4" t="n">
        <v>46314.24598219019</v>
      </c>
      <c r="E1521" s="4" t="n">
        <v>46314.24598219032</v>
      </c>
      <c r="F1521" t="b">
        <v>1</v>
      </c>
      <c r="G1521" t="n">
        <v/>
      </c>
      <c r="H1521" t="inlineStr">
        <is>
          <t>AEI</t>
        </is>
      </c>
      <c r="I1521" t="inlineStr">
        <is>
          <t>Aeris Environmental Ltd</t>
        </is>
      </c>
      <c r="J1521" t="inlineStr">
        <is>
          <t>AUD</t>
        </is>
      </c>
      <c r="K1521" s="5" t="inlineStr">
        <is>
          <t>01a152b9-6ee2-7577-bddd-382bc3853fde</t>
        </is>
      </c>
      <c r="M1521" t="inlineStr">
        <is>
          <t>UNKNOWN</t>
        </is>
      </c>
      <c r="N1521" t="inlineStr">
        <is>
          <t>DEFAULT</t>
        </is>
      </c>
      <c r="Q1521" t="n">
        <v>0</v>
      </c>
      <c r="R1521" t="inlineStr">
        <is>
          <t>AUD</t>
        </is>
      </c>
      <c r="S1521" t="n">
        <v>0</v>
      </c>
      <c r="T1521" t="inlineStr">
        <is>
          <t>AUD</t>
        </is>
      </c>
      <c r="U1521" t="n">
        <v>0</v>
      </c>
    </row>
    <row r="1522">
      <c r="A1522" s="5" t="inlineStr">
        <is>
          <t>01a152b9-8700-71bc-8582-5aa60e854175</t>
        </is>
      </c>
      <c r="C1522" s="5" t="inlineStr">
        <is>
          <t>01a152b9-6e67-75da-8adb-b03e5d07fd21</t>
        </is>
      </c>
      <c r="D1522" s="4" t="n">
        <v>46314.24598222999</v>
      </c>
      <c r="E1522" s="4" t="n">
        <v>46314.24598223012</v>
      </c>
      <c r="F1522" t="b">
        <v>1</v>
      </c>
      <c r="G1522" t="n">
        <v/>
      </c>
      <c r="H1522" t="inlineStr">
        <is>
          <t>MPK</t>
        </is>
      </c>
      <c r="I1522" t="inlineStr">
        <is>
          <t>Many Peaks Minerals Ltd</t>
        </is>
      </c>
      <c r="J1522" t="inlineStr">
        <is>
          <t>AUD</t>
        </is>
      </c>
      <c r="K1522" s="5" t="inlineStr">
        <is>
          <t>01a152b9-6ee2-7577-bddd-382bc3853fde</t>
        </is>
      </c>
      <c r="M1522" t="inlineStr">
        <is>
          <t>UNKNOWN</t>
        </is>
      </c>
      <c r="N1522" t="inlineStr">
        <is>
          <t>DEFAULT</t>
        </is>
      </c>
      <c r="Q1522" t="n">
        <v>0</v>
      </c>
      <c r="R1522" t="inlineStr">
        <is>
          <t>AUD</t>
        </is>
      </c>
      <c r="S1522" t="n">
        <v>0</v>
      </c>
      <c r="T1522" t="inlineStr">
        <is>
          <t>AUD</t>
        </is>
      </c>
      <c r="U1522" t="n">
        <v>0</v>
      </c>
    </row>
    <row r="1523">
      <c r="A1523" s="5" t="inlineStr">
        <is>
          <t>01a152b9-8704-75c2-bcea-c76dd0cd122f</t>
        </is>
      </c>
      <c r="C1523" s="5" t="inlineStr">
        <is>
          <t>01a152b9-6e67-75da-8adb-b03e5d07fd21</t>
        </is>
      </c>
      <c r="D1523" s="4" t="n">
        <v>46314.2459822734</v>
      </c>
      <c r="E1523" s="4" t="n">
        <v>46314.2459822735</v>
      </c>
      <c r="F1523" t="b">
        <v>1</v>
      </c>
      <c r="G1523" t="n">
        <v/>
      </c>
      <c r="H1523" t="inlineStr">
        <is>
          <t>EINC</t>
        </is>
      </c>
      <c r="I1523" t="inlineStr">
        <is>
          <t>Betashares MRTN Currie EQY Inc Fund (Managed Fund)</t>
        </is>
      </c>
      <c r="J1523" t="inlineStr">
        <is>
          <t>AUD</t>
        </is>
      </c>
      <c r="K1523" s="5" t="inlineStr">
        <is>
          <t>01a152b9-6ee2-7577-bddd-382bc3853fde</t>
        </is>
      </c>
      <c r="M1523" t="inlineStr">
        <is>
          <t>UNKNOWN</t>
        </is>
      </c>
      <c r="N1523" t="inlineStr">
        <is>
          <t>DEFAULT</t>
        </is>
      </c>
      <c r="Q1523" t="n">
        <v>0</v>
      </c>
      <c r="R1523" t="inlineStr">
        <is>
          <t>AUD</t>
        </is>
      </c>
      <c r="S1523" t="n">
        <v>0</v>
      </c>
      <c r="T1523" t="inlineStr">
        <is>
          <t>AUD</t>
        </is>
      </c>
      <c r="U1523" t="n">
        <v>0</v>
      </c>
    </row>
    <row r="1524">
      <c r="A1524" s="5" t="inlineStr">
        <is>
          <t>01a152b9-8707-74c5-a89b-a8b23a4eef21</t>
        </is>
      </c>
      <c r="C1524" s="5" t="inlineStr">
        <is>
          <t>01a152b9-6e67-75da-8adb-b03e5d07fd21</t>
        </is>
      </c>
      <c r="D1524" s="4" t="n">
        <v>46314.24598230808</v>
      </c>
      <c r="E1524" s="4" t="n">
        <v>46314.24598230818</v>
      </c>
      <c r="F1524" t="b">
        <v>1</v>
      </c>
      <c r="G1524" t="n">
        <v/>
      </c>
      <c r="H1524" t="inlineStr">
        <is>
          <t>MBH</t>
        </is>
      </c>
      <c r="I1524" t="inlineStr">
        <is>
          <t>Maggie Beer Holdings Ltd</t>
        </is>
      </c>
      <c r="J1524" t="inlineStr">
        <is>
          <t>AUD</t>
        </is>
      </c>
      <c r="K1524" s="5" t="inlineStr">
        <is>
          <t>01a152b9-6ee2-7577-bddd-382bc3853fde</t>
        </is>
      </c>
      <c r="M1524" t="inlineStr">
        <is>
          <t>UNKNOWN</t>
        </is>
      </c>
      <c r="N1524" t="inlineStr">
        <is>
          <t>DEFAULT</t>
        </is>
      </c>
      <c r="Q1524" t="n">
        <v>0</v>
      </c>
      <c r="R1524" t="inlineStr">
        <is>
          <t>AUD</t>
        </is>
      </c>
      <c r="S1524" t="n">
        <v>0</v>
      </c>
      <c r="T1524" t="inlineStr">
        <is>
          <t>AUD</t>
        </is>
      </c>
      <c r="U1524" t="n">
        <v>0</v>
      </c>
    </row>
    <row r="1525">
      <c r="A1525" s="5" t="inlineStr">
        <is>
          <t>01a152b9-870a-77bb-9f87-e018e92a3d73</t>
        </is>
      </c>
      <c r="C1525" s="5" t="inlineStr">
        <is>
          <t>01a152b9-6e67-75da-8adb-b03e5d07fd21</t>
        </is>
      </c>
      <c r="D1525" s="4" t="n">
        <v>46314.24598234978</v>
      </c>
      <c r="E1525" s="4" t="n">
        <v>46314.24598234987</v>
      </c>
      <c r="F1525" t="b">
        <v>1</v>
      </c>
      <c r="G1525" t="n">
        <v/>
      </c>
      <c r="H1525" t="inlineStr">
        <is>
          <t>TOU</t>
        </is>
      </c>
      <c r="I1525" t="inlineStr">
        <is>
          <t>Tlou Energy Ltd</t>
        </is>
      </c>
      <c r="J1525" t="inlineStr">
        <is>
          <t>AUD</t>
        </is>
      </c>
      <c r="K1525" s="5" t="inlineStr">
        <is>
          <t>01a152b9-6ee2-7577-bddd-382bc3853fde</t>
        </is>
      </c>
      <c r="M1525" t="inlineStr">
        <is>
          <t>UNKNOWN</t>
        </is>
      </c>
      <c r="N1525" t="inlineStr">
        <is>
          <t>DEFAULT</t>
        </is>
      </c>
      <c r="Q1525" t="n">
        <v>0</v>
      </c>
      <c r="R1525" t="inlineStr">
        <is>
          <t>AUD</t>
        </is>
      </c>
      <c r="S1525" t="n">
        <v>0</v>
      </c>
      <c r="T1525" t="inlineStr">
        <is>
          <t>AUD</t>
        </is>
      </c>
      <c r="U1525" t="n">
        <v>0</v>
      </c>
    </row>
    <row r="1526">
      <c r="A1526" s="5" t="inlineStr">
        <is>
          <t>01a152b9-870e-7018-9cf6-9d45b5df84cc</t>
        </is>
      </c>
      <c r="C1526" s="5" t="inlineStr">
        <is>
          <t>01a152b9-6e67-75da-8adb-b03e5d07fd21</t>
        </is>
      </c>
      <c r="D1526" s="4" t="n">
        <v>46314.24598238616</v>
      </c>
      <c r="E1526" s="4" t="n">
        <v>46314.24598238626</v>
      </c>
      <c r="F1526" t="b">
        <v>1</v>
      </c>
      <c r="G1526" t="n">
        <v/>
      </c>
      <c r="H1526" t="inlineStr">
        <is>
          <t>QML</t>
        </is>
      </c>
      <c r="I1526" t="inlineStr">
        <is>
          <t>Qmines Ltd</t>
        </is>
      </c>
      <c r="J1526" t="inlineStr">
        <is>
          <t>AUD</t>
        </is>
      </c>
      <c r="K1526" s="5" t="inlineStr">
        <is>
          <t>01a152b9-6ee2-7577-bddd-382bc3853fde</t>
        </is>
      </c>
      <c r="M1526" t="inlineStr">
        <is>
          <t>UNKNOWN</t>
        </is>
      </c>
      <c r="N1526" t="inlineStr">
        <is>
          <t>DEFAULT</t>
        </is>
      </c>
      <c r="Q1526" t="n">
        <v>0</v>
      </c>
      <c r="R1526" t="inlineStr">
        <is>
          <t>AUD</t>
        </is>
      </c>
      <c r="S1526" t="n">
        <v>0</v>
      </c>
      <c r="T1526" t="inlineStr">
        <is>
          <t>AUD</t>
        </is>
      </c>
      <c r="U1526" t="n">
        <v>0</v>
      </c>
    </row>
    <row r="1527">
      <c r="A1527" s="5" t="inlineStr">
        <is>
          <t>01a152b9-8711-7624-92f2-f9bdb66be031</t>
        </is>
      </c>
      <c r="C1527" s="5" t="inlineStr">
        <is>
          <t>01a152b9-6e67-75da-8adb-b03e5d07fd21</t>
        </is>
      </c>
      <c r="D1527" s="4" t="n">
        <v>46314.24598242256</v>
      </c>
      <c r="E1527" s="4" t="n">
        <v>46314.24598242265</v>
      </c>
      <c r="F1527" t="b">
        <v>1</v>
      </c>
      <c r="G1527" t="n">
        <v/>
      </c>
      <c r="H1527" t="inlineStr">
        <is>
          <t>ASE</t>
        </is>
      </c>
      <c r="I1527" t="inlineStr">
        <is>
          <t>Astute Metals NL</t>
        </is>
      </c>
      <c r="J1527" t="inlineStr">
        <is>
          <t>AUD</t>
        </is>
      </c>
      <c r="K1527" s="5" t="inlineStr">
        <is>
          <t>01a152b9-6ee2-7577-bddd-382bc3853fde</t>
        </is>
      </c>
      <c r="M1527" t="inlineStr">
        <is>
          <t>UNKNOWN</t>
        </is>
      </c>
      <c r="N1527" t="inlineStr">
        <is>
          <t>DEFAULT</t>
        </is>
      </c>
      <c r="Q1527" t="n">
        <v>0</v>
      </c>
      <c r="R1527" t="inlineStr">
        <is>
          <t>AUD</t>
        </is>
      </c>
      <c r="S1527" t="n">
        <v>0</v>
      </c>
      <c r="T1527" t="inlineStr">
        <is>
          <t>AUD</t>
        </is>
      </c>
      <c r="U1527" t="n">
        <v>0</v>
      </c>
    </row>
    <row r="1528">
      <c r="A1528" s="5" t="inlineStr">
        <is>
          <t>01a152b9-8714-757e-92f3-a05923b6d5d3</t>
        </is>
      </c>
      <c r="C1528" s="5" t="inlineStr">
        <is>
          <t>01a152b9-6e67-75da-8adb-b03e5d07fd21</t>
        </is>
      </c>
      <c r="D1528" s="4" t="n">
        <v>46314.24598245797</v>
      </c>
      <c r="E1528" s="4" t="n">
        <v>46314.24598245807</v>
      </c>
      <c r="F1528" t="b">
        <v>1</v>
      </c>
      <c r="G1528" t="n">
        <v/>
      </c>
      <c r="H1528" t="inlineStr">
        <is>
          <t>FOS</t>
        </is>
      </c>
      <c r="I1528" t="inlineStr">
        <is>
          <t>FOS Capital Ltd</t>
        </is>
      </c>
      <c r="J1528" t="inlineStr">
        <is>
          <t>AUD</t>
        </is>
      </c>
      <c r="K1528" s="5" t="inlineStr">
        <is>
          <t>01a152b9-6ee2-7577-bddd-382bc3853fde</t>
        </is>
      </c>
      <c r="M1528" t="inlineStr">
        <is>
          <t>UNKNOWN</t>
        </is>
      </c>
      <c r="N1528" t="inlineStr">
        <is>
          <t>DEFAULT</t>
        </is>
      </c>
      <c r="Q1528" t="n">
        <v>0</v>
      </c>
      <c r="R1528" t="inlineStr">
        <is>
          <t>AUD</t>
        </is>
      </c>
      <c r="S1528" t="n">
        <v>0</v>
      </c>
      <c r="T1528" t="inlineStr">
        <is>
          <t>AUD</t>
        </is>
      </c>
      <c r="U1528" t="n">
        <v>0</v>
      </c>
    </row>
    <row r="1529">
      <c r="A1529" s="5" t="inlineStr">
        <is>
          <t>01a152b9-8717-720e-aca7-e8045c64ac25</t>
        </is>
      </c>
      <c r="C1529" s="5" t="inlineStr">
        <is>
          <t>01a152b9-6e67-75da-8adb-b03e5d07fd21</t>
        </is>
      </c>
      <c r="D1529" s="4" t="n">
        <v>46314.24598249882</v>
      </c>
      <c r="E1529" s="4" t="n">
        <v>46314.24598249895</v>
      </c>
      <c r="F1529" t="b">
        <v>1</v>
      </c>
      <c r="G1529" t="n">
        <v/>
      </c>
      <c r="H1529" t="inlineStr">
        <is>
          <t>NCCGA</t>
        </is>
      </c>
      <c r="I1529" t="inlineStr">
        <is>
          <t>Naos Emerging Opportunities Company Ltd</t>
        </is>
      </c>
      <c r="J1529" t="inlineStr">
        <is>
          <t>AUD</t>
        </is>
      </c>
      <c r="K1529" s="5" t="inlineStr">
        <is>
          <t>01a152b9-6ee2-7577-bddd-382bc3853fde</t>
        </is>
      </c>
      <c r="M1529" t="inlineStr">
        <is>
          <t>UNKNOWN</t>
        </is>
      </c>
      <c r="N1529" t="inlineStr">
        <is>
          <t>DEFAULT</t>
        </is>
      </c>
      <c r="Q1529" t="n">
        <v>0</v>
      </c>
      <c r="R1529" t="inlineStr">
        <is>
          <t>AUD</t>
        </is>
      </c>
      <c r="S1529" t="n">
        <v>0</v>
      </c>
      <c r="T1529" t="inlineStr">
        <is>
          <t>AUD</t>
        </is>
      </c>
      <c r="U1529" t="n">
        <v>0</v>
      </c>
    </row>
    <row r="1530">
      <c r="A1530" s="5" t="inlineStr">
        <is>
          <t>01a152b9-871b-777d-8307-82dd382cd6ad</t>
        </is>
      </c>
      <c r="C1530" s="5" t="inlineStr">
        <is>
          <t>01a152b9-6e67-75da-8adb-b03e5d07fd21</t>
        </is>
      </c>
      <c r="D1530" s="4" t="n">
        <v>46314.24598253828</v>
      </c>
      <c r="E1530" s="4" t="n">
        <v>46314.24598253843</v>
      </c>
      <c r="F1530" t="b">
        <v>1</v>
      </c>
      <c r="G1530" t="n">
        <v/>
      </c>
      <c r="H1530" t="inlineStr">
        <is>
          <t>ARI</t>
        </is>
      </c>
      <c r="I1530" t="inlineStr">
        <is>
          <t>Arika Resources Ltd</t>
        </is>
      </c>
      <c r="J1530" t="inlineStr">
        <is>
          <t>AUD</t>
        </is>
      </c>
      <c r="K1530" s="5" t="inlineStr">
        <is>
          <t>01a152b9-6ee2-7577-bddd-382bc3853fde</t>
        </is>
      </c>
      <c r="M1530" t="inlineStr">
        <is>
          <t>UNKNOWN</t>
        </is>
      </c>
      <c r="N1530" t="inlineStr">
        <is>
          <t>DEFAULT</t>
        </is>
      </c>
      <c r="Q1530" t="n">
        <v>0</v>
      </c>
      <c r="R1530" t="inlineStr">
        <is>
          <t>AUD</t>
        </is>
      </c>
      <c r="S1530" t="n">
        <v>0</v>
      </c>
      <c r="T1530" t="inlineStr">
        <is>
          <t>AUD</t>
        </is>
      </c>
      <c r="U1530" t="n">
        <v>0</v>
      </c>
    </row>
    <row r="1531">
      <c r="A1531" s="5" t="inlineStr">
        <is>
          <t>01a152b9-871e-70af-a5f4-fc2faaad1d91</t>
        </is>
      </c>
      <c r="C1531" s="5" t="inlineStr">
        <is>
          <t>01a152b9-6e67-75da-8adb-b03e5d07fd21</t>
        </is>
      </c>
      <c r="D1531" s="4" t="n">
        <v>46314.24598257323</v>
      </c>
      <c r="E1531" s="4" t="n">
        <v>46314.24598257333</v>
      </c>
      <c r="F1531" t="b">
        <v>1</v>
      </c>
      <c r="G1531" t="n">
        <v/>
      </c>
      <c r="H1531" t="inlineStr">
        <is>
          <t>SKM</t>
        </is>
      </c>
      <c r="I1531" t="inlineStr">
        <is>
          <t>Skylark Minerals Ltd</t>
        </is>
      </c>
      <c r="J1531" t="inlineStr">
        <is>
          <t>AUD</t>
        </is>
      </c>
      <c r="K1531" s="5" t="inlineStr">
        <is>
          <t>01a152b9-6ee2-7577-bddd-382bc3853fde</t>
        </is>
      </c>
      <c r="M1531" t="inlineStr">
        <is>
          <t>UNKNOWN</t>
        </is>
      </c>
      <c r="N1531" t="inlineStr">
        <is>
          <t>DEFAULT</t>
        </is>
      </c>
      <c r="Q1531" t="n">
        <v>0</v>
      </c>
      <c r="R1531" t="inlineStr">
        <is>
          <t>AUD</t>
        </is>
      </c>
      <c r="S1531" t="n">
        <v>0</v>
      </c>
      <c r="T1531" t="inlineStr">
        <is>
          <t>AUD</t>
        </is>
      </c>
      <c r="U1531" t="n">
        <v>0</v>
      </c>
    </row>
    <row r="1532">
      <c r="A1532" s="5" t="inlineStr">
        <is>
          <t>01a152b9-8721-71ba-ac48-d8846fb4b1cd</t>
        </is>
      </c>
      <c r="C1532" s="5" t="inlineStr">
        <is>
          <t>01a152b9-6e67-75da-8adb-b03e5d07fd21</t>
        </is>
      </c>
      <c r="D1532" s="4" t="n">
        <v>46314.24598261619</v>
      </c>
      <c r="E1532" s="4" t="n">
        <v>46314.24598261632</v>
      </c>
      <c r="F1532" t="b">
        <v>1</v>
      </c>
      <c r="G1532" t="n">
        <v/>
      </c>
      <c r="H1532" t="inlineStr">
        <is>
          <t>AJX</t>
        </is>
      </c>
      <c r="I1532" t="inlineStr">
        <is>
          <t>Alexium International Group Ltd</t>
        </is>
      </c>
      <c r="J1532" t="inlineStr">
        <is>
          <t>AUD</t>
        </is>
      </c>
      <c r="K1532" s="5" t="inlineStr">
        <is>
          <t>01a152b9-6ee2-7577-bddd-382bc3853fde</t>
        </is>
      </c>
      <c r="M1532" t="inlineStr">
        <is>
          <t>UNKNOWN</t>
        </is>
      </c>
      <c r="N1532" t="inlineStr">
        <is>
          <t>DEFAULT</t>
        </is>
      </c>
      <c r="Q1532" t="n">
        <v>0</v>
      </c>
      <c r="R1532" t="inlineStr">
        <is>
          <t>AUD</t>
        </is>
      </c>
      <c r="S1532" t="n">
        <v>0</v>
      </c>
      <c r="T1532" t="inlineStr">
        <is>
          <t>AUD</t>
        </is>
      </c>
      <c r="U1532" t="n">
        <v>0</v>
      </c>
    </row>
    <row r="1533">
      <c r="A1533" s="5" t="inlineStr">
        <is>
          <t>01a152b9-8725-73c9-bd8c-f7b89e0352d8</t>
        </is>
      </c>
      <c r="C1533" s="5" t="inlineStr">
        <is>
          <t>01a152b9-6e67-75da-8adb-b03e5d07fd21</t>
        </is>
      </c>
      <c r="D1533" s="4" t="n">
        <v>46314.2459826594</v>
      </c>
      <c r="E1533" s="4" t="n">
        <v>46314.24598265952</v>
      </c>
      <c r="F1533" t="b">
        <v>1</v>
      </c>
      <c r="G1533" t="n">
        <v/>
      </c>
      <c r="H1533" t="inlineStr">
        <is>
          <t>POS</t>
        </is>
      </c>
      <c r="I1533" t="inlineStr">
        <is>
          <t>Poseidon Nickel Ltd</t>
        </is>
      </c>
      <c r="J1533" t="inlineStr">
        <is>
          <t>AUD</t>
        </is>
      </c>
      <c r="K1533" s="5" t="inlineStr">
        <is>
          <t>01a152b9-6ee2-7577-bddd-382bc3853fde</t>
        </is>
      </c>
      <c r="M1533" t="inlineStr">
        <is>
          <t>UNKNOWN</t>
        </is>
      </c>
      <c r="N1533" t="inlineStr">
        <is>
          <t>DEFAULT</t>
        </is>
      </c>
      <c r="Q1533" t="n">
        <v>0</v>
      </c>
      <c r="R1533" t="inlineStr">
        <is>
          <t>AUD</t>
        </is>
      </c>
      <c r="S1533" t="n">
        <v>0</v>
      </c>
      <c r="T1533" t="inlineStr">
        <is>
          <t>AUD</t>
        </is>
      </c>
      <c r="U1533" t="n">
        <v>0</v>
      </c>
    </row>
    <row r="1534">
      <c r="A1534" s="5" t="inlineStr">
        <is>
          <t>01a152b9-8729-7788-84e4-2f86cfb57f40</t>
        </is>
      </c>
      <c r="C1534" s="5" t="inlineStr">
        <is>
          <t>01a152b9-6e67-75da-8adb-b03e5d07fd21</t>
        </is>
      </c>
      <c r="D1534" s="4" t="n">
        <v>46314.24598270799</v>
      </c>
      <c r="E1534" s="4" t="n">
        <v>46314.24598270809</v>
      </c>
      <c r="F1534" t="b">
        <v>1</v>
      </c>
      <c r="G1534" t="n">
        <v/>
      </c>
      <c r="H1534" t="inlineStr">
        <is>
          <t>S66</t>
        </is>
      </c>
      <c r="I1534" t="inlineStr">
        <is>
          <t>Star Combo Pharma Ltd</t>
        </is>
      </c>
      <c r="J1534" t="inlineStr">
        <is>
          <t>AUD</t>
        </is>
      </c>
      <c r="K1534" s="5" t="inlineStr">
        <is>
          <t>01a152b9-6ee2-7577-bddd-382bc3853fde</t>
        </is>
      </c>
      <c r="M1534" t="inlineStr">
        <is>
          <t>UNKNOWN</t>
        </is>
      </c>
      <c r="N1534" t="inlineStr">
        <is>
          <t>DEFAULT</t>
        </is>
      </c>
      <c r="Q1534" t="n">
        <v>0</v>
      </c>
      <c r="R1534" t="inlineStr">
        <is>
          <t>AUD</t>
        </is>
      </c>
      <c r="S1534" t="n">
        <v>0</v>
      </c>
      <c r="T1534" t="inlineStr">
        <is>
          <t>AUD</t>
        </is>
      </c>
      <c r="U1534" t="n">
        <v>0</v>
      </c>
    </row>
    <row r="1535">
      <c r="A1535" s="5" t="inlineStr">
        <is>
          <t>01a152b9-872d-7567-9144-2c38e5fd3787</t>
        </is>
      </c>
      <c r="C1535" s="5" t="inlineStr">
        <is>
          <t>01a152b9-6e67-75da-8adb-b03e5d07fd21</t>
        </is>
      </c>
      <c r="D1535" s="4" t="n">
        <v>46314.2459827479</v>
      </c>
      <c r="E1535" s="4" t="n">
        <v>46314.24598274804</v>
      </c>
      <c r="F1535" t="b">
        <v>1</v>
      </c>
      <c r="G1535" t="n">
        <v/>
      </c>
      <c r="H1535" t="inlineStr">
        <is>
          <t>OEC</t>
        </is>
      </c>
      <c r="I1535" t="inlineStr">
        <is>
          <t>Orbital Corporation Ltd</t>
        </is>
      </c>
      <c r="J1535" t="inlineStr">
        <is>
          <t>AUD</t>
        </is>
      </c>
      <c r="K1535" s="5" t="inlineStr">
        <is>
          <t>01a152b9-6ee2-7577-bddd-382bc3853fde</t>
        </is>
      </c>
      <c r="M1535" t="inlineStr">
        <is>
          <t>UNKNOWN</t>
        </is>
      </c>
      <c r="N1535" t="inlineStr">
        <is>
          <t>DEFAULT</t>
        </is>
      </c>
      <c r="Q1535" t="n">
        <v>0</v>
      </c>
      <c r="R1535" t="inlineStr">
        <is>
          <t>AUD</t>
        </is>
      </c>
      <c r="S1535" t="n">
        <v>0</v>
      </c>
      <c r="T1535" t="inlineStr">
        <is>
          <t>AUD</t>
        </is>
      </c>
      <c r="U1535" t="n">
        <v>0</v>
      </c>
    </row>
    <row r="1536">
      <c r="A1536" s="5" t="inlineStr">
        <is>
          <t>01a152b9-8730-7147-a2a8-dee7b7770990</t>
        </is>
      </c>
      <c r="C1536" s="5" t="inlineStr">
        <is>
          <t>01a152b9-6e67-75da-8adb-b03e5d07fd21</t>
        </is>
      </c>
      <c r="D1536" s="4" t="n">
        <v>46314.24598278444</v>
      </c>
      <c r="E1536" s="4" t="n">
        <v>46314.24598278454</v>
      </c>
      <c r="F1536" t="b">
        <v>1</v>
      </c>
      <c r="G1536" t="n">
        <v/>
      </c>
      <c r="H1536" t="inlineStr">
        <is>
          <t>POD</t>
        </is>
      </c>
      <c r="I1536" t="inlineStr">
        <is>
          <t>Podium Minerals Ltd</t>
        </is>
      </c>
      <c r="J1536" t="inlineStr">
        <is>
          <t>AUD</t>
        </is>
      </c>
      <c r="K1536" s="5" t="inlineStr">
        <is>
          <t>01a152b9-6ee2-7577-bddd-382bc3853fde</t>
        </is>
      </c>
      <c r="M1536" t="inlineStr">
        <is>
          <t>UNKNOWN</t>
        </is>
      </c>
      <c r="N1536" t="inlineStr">
        <is>
          <t>DEFAULT</t>
        </is>
      </c>
      <c r="Q1536" t="n">
        <v>0</v>
      </c>
      <c r="R1536" t="inlineStr">
        <is>
          <t>AUD</t>
        </is>
      </c>
      <c r="S1536" t="n">
        <v>0</v>
      </c>
      <c r="T1536" t="inlineStr">
        <is>
          <t>AUD</t>
        </is>
      </c>
      <c r="U1536" t="n">
        <v>0</v>
      </c>
    </row>
    <row r="1537">
      <c r="A1537" s="5" t="inlineStr">
        <is>
          <t>01a152b9-8733-770e-a236-b5d166ca1b4d</t>
        </is>
      </c>
      <c r="C1537" s="5" t="inlineStr">
        <is>
          <t>01a152b9-6e67-75da-8adb-b03e5d07fd21</t>
        </is>
      </c>
      <c r="D1537" s="4" t="n">
        <v>46314.24598281986</v>
      </c>
      <c r="E1537" s="4" t="n">
        <v>46314.24598281998</v>
      </c>
      <c r="F1537" t="b">
        <v>1</v>
      </c>
      <c r="G1537" t="n">
        <v/>
      </c>
      <c r="H1537" t="inlineStr">
        <is>
          <t>CSS</t>
        </is>
      </c>
      <c r="I1537" t="inlineStr">
        <is>
          <t>Clean Seas Seafood Ltd</t>
        </is>
      </c>
      <c r="J1537" t="inlineStr">
        <is>
          <t>AUD</t>
        </is>
      </c>
      <c r="K1537" s="5" t="inlineStr">
        <is>
          <t>01a152b9-6ee2-7577-bddd-382bc3853fde</t>
        </is>
      </c>
      <c r="M1537" t="inlineStr">
        <is>
          <t>UNKNOWN</t>
        </is>
      </c>
      <c r="N1537" t="inlineStr">
        <is>
          <t>DEFAULT</t>
        </is>
      </c>
      <c r="Q1537" t="n">
        <v>0</v>
      </c>
      <c r="R1537" t="inlineStr">
        <is>
          <t>AUD</t>
        </is>
      </c>
      <c r="S1537" t="n">
        <v>0</v>
      </c>
      <c r="T1537" t="inlineStr">
        <is>
          <t>AUD</t>
        </is>
      </c>
      <c r="U1537" t="n">
        <v>0</v>
      </c>
    </row>
    <row r="1538">
      <c r="A1538" s="5" t="inlineStr">
        <is>
          <t>01a152b9-8737-713a-9db2-dbc4e8af1b33</t>
        </is>
      </c>
      <c r="C1538" s="5" t="inlineStr">
        <is>
          <t>01a152b9-6e67-75da-8adb-b03e5d07fd21</t>
        </is>
      </c>
      <c r="D1538" s="4" t="n">
        <v>46314.24598286543</v>
      </c>
      <c r="E1538" s="4" t="n">
        <v>46314.24598286552</v>
      </c>
      <c r="F1538" t="b">
        <v>1</v>
      </c>
      <c r="G1538" t="n">
        <v/>
      </c>
      <c r="H1538" t="inlineStr">
        <is>
          <t>EME</t>
        </is>
      </c>
      <c r="I1538" t="inlineStr">
        <is>
          <t>Energy Metals Ltd</t>
        </is>
      </c>
      <c r="J1538" t="inlineStr">
        <is>
          <t>AUD</t>
        </is>
      </c>
      <c r="K1538" s="5" t="inlineStr">
        <is>
          <t>01a152b9-6ee2-7577-bddd-382bc3853fde</t>
        </is>
      </c>
      <c r="M1538" t="inlineStr">
        <is>
          <t>UNKNOWN</t>
        </is>
      </c>
      <c r="N1538" t="inlineStr">
        <is>
          <t>DEFAULT</t>
        </is>
      </c>
      <c r="Q1538" t="n">
        <v>0</v>
      </c>
      <c r="R1538" t="inlineStr">
        <is>
          <t>AUD</t>
        </is>
      </c>
      <c r="S1538" t="n">
        <v>0</v>
      </c>
      <c r="T1538" t="inlineStr">
        <is>
          <t>AUD</t>
        </is>
      </c>
      <c r="U1538" t="n">
        <v>0</v>
      </c>
    </row>
    <row r="1539">
      <c r="A1539" s="5" t="inlineStr">
        <is>
          <t>01a152b9-873a-73e6-bc4a-c0a5b5856375</t>
        </is>
      </c>
      <c r="C1539" s="5" t="inlineStr">
        <is>
          <t>01a152b9-6e67-75da-8adb-b03e5d07fd21</t>
        </is>
      </c>
      <c r="D1539" s="4" t="n">
        <v>46314.2459829002</v>
      </c>
      <c r="E1539" s="4" t="n">
        <v>46314.24598290029</v>
      </c>
      <c r="F1539" t="b">
        <v>1</v>
      </c>
      <c r="G1539" t="n">
        <v/>
      </c>
      <c r="H1539" t="inlineStr">
        <is>
          <t>UNT</t>
        </is>
      </c>
      <c r="I1539" t="inlineStr">
        <is>
          <t>Unith Ltd</t>
        </is>
      </c>
      <c r="J1539" t="inlineStr">
        <is>
          <t>AUD</t>
        </is>
      </c>
      <c r="K1539" s="5" t="inlineStr">
        <is>
          <t>01a152b9-6ee2-7577-bddd-382bc3853fde</t>
        </is>
      </c>
      <c r="M1539" t="inlineStr">
        <is>
          <t>UNKNOWN</t>
        </is>
      </c>
      <c r="N1539" t="inlineStr">
        <is>
          <t>DEFAULT</t>
        </is>
      </c>
      <c r="Q1539" t="n">
        <v>0</v>
      </c>
      <c r="R1539" t="inlineStr">
        <is>
          <t>AUD</t>
        </is>
      </c>
      <c r="S1539" t="n">
        <v>0</v>
      </c>
      <c r="T1539" t="inlineStr">
        <is>
          <t>AUD</t>
        </is>
      </c>
      <c r="U1539" t="n">
        <v>0</v>
      </c>
    </row>
    <row r="1540">
      <c r="A1540" s="5" t="inlineStr">
        <is>
          <t>01a152b9-873d-7494-9d9b-e61c3eee7a62</t>
        </is>
      </c>
      <c r="C1540" s="5" t="inlineStr">
        <is>
          <t>01a152b9-6e67-75da-8adb-b03e5d07fd21</t>
        </is>
      </c>
      <c r="D1540" s="4" t="n">
        <v>46314.24598294017</v>
      </c>
      <c r="E1540" s="4" t="n">
        <v>46314.24598294029</v>
      </c>
      <c r="F1540" t="b">
        <v>1</v>
      </c>
      <c r="G1540" t="n">
        <v/>
      </c>
      <c r="H1540" t="inlineStr">
        <is>
          <t>KNB</t>
        </is>
      </c>
      <c r="I1540" t="inlineStr">
        <is>
          <t>Koonenberry Gold Ltd</t>
        </is>
      </c>
      <c r="J1540" t="inlineStr">
        <is>
          <t>AUD</t>
        </is>
      </c>
      <c r="K1540" s="5" t="inlineStr">
        <is>
          <t>01a152b9-6ee2-7577-bddd-382bc3853fde</t>
        </is>
      </c>
      <c r="M1540" t="inlineStr">
        <is>
          <t>UNKNOWN</t>
        </is>
      </c>
      <c r="N1540" t="inlineStr">
        <is>
          <t>DEFAULT</t>
        </is>
      </c>
      <c r="Q1540" t="n">
        <v>0</v>
      </c>
      <c r="R1540" t="inlineStr">
        <is>
          <t>AUD</t>
        </is>
      </c>
      <c r="S1540" t="n">
        <v>0</v>
      </c>
      <c r="T1540" t="inlineStr">
        <is>
          <t>AUD</t>
        </is>
      </c>
      <c r="U1540" t="n">
        <v>0</v>
      </c>
    </row>
    <row r="1541">
      <c r="A1541" s="5" t="inlineStr">
        <is>
          <t>01a152b9-8741-76cc-aed0-e806b92dbf66</t>
        </is>
      </c>
      <c r="C1541" s="5" t="inlineStr">
        <is>
          <t>01a152b9-6e67-75da-8adb-b03e5d07fd21</t>
        </is>
      </c>
      <c r="D1541" s="4" t="n">
        <v>46314.24598298209</v>
      </c>
      <c r="E1541" s="4" t="n">
        <v>46314.24598298219</v>
      </c>
      <c r="F1541" t="b">
        <v>1</v>
      </c>
      <c r="G1541" t="n">
        <v/>
      </c>
      <c r="H1541" t="inlineStr">
        <is>
          <t>ZNC</t>
        </is>
      </c>
      <c r="I1541" t="inlineStr">
        <is>
          <t>Zenith Minerals Ltd</t>
        </is>
      </c>
      <c r="J1541" t="inlineStr">
        <is>
          <t>AUD</t>
        </is>
      </c>
      <c r="K1541" s="5" t="inlineStr">
        <is>
          <t>01a152b9-6ee2-7577-bddd-382bc3853fde</t>
        </is>
      </c>
      <c r="M1541" t="inlineStr">
        <is>
          <t>UNKNOWN</t>
        </is>
      </c>
      <c r="N1541" t="inlineStr">
        <is>
          <t>DEFAULT</t>
        </is>
      </c>
      <c r="Q1541" t="n">
        <v>0</v>
      </c>
      <c r="R1541" t="inlineStr">
        <is>
          <t>AUD</t>
        </is>
      </c>
      <c r="S1541" t="n">
        <v>0</v>
      </c>
      <c r="T1541" t="inlineStr">
        <is>
          <t>AUD</t>
        </is>
      </c>
      <c r="U1541" t="n">
        <v>0</v>
      </c>
    </row>
    <row r="1542">
      <c r="A1542" s="5" t="inlineStr">
        <is>
          <t>01a152b9-8744-76c2-a0c0-11b9f5712330</t>
        </is>
      </c>
      <c r="C1542" s="5" t="inlineStr">
        <is>
          <t>01a152b9-6e67-75da-8adb-b03e5d07fd21</t>
        </is>
      </c>
      <c r="D1542" s="4" t="n">
        <v>46314.24598301829</v>
      </c>
      <c r="E1542" s="4" t="n">
        <v>46314.24598301838</v>
      </c>
      <c r="F1542" t="b">
        <v>1</v>
      </c>
      <c r="G1542" t="n">
        <v/>
      </c>
      <c r="H1542" t="inlineStr">
        <is>
          <t>EPM</t>
        </is>
      </c>
      <c r="I1542" t="inlineStr">
        <is>
          <t>Eclipse Metals Ltd</t>
        </is>
      </c>
      <c r="J1542" t="inlineStr">
        <is>
          <t>AUD</t>
        </is>
      </c>
      <c r="K1542" s="5" t="inlineStr">
        <is>
          <t>01a152b9-6ee2-7577-bddd-382bc3853fde</t>
        </is>
      </c>
      <c r="M1542" t="inlineStr">
        <is>
          <t>UNKNOWN</t>
        </is>
      </c>
      <c r="N1542" t="inlineStr">
        <is>
          <t>DEFAULT</t>
        </is>
      </c>
      <c r="Q1542" t="n">
        <v>0</v>
      </c>
      <c r="R1542" t="inlineStr">
        <is>
          <t>AUD</t>
        </is>
      </c>
      <c r="S1542" t="n">
        <v>0</v>
      </c>
      <c r="T1542" t="inlineStr">
        <is>
          <t>AUD</t>
        </is>
      </c>
      <c r="U1542" t="n">
        <v>0</v>
      </c>
    </row>
    <row r="1543">
      <c r="A1543" s="5" t="inlineStr">
        <is>
          <t>01a152b9-8747-742d-8c0b-68eb85fdbcef</t>
        </is>
      </c>
      <c r="C1543" s="5" t="inlineStr">
        <is>
          <t>01a152b9-6e67-75da-8adb-b03e5d07fd21</t>
        </is>
      </c>
      <c r="D1543" s="4" t="n">
        <v>46314.24598305557</v>
      </c>
      <c r="E1543" s="4" t="n">
        <v>46314.24598305566</v>
      </c>
      <c r="F1543" t="b">
        <v>1</v>
      </c>
      <c r="G1543" t="n">
        <v/>
      </c>
      <c r="H1543" t="inlineStr">
        <is>
          <t>CST</t>
        </is>
      </c>
      <c r="I1543" t="inlineStr">
        <is>
          <t>Castile Resources Ltd</t>
        </is>
      </c>
      <c r="J1543" t="inlineStr">
        <is>
          <t>AUD</t>
        </is>
      </c>
      <c r="K1543" s="5" t="inlineStr">
        <is>
          <t>01a152b9-6ee2-7577-bddd-382bc3853fde</t>
        </is>
      </c>
      <c r="M1543" t="inlineStr">
        <is>
          <t>UNKNOWN</t>
        </is>
      </c>
      <c r="N1543" t="inlineStr">
        <is>
          <t>DEFAULT</t>
        </is>
      </c>
      <c r="Q1543" t="n">
        <v>0</v>
      </c>
      <c r="R1543" t="inlineStr">
        <is>
          <t>AUD</t>
        </is>
      </c>
      <c r="S1543" t="n">
        <v>0</v>
      </c>
      <c r="T1543" t="inlineStr">
        <is>
          <t>AUD</t>
        </is>
      </c>
      <c r="U1543" t="n">
        <v>0</v>
      </c>
    </row>
    <row r="1544">
      <c r="A1544" s="5" t="inlineStr">
        <is>
          <t>01a152b9-874b-72f6-bba5-8f111d05b140</t>
        </is>
      </c>
      <c r="C1544" s="5" t="inlineStr">
        <is>
          <t>01a152b9-6e67-75da-8adb-b03e5d07fd21</t>
        </is>
      </c>
      <c r="D1544" s="4" t="n">
        <v>46314.24598309344</v>
      </c>
      <c r="E1544" s="4" t="n">
        <v>46314.24598309353</v>
      </c>
      <c r="F1544" t="b">
        <v>1</v>
      </c>
      <c r="G1544" t="n">
        <v/>
      </c>
      <c r="H1544" t="inlineStr">
        <is>
          <t>IXU</t>
        </is>
      </c>
      <c r="I1544" t="inlineStr">
        <is>
          <t>Ixup Ltd</t>
        </is>
      </c>
      <c r="J1544" t="inlineStr">
        <is>
          <t>AUD</t>
        </is>
      </c>
      <c r="K1544" s="5" t="inlineStr">
        <is>
          <t>01a152b9-6ee2-7577-bddd-382bc3853fde</t>
        </is>
      </c>
      <c r="M1544" t="inlineStr">
        <is>
          <t>UNKNOWN</t>
        </is>
      </c>
      <c r="N1544" t="inlineStr">
        <is>
          <t>DEFAULT</t>
        </is>
      </c>
      <c r="Q1544" t="n">
        <v>0</v>
      </c>
      <c r="R1544" t="inlineStr">
        <is>
          <t>AUD</t>
        </is>
      </c>
      <c r="S1544" t="n">
        <v>0</v>
      </c>
      <c r="T1544" t="inlineStr">
        <is>
          <t>AUD</t>
        </is>
      </c>
      <c r="U1544" t="n">
        <v>0</v>
      </c>
    </row>
    <row r="1545">
      <c r="A1545" s="5" t="inlineStr">
        <is>
          <t>01a152b9-874e-71f1-8141-e947fc0a1fab</t>
        </is>
      </c>
      <c r="C1545" s="5" t="inlineStr">
        <is>
          <t>01a152b9-6e67-75da-8adb-b03e5d07fd21</t>
        </is>
      </c>
      <c r="D1545" s="4" t="n">
        <v>46314.24598313541</v>
      </c>
      <c r="E1545" s="4" t="n">
        <v>46314.24598313552</v>
      </c>
      <c r="F1545" t="b">
        <v>1</v>
      </c>
      <c r="G1545" t="n">
        <v/>
      </c>
      <c r="H1545" t="inlineStr">
        <is>
          <t>HHR</t>
        </is>
      </c>
      <c r="I1545" t="inlineStr">
        <is>
          <t>Hartshead Resources NL</t>
        </is>
      </c>
      <c r="J1545" t="inlineStr">
        <is>
          <t>AUD</t>
        </is>
      </c>
      <c r="K1545" s="5" t="inlineStr">
        <is>
          <t>01a152b9-6ee2-7577-bddd-382bc3853fde</t>
        </is>
      </c>
      <c r="M1545" t="inlineStr">
        <is>
          <t>UNKNOWN</t>
        </is>
      </c>
      <c r="N1545" t="inlineStr">
        <is>
          <t>DEFAULT</t>
        </is>
      </c>
      <c r="Q1545" t="n">
        <v>0</v>
      </c>
      <c r="R1545" t="inlineStr">
        <is>
          <t>AUD</t>
        </is>
      </c>
      <c r="S1545" t="n">
        <v>0</v>
      </c>
      <c r="T1545" t="inlineStr">
        <is>
          <t>AUD</t>
        </is>
      </c>
      <c r="U1545" t="n">
        <v>0</v>
      </c>
    </row>
    <row r="1546">
      <c r="A1546" s="5" t="inlineStr">
        <is>
          <t>01a152b9-8752-770d-a34b-1fb64176e87a</t>
        </is>
      </c>
      <c r="C1546" s="5" t="inlineStr">
        <is>
          <t>01a152b9-6e67-75da-8adb-b03e5d07fd21</t>
        </is>
      </c>
      <c r="D1546" s="4" t="n">
        <v>46314.24598317481</v>
      </c>
      <c r="E1546" s="4" t="n">
        <v>46314.24598317489</v>
      </c>
      <c r="F1546" t="b">
        <v>1</v>
      </c>
      <c r="G1546" t="n">
        <v/>
      </c>
      <c r="H1546" t="inlineStr">
        <is>
          <t>EMB</t>
        </is>
      </c>
      <c r="I1546" t="inlineStr">
        <is>
          <t>Embelton Ltd</t>
        </is>
      </c>
      <c r="J1546" t="inlineStr">
        <is>
          <t>AUD</t>
        </is>
      </c>
      <c r="K1546" s="5" t="inlineStr">
        <is>
          <t>01a152b9-6ee2-7577-bddd-382bc3853fde</t>
        </is>
      </c>
      <c r="M1546" t="inlineStr">
        <is>
          <t>UNKNOWN</t>
        </is>
      </c>
      <c r="N1546" t="inlineStr">
        <is>
          <t>DEFAULT</t>
        </is>
      </c>
      <c r="Q1546" t="n">
        <v>0</v>
      </c>
      <c r="R1546" t="inlineStr">
        <is>
          <t>AUD</t>
        </is>
      </c>
      <c r="S1546" t="n">
        <v>0</v>
      </c>
      <c r="T1546" t="inlineStr">
        <is>
          <t>AUD</t>
        </is>
      </c>
      <c r="U1546" t="n">
        <v>0</v>
      </c>
    </row>
    <row r="1547">
      <c r="A1547" s="5" t="inlineStr">
        <is>
          <t>01a152b9-8755-76a5-90d2-c9137c4baa88</t>
        </is>
      </c>
      <c r="C1547" s="5" t="inlineStr">
        <is>
          <t>01a152b9-6e67-75da-8adb-b03e5d07fd21</t>
        </is>
      </c>
      <c r="D1547" s="4" t="n">
        <v>46314.24598321453</v>
      </c>
      <c r="E1547" s="4" t="n">
        <v>46314.24598321464</v>
      </c>
      <c r="F1547" t="b">
        <v>1</v>
      </c>
      <c r="G1547" t="n">
        <v/>
      </c>
      <c r="H1547" t="inlineStr">
        <is>
          <t>TGH</t>
        </is>
      </c>
      <c r="I1547" t="inlineStr">
        <is>
          <t>Terragen Holdings Ltd</t>
        </is>
      </c>
      <c r="J1547" t="inlineStr">
        <is>
          <t>AUD</t>
        </is>
      </c>
      <c r="K1547" s="5" t="inlineStr">
        <is>
          <t>01a152b9-6ee2-7577-bddd-382bc3853fde</t>
        </is>
      </c>
      <c r="M1547" t="inlineStr">
        <is>
          <t>UNKNOWN</t>
        </is>
      </c>
      <c r="N1547" t="inlineStr">
        <is>
          <t>DEFAULT</t>
        </is>
      </c>
      <c r="Q1547" t="n">
        <v>0</v>
      </c>
      <c r="R1547" t="inlineStr">
        <is>
          <t>AUD</t>
        </is>
      </c>
      <c r="S1547" t="n">
        <v>0</v>
      </c>
      <c r="T1547" t="inlineStr">
        <is>
          <t>AUD</t>
        </is>
      </c>
      <c r="U1547" t="n">
        <v>0</v>
      </c>
    </row>
    <row r="1548">
      <c r="A1548" s="5" t="inlineStr">
        <is>
          <t>01a152b9-8759-7705-9c21-55b9a2ff5d72</t>
        </is>
      </c>
      <c r="C1548" s="5" t="inlineStr">
        <is>
          <t>01a152b9-6e67-75da-8adb-b03e5d07fd21</t>
        </is>
      </c>
      <c r="D1548" s="4" t="n">
        <v>46314.24598325448</v>
      </c>
      <c r="E1548" s="4" t="n">
        <v>46314.24598325461</v>
      </c>
      <c r="F1548" t="b">
        <v>1</v>
      </c>
      <c r="G1548" t="n">
        <v/>
      </c>
      <c r="H1548" t="inlineStr">
        <is>
          <t>RPM</t>
        </is>
      </c>
      <c r="I1548" t="inlineStr">
        <is>
          <t>RPM Automotive Group Ltd</t>
        </is>
      </c>
      <c r="J1548" t="inlineStr">
        <is>
          <t>AUD</t>
        </is>
      </c>
      <c r="K1548" s="5" t="inlineStr">
        <is>
          <t>01a152b9-6ee2-7577-bddd-382bc3853fde</t>
        </is>
      </c>
      <c r="M1548" t="inlineStr">
        <is>
          <t>UNKNOWN</t>
        </is>
      </c>
      <c r="N1548" t="inlineStr">
        <is>
          <t>DEFAULT</t>
        </is>
      </c>
      <c r="Q1548" t="n">
        <v>0</v>
      </c>
      <c r="R1548" t="inlineStr">
        <is>
          <t>AUD</t>
        </is>
      </c>
      <c r="S1548" t="n">
        <v>0</v>
      </c>
      <c r="T1548" t="inlineStr">
        <is>
          <t>AUD</t>
        </is>
      </c>
      <c r="U1548" t="n">
        <v>0</v>
      </c>
    </row>
    <row r="1549">
      <c r="A1549" s="5" t="inlineStr">
        <is>
          <t>01a152b9-875c-748a-8042-de9c457877f4</t>
        </is>
      </c>
      <c r="C1549" s="5" t="inlineStr">
        <is>
          <t>01a152b9-6e67-75da-8adb-b03e5d07fd21</t>
        </is>
      </c>
      <c r="D1549" s="4" t="n">
        <v>46314.24598329341</v>
      </c>
      <c r="E1549" s="4" t="n">
        <v>46314.24598329352</v>
      </c>
      <c r="F1549" t="b">
        <v>1</v>
      </c>
      <c r="G1549" t="n">
        <v/>
      </c>
      <c r="H1549" t="inlineStr">
        <is>
          <t>JAV</t>
        </is>
      </c>
      <c r="I1549" t="inlineStr">
        <is>
          <t>Javelin Minerals Ltd</t>
        </is>
      </c>
      <c r="J1549" t="inlineStr">
        <is>
          <t>AUD</t>
        </is>
      </c>
      <c r="K1549" s="5" t="inlineStr">
        <is>
          <t>01a152b9-6ee2-7577-bddd-382bc3853fde</t>
        </is>
      </c>
      <c r="M1549" t="inlineStr">
        <is>
          <t>UNKNOWN</t>
        </is>
      </c>
      <c r="N1549" t="inlineStr">
        <is>
          <t>DEFAULT</t>
        </is>
      </c>
      <c r="Q1549" t="n">
        <v>0</v>
      </c>
      <c r="R1549" t="inlineStr">
        <is>
          <t>AUD</t>
        </is>
      </c>
      <c r="S1549" t="n">
        <v>0</v>
      </c>
      <c r="T1549" t="inlineStr">
        <is>
          <t>AUD</t>
        </is>
      </c>
      <c r="U1549" t="n">
        <v>0</v>
      </c>
    </row>
    <row r="1550">
      <c r="A1550" s="5" t="inlineStr">
        <is>
          <t>01a152b9-875f-7449-b576-a8a07e5b12e1</t>
        </is>
      </c>
      <c r="C1550" s="5" t="inlineStr">
        <is>
          <t>01a152b9-6e67-75da-8adb-b03e5d07fd21</t>
        </is>
      </c>
      <c r="D1550" s="4" t="n">
        <v>46314.24598332957</v>
      </c>
      <c r="E1550" s="4" t="n">
        <v>46314.24598332967</v>
      </c>
      <c r="F1550" t="b">
        <v>1</v>
      </c>
      <c r="G1550" t="n">
        <v/>
      </c>
      <c r="H1550" t="inlineStr">
        <is>
          <t>JRHG</t>
        </is>
      </c>
      <c r="I1550" t="inlineStr">
        <is>
          <t>Jpmorgan GL Re En in EQH Active ETF (Managed Fund)</t>
        </is>
      </c>
      <c r="J1550" t="inlineStr">
        <is>
          <t>AUD</t>
        </is>
      </c>
      <c r="K1550" s="5" t="inlineStr">
        <is>
          <t>01a152b9-6ee2-7577-bddd-382bc3853fde</t>
        </is>
      </c>
      <c r="M1550" t="inlineStr">
        <is>
          <t>UNKNOWN</t>
        </is>
      </c>
      <c r="N1550" t="inlineStr">
        <is>
          <t>DEFAULT</t>
        </is>
      </c>
      <c r="Q1550" t="n">
        <v>0</v>
      </c>
      <c r="R1550" t="inlineStr">
        <is>
          <t>AUD</t>
        </is>
      </c>
      <c r="S1550" t="n">
        <v>0</v>
      </c>
      <c r="T1550" t="inlineStr">
        <is>
          <t>AUD</t>
        </is>
      </c>
      <c r="U1550" t="n">
        <v>0</v>
      </c>
    </row>
    <row r="1551">
      <c r="A1551" s="5" t="inlineStr">
        <is>
          <t>01a152b9-8762-73c0-95cb-5456edb36654</t>
        </is>
      </c>
      <c r="C1551" s="5" t="inlineStr">
        <is>
          <t>01a152b9-6e67-75da-8adb-b03e5d07fd21</t>
        </is>
      </c>
      <c r="D1551" s="4" t="n">
        <v>46314.24598336482</v>
      </c>
      <c r="E1551" s="4" t="n">
        <v>46314.2459833649</v>
      </c>
      <c r="F1551" t="b">
        <v>1</v>
      </c>
      <c r="G1551" t="n">
        <v/>
      </c>
      <c r="H1551" t="inlineStr">
        <is>
          <t>FNX</t>
        </is>
      </c>
      <c r="I1551" t="inlineStr">
        <is>
          <t>Finexia Financial Group Ltd</t>
        </is>
      </c>
      <c r="J1551" t="inlineStr">
        <is>
          <t>AUD</t>
        </is>
      </c>
      <c r="K1551" s="5" t="inlineStr">
        <is>
          <t>01a152b9-6ee2-7577-bddd-382bc3853fde</t>
        </is>
      </c>
      <c r="M1551" t="inlineStr">
        <is>
          <t>UNKNOWN</t>
        </is>
      </c>
      <c r="N1551" t="inlineStr">
        <is>
          <t>DEFAULT</t>
        </is>
      </c>
      <c r="Q1551" t="n">
        <v>0</v>
      </c>
      <c r="R1551" t="inlineStr">
        <is>
          <t>AUD</t>
        </is>
      </c>
      <c r="S1551" t="n">
        <v>0</v>
      </c>
      <c r="T1551" t="inlineStr">
        <is>
          <t>AUD</t>
        </is>
      </c>
      <c r="U1551" t="n">
        <v>0</v>
      </c>
    </row>
    <row r="1552">
      <c r="A1552" s="5" t="inlineStr">
        <is>
          <t>01a152b9-8765-71ac-b6f5-99954b276d2c</t>
        </is>
      </c>
      <c r="C1552" s="5" t="inlineStr">
        <is>
          <t>01a152b9-6e67-75da-8adb-b03e5d07fd21</t>
        </is>
      </c>
      <c r="D1552" s="4" t="n">
        <v>46314.24598340219</v>
      </c>
      <c r="E1552" s="4" t="n">
        <v>46314.24598340228</v>
      </c>
      <c r="F1552" t="b">
        <v>1</v>
      </c>
      <c r="G1552" t="n">
        <v/>
      </c>
      <c r="H1552" t="inlineStr">
        <is>
          <t>LGM</t>
        </is>
      </c>
      <c r="I1552" t="inlineStr">
        <is>
          <t>Legacy Minerals Holdings Ltd</t>
        </is>
      </c>
      <c r="J1552" t="inlineStr">
        <is>
          <t>AUD</t>
        </is>
      </c>
      <c r="K1552" s="5" t="inlineStr">
        <is>
          <t>01a152b9-6ee2-7577-bddd-382bc3853fde</t>
        </is>
      </c>
      <c r="M1552" t="inlineStr">
        <is>
          <t>UNKNOWN</t>
        </is>
      </c>
      <c r="N1552" t="inlineStr">
        <is>
          <t>DEFAULT</t>
        </is>
      </c>
      <c r="Q1552" t="n">
        <v>0</v>
      </c>
      <c r="R1552" t="inlineStr">
        <is>
          <t>AUD</t>
        </is>
      </c>
      <c r="S1552" t="n">
        <v>0</v>
      </c>
      <c r="T1552" t="inlineStr">
        <is>
          <t>AUD</t>
        </is>
      </c>
      <c r="U1552" t="n">
        <v>0</v>
      </c>
    </row>
    <row r="1553">
      <c r="A1553" s="5" t="inlineStr">
        <is>
          <t>01a152b9-8769-77b2-b988-1b682dae14fd</t>
        </is>
      </c>
      <c r="C1553" s="5" t="inlineStr">
        <is>
          <t>01a152b9-6e67-75da-8adb-b03e5d07fd21</t>
        </is>
      </c>
      <c r="D1553" s="4" t="n">
        <v>46314.24598344145</v>
      </c>
      <c r="E1553" s="4" t="n">
        <v>46314.24598344155</v>
      </c>
      <c r="F1553" t="b">
        <v>1</v>
      </c>
      <c r="G1553" t="n">
        <v/>
      </c>
      <c r="H1553" t="inlineStr">
        <is>
          <t>FPP</t>
        </is>
      </c>
      <c r="I1553" t="inlineStr">
        <is>
          <t>Fat Prophets Global Property Fund</t>
        </is>
      </c>
      <c r="J1553" t="inlineStr">
        <is>
          <t>AUD</t>
        </is>
      </c>
      <c r="K1553" s="5" t="inlineStr">
        <is>
          <t>01a152b9-6ee2-7577-bddd-382bc3853fde</t>
        </is>
      </c>
      <c r="M1553" t="inlineStr">
        <is>
          <t>UNKNOWN</t>
        </is>
      </c>
      <c r="N1553" t="inlineStr">
        <is>
          <t>DEFAULT</t>
        </is>
      </c>
      <c r="Q1553" t="n">
        <v>0</v>
      </c>
      <c r="R1553" t="inlineStr">
        <is>
          <t>AUD</t>
        </is>
      </c>
      <c r="S1553" t="n">
        <v>0</v>
      </c>
      <c r="T1553" t="inlineStr">
        <is>
          <t>AUD</t>
        </is>
      </c>
      <c r="U1553" t="n">
        <v>0</v>
      </c>
    </row>
    <row r="1554">
      <c r="A1554" s="5" t="inlineStr">
        <is>
          <t>01a152b9-876c-7570-bd77-7edf7f4b8b26</t>
        </is>
      </c>
      <c r="C1554" s="5" t="inlineStr">
        <is>
          <t>01a152b9-6e67-75da-8adb-b03e5d07fd21</t>
        </is>
      </c>
      <c r="D1554" s="4" t="n">
        <v>46314.24598348187</v>
      </c>
      <c r="E1554" s="4" t="n">
        <v>46314.24598348198</v>
      </c>
      <c r="F1554" t="b">
        <v>1</v>
      </c>
      <c r="G1554" t="n">
        <v/>
      </c>
      <c r="H1554" t="inlineStr">
        <is>
          <t>NOV</t>
        </is>
      </c>
      <c r="I1554" t="inlineStr">
        <is>
          <t>Novatti Group Ltd</t>
        </is>
      </c>
      <c r="J1554" t="inlineStr">
        <is>
          <t>AUD</t>
        </is>
      </c>
      <c r="K1554" s="5" t="inlineStr">
        <is>
          <t>01a152b9-6ee2-7577-bddd-382bc3853fde</t>
        </is>
      </c>
      <c r="M1554" t="inlineStr">
        <is>
          <t>UNKNOWN</t>
        </is>
      </c>
      <c r="N1554" t="inlineStr">
        <is>
          <t>DEFAULT</t>
        </is>
      </c>
      <c r="Q1554" t="n">
        <v>0</v>
      </c>
      <c r="R1554" t="inlineStr">
        <is>
          <t>AUD</t>
        </is>
      </c>
      <c r="S1554" t="n">
        <v>0</v>
      </c>
      <c r="T1554" t="inlineStr">
        <is>
          <t>AUD</t>
        </is>
      </c>
      <c r="U1554" t="n">
        <v>0</v>
      </c>
    </row>
    <row r="1555">
      <c r="A1555" s="5" t="inlineStr">
        <is>
          <t>01a152b9-8770-7254-b2dd-5ed6d90e4dbd</t>
        </is>
      </c>
      <c r="C1555" s="5" t="inlineStr">
        <is>
          <t>01a152b9-6e67-75da-8adb-b03e5d07fd21</t>
        </is>
      </c>
      <c r="D1555" s="4" t="n">
        <v>46314.24598352278</v>
      </c>
      <c r="E1555" s="4" t="n">
        <v>46314.24598352289</v>
      </c>
      <c r="F1555" t="b">
        <v>1</v>
      </c>
      <c r="G1555" t="n">
        <v/>
      </c>
      <c r="H1555" t="inlineStr">
        <is>
          <t>INV</t>
        </is>
      </c>
      <c r="I1555" t="inlineStr">
        <is>
          <t>Investsmart Group Ltd</t>
        </is>
      </c>
      <c r="J1555" t="inlineStr">
        <is>
          <t>AUD</t>
        </is>
      </c>
      <c r="K1555" s="5" t="inlineStr">
        <is>
          <t>01a152b9-6ee2-7577-bddd-382bc3853fde</t>
        </is>
      </c>
      <c r="M1555" t="inlineStr">
        <is>
          <t>UNKNOWN</t>
        </is>
      </c>
      <c r="N1555" t="inlineStr">
        <is>
          <t>DEFAULT</t>
        </is>
      </c>
      <c r="Q1555" t="n">
        <v>0</v>
      </c>
      <c r="R1555" t="inlineStr">
        <is>
          <t>AUD</t>
        </is>
      </c>
      <c r="S1555" t="n">
        <v>0</v>
      </c>
      <c r="T1555" t="inlineStr">
        <is>
          <t>AUD</t>
        </is>
      </c>
      <c r="U1555" t="n">
        <v>0</v>
      </c>
    </row>
    <row r="1556">
      <c r="A1556" s="5" t="inlineStr">
        <is>
          <t>01a152b9-8774-73d4-9c04-23abe6a0eca3</t>
        </is>
      </c>
      <c r="C1556" s="5" t="inlineStr">
        <is>
          <t>01a152b9-6e67-75da-8adb-b03e5d07fd21</t>
        </is>
      </c>
      <c r="D1556" s="4" t="n">
        <v>46314.24598356971</v>
      </c>
      <c r="E1556" s="4" t="n">
        <v>46314.24598356988</v>
      </c>
      <c r="F1556" t="b">
        <v>1</v>
      </c>
      <c r="G1556" t="n">
        <v/>
      </c>
      <c r="H1556" t="inlineStr">
        <is>
          <t>GSN</t>
        </is>
      </c>
      <c r="I1556" t="inlineStr">
        <is>
          <t>Great Southern Mining Ltd</t>
        </is>
      </c>
      <c r="J1556" t="inlineStr">
        <is>
          <t>AUD</t>
        </is>
      </c>
      <c r="K1556" s="5" t="inlineStr">
        <is>
          <t>01a152b9-6ee2-7577-bddd-382bc3853fde</t>
        </is>
      </c>
      <c r="M1556" t="inlineStr">
        <is>
          <t>UNKNOWN</t>
        </is>
      </c>
      <c r="N1556" t="inlineStr">
        <is>
          <t>DEFAULT</t>
        </is>
      </c>
      <c r="Q1556" t="n">
        <v>0</v>
      </c>
      <c r="R1556" t="inlineStr">
        <is>
          <t>AUD</t>
        </is>
      </c>
      <c r="S1556" t="n">
        <v>0</v>
      </c>
      <c r="T1556" t="inlineStr">
        <is>
          <t>AUD</t>
        </is>
      </c>
      <c r="U1556" t="n">
        <v>0</v>
      </c>
    </row>
    <row r="1557">
      <c r="A1557" s="5" t="inlineStr">
        <is>
          <t>01a152b9-8778-74c5-acf5-db625780bea4</t>
        </is>
      </c>
      <c r="C1557" s="5" t="inlineStr">
        <is>
          <t>01a152b9-6e67-75da-8adb-b03e5d07fd21</t>
        </is>
      </c>
      <c r="D1557" s="4" t="n">
        <v>46314.24598362341</v>
      </c>
      <c r="E1557" s="4" t="n">
        <v>46314.24598362359</v>
      </c>
      <c r="F1557" t="b">
        <v>1</v>
      </c>
      <c r="G1557" t="n">
        <v/>
      </c>
      <c r="H1557" t="inlineStr">
        <is>
          <t>BEO</t>
        </is>
      </c>
      <c r="I1557" t="inlineStr">
        <is>
          <t>Beonic Ltd</t>
        </is>
      </c>
      <c r="J1557" t="inlineStr">
        <is>
          <t>AUD</t>
        </is>
      </c>
      <c r="K1557" s="5" t="inlineStr">
        <is>
          <t>01a152b9-6ee2-7577-bddd-382bc3853fde</t>
        </is>
      </c>
      <c r="M1557" t="inlineStr">
        <is>
          <t>UNKNOWN</t>
        </is>
      </c>
      <c r="N1557" t="inlineStr">
        <is>
          <t>DEFAULT</t>
        </is>
      </c>
      <c r="Q1557" t="n">
        <v>0</v>
      </c>
      <c r="R1557" t="inlineStr">
        <is>
          <t>AUD</t>
        </is>
      </c>
      <c r="S1557" t="n">
        <v>0</v>
      </c>
      <c r="T1557" t="inlineStr">
        <is>
          <t>AUD</t>
        </is>
      </c>
      <c r="U1557" t="n">
        <v>0</v>
      </c>
    </row>
    <row r="1558">
      <c r="A1558" s="5" t="inlineStr">
        <is>
          <t>01a152b9-877c-7762-b4af-5f1c0a2b249d</t>
        </is>
      </c>
      <c r="C1558" s="5" t="inlineStr">
        <is>
          <t>01a152b9-6e67-75da-8adb-b03e5d07fd21</t>
        </is>
      </c>
      <c r="D1558" s="4" t="n">
        <v>46314.24598367023</v>
      </c>
      <c r="E1558" s="4" t="n">
        <v>46314.24598367038</v>
      </c>
      <c r="F1558" t="b">
        <v>1</v>
      </c>
      <c r="G1558" t="n">
        <v/>
      </c>
      <c r="H1558" t="inlineStr">
        <is>
          <t>VML</t>
        </is>
      </c>
      <c r="I1558" t="inlineStr">
        <is>
          <t>Vital Metals Ltd</t>
        </is>
      </c>
      <c r="J1558" t="inlineStr">
        <is>
          <t>AUD</t>
        </is>
      </c>
      <c r="K1558" s="5" t="inlineStr">
        <is>
          <t>01a152b9-6ee2-7577-bddd-382bc3853fde</t>
        </is>
      </c>
      <c r="M1558" t="inlineStr">
        <is>
          <t>UNKNOWN</t>
        </is>
      </c>
      <c r="N1558" t="inlineStr">
        <is>
          <t>DEFAULT</t>
        </is>
      </c>
      <c r="Q1558" t="n">
        <v>0</v>
      </c>
      <c r="R1558" t="inlineStr">
        <is>
          <t>AUD</t>
        </is>
      </c>
      <c r="S1558" t="n">
        <v>0</v>
      </c>
      <c r="T1558" t="inlineStr">
        <is>
          <t>AUD</t>
        </is>
      </c>
      <c r="U1558" t="n">
        <v>0</v>
      </c>
    </row>
    <row r="1559">
      <c r="A1559" s="5" t="inlineStr">
        <is>
          <t>01a152b9-8781-735d-9a81-8ecd1f4320e9</t>
        </is>
      </c>
      <c r="C1559" s="5" t="inlineStr">
        <is>
          <t>01a152b9-6e67-75da-8adb-b03e5d07fd21</t>
        </is>
      </c>
      <c r="D1559" s="4" t="n">
        <v>46314.2459837183</v>
      </c>
      <c r="E1559" s="4" t="n">
        <v>46314.24598371845</v>
      </c>
      <c r="F1559" t="b">
        <v>1</v>
      </c>
      <c r="G1559" t="n">
        <v/>
      </c>
      <c r="H1559" t="inlineStr">
        <is>
          <t>CLU</t>
        </is>
      </c>
      <c r="I1559" t="inlineStr">
        <is>
          <t>Cluey Ltd</t>
        </is>
      </c>
      <c r="J1559" t="inlineStr">
        <is>
          <t>AUD</t>
        </is>
      </c>
      <c r="K1559" s="5" t="inlineStr">
        <is>
          <t>01a152b9-6ee2-7577-bddd-382bc3853fde</t>
        </is>
      </c>
      <c r="M1559" t="inlineStr">
        <is>
          <t>UNKNOWN</t>
        </is>
      </c>
      <c r="N1559" t="inlineStr">
        <is>
          <t>DEFAULT</t>
        </is>
      </c>
      <c r="Q1559" t="n">
        <v>0</v>
      </c>
      <c r="R1559" t="inlineStr">
        <is>
          <t>AUD</t>
        </is>
      </c>
      <c r="S1559" t="n">
        <v>0</v>
      </c>
      <c r="T1559" t="inlineStr">
        <is>
          <t>AUD</t>
        </is>
      </c>
      <c r="U1559" t="n">
        <v>0</v>
      </c>
    </row>
    <row r="1560">
      <c r="A1560" s="5" t="inlineStr">
        <is>
          <t>01a152b9-8784-75d6-9c07-8f00ef7ec0f9</t>
        </is>
      </c>
      <c r="C1560" s="5" t="inlineStr">
        <is>
          <t>01a152b9-6e67-75da-8adb-b03e5d07fd21</t>
        </is>
      </c>
      <c r="D1560" s="4" t="n">
        <v>46314.24598376305</v>
      </c>
      <c r="E1560" s="4" t="n">
        <v>46314.24598376326</v>
      </c>
      <c r="F1560" t="b">
        <v>1</v>
      </c>
      <c r="G1560" t="n">
        <v/>
      </c>
      <c r="H1560" t="inlineStr">
        <is>
          <t>EXT</t>
        </is>
      </c>
      <c r="I1560" t="inlineStr">
        <is>
          <t>Excite Technology Services Ltd</t>
        </is>
      </c>
      <c r="J1560" t="inlineStr">
        <is>
          <t>AUD</t>
        </is>
      </c>
      <c r="K1560" s="5" t="inlineStr">
        <is>
          <t>01a152b9-6ee2-7577-bddd-382bc3853fde</t>
        </is>
      </c>
      <c r="M1560" t="inlineStr">
        <is>
          <t>UNKNOWN</t>
        </is>
      </c>
      <c r="N1560" t="inlineStr">
        <is>
          <t>DEFAULT</t>
        </is>
      </c>
      <c r="Q1560" t="n">
        <v>0</v>
      </c>
      <c r="R1560" t="inlineStr">
        <is>
          <t>AUD</t>
        </is>
      </c>
      <c r="S1560" t="n">
        <v>0</v>
      </c>
      <c r="T1560" t="inlineStr">
        <is>
          <t>AUD</t>
        </is>
      </c>
      <c r="U1560" t="n">
        <v>0</v>
      </c>
    </row>
    <row r="1561">
      <c r="A1561" s="5" t="inlineStr">
        <is>
          <t>01a152b9-8789-73ad-be95-945220f894ff</t>
        </is>
      </c>
      <c r="C1561" s="5" t="inlineStr">
        <is>
          <t>01a152b9-6e67-75da-8adb-b03e5d07fd21</t>
        </is>
      </c>
      <c r="D1561" s="4" t="n">
        <v>46314.24598381777</v>
      </c>
      <c r="E1561" s="4" t="n">
        <v>46314.24598381795</v>
      </c>
      <c r="F1561" t="b">
        <v>1</v>
      </c>
      <c r="G1561" t="n">
        <v/>
      </c>
      <c r="H1561" t="inlineStr">
        <is>
          <t>CXU</t>
        </is>
      </c>
      <c r="I1561" t="inlineStr">
        <is>
          <t>Cauldron Energy Ltd</t>
        </is>
      </c>
      <c r="J1561" t="inlineStr">
        <is>
          <t>AUD</t>
        </is>
      </c>
      <c r="K1561" s="5" t="inlineStr">
        <is>
          <t>01a152b9-6ee2-7577-bddd-382bc3853fde</t>
        </is>
      </c>
      <c r="M1561" t="inlineStr">
        <is>
          <t>UNKNOWN</t>
        </is>
      </c>
      <c r="N1561" t="inlineStr">
        <is>
          <t>DEFAULT</t>
        </is>
      </c>
      <c r="Q1561" t="n">
        <v>0</v>
      </c>
      <c r="R1561" t="inlineStr">
        <is>
          <t>AUD</t>
        </is>
      </c>
      <c r="S1561" t="n">
        <v>0</v>
      </c>
      <c r="T1561" t="inlineStr">
        <is>
          <t>AUD</t>
        </is>
      </c>
      <c r="U1561" t="n">
        <v>0</v>
      </c>
    </row>
    <row r="1562">
      <c r="A1562" s="5" t="inlineStr">
        <is>
          <t>01a152b9-878d-770e-86db-0f952a5b246b</t>
        </is>
      </c>
      <c r="C1562" s="5" t="inlineStr">
        <is>
          <t>01a152b9-6e67-75da-8adb-b03e5d07fd21</t>
        </is>
      </c>
      <c r="D1562" s="4" t="n">
        <v>46314.24598386383</v>
      </c>
      <c r="E1562" s="4" t="n">
        <v>46314.24598386397</v>
      </c>
      <c r="F1562" t="b">
        <v>1</v>
      </c>
      <c r="G1562" t="n">
        <v/>
      </c>
      <c r="H1562" t="inlineStr">
        <is>
          <t>VR8</t>
        </is>
      </c>
      <c r="I1562" t="inlineStr">
        <is>
          <t>Vanadium Resources Ltd</t>
        </is>
      </c>
      <c r="J1562" t="inlineStr">
        <is>
          <t>AUD</t>
        </is>
      </c>
      <c r="K1562" s="5" t="inlineStr">
        <is>
          <t>01a152b9-6ee2-7577-bddd-382bc3853fde</t>
        </is>
      </c>
      <c r="M1562" t="inlineStr">
        <is>
          <t>UNKNOWN</t>
        </is>
      </c>
      <c r="N1562" t="inlineStr">
        <is>
          <t>DEFAULT</t>
        </is>
      </c>
      <c r="Q1562" t="n">
        <v>0</v>
      </c>
      <c r="R1562" t="inlineStr">
        <is>
          <t>AUD</t>
        </is>
      </c>
      <c r="S1562" t="n">
        <v>0</v>
      </c>
      <c r="T1562" t="inlineStr">
        <is>
          <t>AUD</t>
        </is>
      </c>
      <c r="U1562" t="n">
        <v>0</v>
      </c>
    </row>
    <row r="1563">
      <c r="A1563" s="5" t="inlineStr">
        <is>
          <t>01a152b9-8791-71cf-ad34-15019be3e70d</t>
        </is>
      </c>
      <c r="C1563" s="5" t="inlineStr">
        <is>
          <t>01a152b9-6e67-75da-8adb-b03e5d07fd21</t>
        </is>
      </c>
      <c r="D1563" s="4" t="n">
        <v>46314.24598390982</v>
      </c>
      <c r="E1563" s="4" t="n">
        <v>46314.24598390994</v>
      </c>
      <c r="F1563" t="b">
        <v>1</v>
      </c>
      <c r="G1563" t="n">
        <v/>
      </c>
      <c r="H1563" t="inlineStr">
        <is>
          <t>SOC</t>
        </is>
      </c>
      <c r="I1563" t="inlineStr">
        <is>
          <t>Soco Corporation Ltd</t>
        </is>
      </c>
      <c r="J1563" t="inlineStr">
        <is>
          <t>AUD</t>
        </is>
      </c>
      <c r="K1563" s="5" t="inlineStr">
        <is>
          <t>01a152b9-6ee2-7577-bddd-382bc3853fde</t>
        </is>
      </c>
      <c r="M1563" t="inlineStr">
        <is>
          <t>UNKNOWN</t>
        </is>
      </c>
      <c r="N1563" t="inlineStr">
        <is>
          <t>DEFAULT</t>
        </is>
      </c>
      <c r="Q1563" t="n">
        <v>0</v>
      </c>
      <c r="R1563" t="inlineStr">
        <is>
          <t>AUD</t>
        </is>
      </c>
      <c r="S1563" t="n">
        <v>0</v>
      </c>
      <c r="T1563" t="inlineStr">
        <is>
          <t>AUD</t>
        </is>
      </c>
      <c r="U1563" t="n">
        <v>0</v>
      </c>
    </row>
    <row r="1564">
      <c r="A1564" s="5" t="inlineStr">
        <is>
          <t>01a152b9-8795-77c7-bce5-38c34525039a</t>
        </is>
      </c>
      <c r="C1564" s="5" t="inlineStr">
        <is>
          <t>01a152b9-6e67-75da-8adb-b03e5d07fd21</t>
        </is>
      </c>
      <c r="D1564" s="4" t="n">
        <v>46314.24598395087</v>
      </c>
      <c r="E1564" s="4" t="n">
        <v>46314.24598395098</v>
      </c>
      <c r="F1564" t="b">
        <v>1</v>
      </c>
      <c r="G1564" t="n">
        <v/>
      </c>
      <c r="H1564" t="inlineStr">
        <is>
          <t>LEX</t>
        </is>
      </c>
      <c r="I1564" t="inlineStr">
        <is>
          <t>Lefroy Exploration Ltd</t>
        </is>
      </c>
      <c r="J1564" t="inlineStr">
        <is>
          <t>AUD</t>
        </is>
      </c>
      <c r="K1564" s="5" t="inlineStr">
        <is>
          <t>01a152b9-6ee2-7577-bddd-382bc3853fde</t>
        </is>
      </c>
      <c r="M1564" t="inlineStr">
        <is>
          <t>UNKNOWN</t>
        </is>
      </c>
      <c r="N1564" t="inlineStr">
        <is>
          <t>DEFAULT</t>
        </is>
      </c>
      <c r="Q1564" t="n">
        <v>0</v>
      </c>
      <c r="R1564" t="inlineStr">
        <is>
          <t>AUD</t>
        </is>
      </c>
      <c r="S1564" t="n">
        <v>0</v>
      </c>
      <c r="T1564" t="inlineStr">
        <is>
          <t>AUD</t>
        </is>
      </c>
      <c r="U1564" t="n">
        <v>0</v>
      </c>
    </row>
    <row r="1565">
      <c r="A1565" s="5" t="inlineStr">
        <is>
          <t>01a152b9-8798-770f-8379-880e858c9f2b</t>
        </is>
      </c>
      <c r="C1565" s="5" t="inlineStr">
        <is>
          <t>01a152b9-6e67-75da-8adb-b03e5d07fd21</t>
        </is>
      </c>
      <c r="D1565" s="4" t="n">
        <v>46314.2459839867</v>
      </c>
      <c r="E1565" s="4" t="n">
        <v>46314.24598398682</v>
      </c>
      <c r="F1565" t="b">
        <v>1</v>
      </c>
      <c r="G1565" t="n">
        <v/>
      </c>
      <c r="H1565" t="inlineStr">
        <is>
          <t>RWD</t>
        </is>
      </c>
      <c r="I1565" t="inlineStr">
        <is>
          <t>Reward Minerals Ltd</t>
        </is>
      </c>
      <c r="J1565" t="inlineStr">
        <is>
          <t>AUD</t>
        </is>
      </c>
      <c r="K1565" s="5" t="inlineStr">
        <is>
          <t>01a152b9-6ee2-7577-bddd-382bc3853fde</t>
        </is>
      </c>
      <c r="M1565" t="inlineStr">
        <is>
          <t>UNKNOWN</t>
        </is>
      </c>
      <c r="N1565" t="inlineStr">
        <is>
          <t>DEFAULT</t>
        </is>
      </c>
      <c r="Q1565" t="n">
        <v>0</v>
      </c>
      <c r="R1565" t="inlineStr">
        <is>
          <t>AUD</t>
        </is>
      </c>
      <c r="S1565" t="n">
        <v>0</v>
      </c>
      <c r="T1565" t="inlineStr">
        <is>
          <t>AUD</t>
        </is>
      </c>
      <c r="U1565" t="n">
        <v>0</v>
      </c>
    </row>
    <row r="1566">
      <c r="A1566" s="5" t="inlineStr">
        <is>
          <t>01a152b9-879b-70dd-bacf-c586b685c3c0</t>
        </is>
      </c>
      <c r="C1566" s="5" t="inlineStr">
        <is>
          <t>01a152b9-6e67-75da-8adb-b03e5d07fd21</t>
        </is>
      </c>
      <c r="D1566" s="4" t="n">
        <v>46314.24598402367</v>
      </c>
      <c r="E1566" s="4" t="n">
        <v>46314.24598402377</v>
      </c>
      <c r="F1566" t="b">
        <v>1</v>
      </c>
      <c r="G1566" t="n">
        <v/>
      </c>
      <c r="H1566" t="inlineStr">
        <is>
          <t>FBM</t>
        </is>
      </c>
      <c r="I1566" t="inlineStr">
        <is>
          <t>Future Battery Minerals Ltd</t>
        </is>
      </c>
      <c r="J1566" t="inlineStr">
        <is>
          <t>AUD</t>
        </is>
      </c>
      <c r="K1566" s="5" t="inlineStr">
        <is>
          <t>01a152b9-6ee2-7577-bddd-382bc3853fde</t>
        </is>
      </c>
      <c r="M1566" t="inlineStr">
        <is>
          <t>UNKNOWN</t>
        </is>
      </c>
      <c r="N1566" t="inlineStr">
        <is>
          <t>DEFAULT</t>
        </is>
      </c>
      <c r="Q1566" t="n">
        <v>0</v>
      </c>
      <c r="R1566" t="inlineStr">
        <is>
          <t>AUD</t>
        </is>
      </c>
      <c r="S1566" t="n">
        <v>0</v>
      </c>
      <c r="T1566" t="inlineStr">
        <is>
          <t>AUD</t>
        </is>
      </c>
      <c r="U1566" t="n">
        <v>0</v>
      </c>
    </row>
    <row r="1567">
      <c r="A1567" s="5" t="inlineStr">
        <is>
          <t>01a152b9-879f-76e8-a1d1-ca225ab5dd9f</t>
        </is>
      </c>
      <c r="C1567" s="5" t="inlineStr">
        <is>
          <t>01a152b9-6e67-75da-8adb-b03e5d07fd21</t>
        </is>
      </c>
      <c r="D1567" s="4" t="n">
        <v>46314.24598406764</v>
      </c>
      <c r="E1567" s="4" t="n">
        <v>46314.24598406775</v>
      </c>
      <c r="F1567" t="b">
        <v>1</v>
      </c>
      <c r="G1567" t="n">
        <v/>
      </c>
      <c r="H1567" t="inlineStr">
        <is>
          <t>LPD</t>
        </is>
      </c>
      <c r="I1567" t="inlineStr">
        <is>
          <t>Lepidico Ltd</t>
        </is>
      </c>
      <c r="J1567" t="inlineStr">
        <is>
          <t>AUD</t>
        </is>
      </c>
      <c r="K1567" s="5" t="inlineStr">
        <is>
          <t>01a152b9-6ee2-7577-bddd-382bc3853fde</t>
        </is>
      </c>
      <c r="M1567" t="inlineStr">
        <is>
          <t>UNKNOWN</t>
        </is>
      </c>
      <c r="N1567" t="inlineStr">
        <is>
          <t>DEFAULT</t>
        </is>
      </c>
      <c r="Q1567" t="n">
        <v>0</v>
      </c>
      <c r="R1567" t="inlineStr">
        <is>
          <t>AUD</t>
        </is>
      </c>
      <c r="S1567" t="n">
        <v>0</v>
      </c>
      <c r="T1567" t="inlineStr">
        <is>
          <t>AUD</t>
        </is>
      </c>
      <c r="U1567" t="n">
        <v>0</v>
      </c>
    </row>
    <row r="1568">
      <c r="A1568" s="5" t="inlineStr">
        <is>
          <t>01a152b9-87a2-7572-a266-0f0d2521852f</t>
        </is>
      </c>
      <c r="C1568" s="5" t="inlineStr">
        <is>
          <t>01a152b9-6e67-75da-8adb-b03e5d07fd21</t>
        </is>
      </c>
      <c r="D1568" s="4" t="n">
        <v>46314.24598411038</v>
      </c>
      <c r="E1568" s="4" t="n">
        <v>46314.24598411051</v>
      </c>
      <c r="F1568" t="b">
        <v>1</v>
      </c>
      <c r="G1568" t="n">
        <v/>
      </c>
      <c r="H1568" t="inlineStr">
        <is>
          <t>BB1</t>
        </is>
      </c>
      <c r="I1568" t="inlineStr">
        <is>
          <t>Blinklab Ltd</t>
        </is>
      </c>
      <c r="J1568" t="inlineStr">
        <is>
          <t>AUD</t>
        </is>
      </c>
      <c r="K1568" s="5" t="inlineStr">
        <is>
          <t>01a152b9-6ee2-7577-bddd-382bc3853fde</t>
        </is>
      </c>
      <c r="M1568" t="inlineStr">
        <is>
          <t>UNKNOWN</t>
        </is>
      </c>
      <c r="N1568" t="inlineStr">
        <is>
          <t>DEFAULT</t>
        </is>
      </c>
      <c r="Q1568" t="n">
        <v>0</v>
      </c>
      <c r="R1568" t="inlineStr">
        <is>
          <t>AUD</t>
        </is>
      </c>
      <c r="S1568" t="n">
        <v>0</v>
      </c>
      <c r="T1568" t="inlineStr">
        <is>
          <t>AUD</t>
        </is>
      </c>
      <c r="U1568" t="n">
        <v>0</v>
      </c>
    </row>
    <row r="1569">
      <c r="A1569" s="5" t="inlineStr">
        <is>
          <t>01a152b9-87a6-721a-b947-a2271ad06b15</t>
        </is>
      </c>
      <c r="C1569" s="5" t="inlineStr">
        <is>
          <t>01a152b9-6e67-75da-8adb-b03e5d07fd21</t>
        </is>
      </c>
      <c r="D1569" s="4" t="n">
        <v>46314.24598415323</v>
      </c>
      <c r="E1569" s="4" t="n">
        <v>46314.24598415334</v>
      </c>
      <c r="F1569" t="b">
        <v>1</v>
      </c>
      <c r="G1569" t="n">
        <v/>
      </c>
      <c r="H1569" t="inlineStr">
        <is>
          <t>FFG</t>
        </is>
      </c>
      <c r="I1569" t="inlineStr">
        <is>
          <t>Fatfish Group Ltd</t>
        </is>
      </c>
      <c r="J1569" t="inlineStr">
        <is>
          <t>AUD</t>
        </is>
      </c>
      <c r="K1569" s="5" t="inlineStr">
        <is>
          <t>01a152b9-6ee2-7577-bddd-382bc3853fde</t>
        </is>
      </c>
      <c r="M1569" t="inlineStr">
        <is>
          <t>UNKNOWN</t>
        </is>
      </c>
      <c r="N1569" t="inlineStr">
        <is>
          <t>DEFAULT</t>
        </is>
      </c>
      <c r="Q1569" t="n">
        <v>0</v>
      </c>
      <c r="R1569" t="inlineStr">
        <is>
          <t>AUD</t>
        </is>
      </c>
      <c r="S1569" t="n">
        <v>0</v>
      </c>
      <c r="T1569" t="inlineStr">
        <is>
          <t>AUD</t>
        </is>
      </c>
      <c r="U1569" t="n">
        <v>0</v>
      </c>
    </row>
    <row r="1570">
      <c r="A1570" s="5" t="inlineStr">
        <is>
          <t>01a152b9-87ab-7189-ac98-89be30b8e0ef</t>
        </is>
      </c>
      <c r="C1570" s="5" t="inlineStr">
        <is>
          <t>01a152b9-6e67-75da-8adb-b03e5d07fd21</t>
        </is>
      </c>
      <c r="D1570" s="4" t="n">
        <v>46314.24598420367</v>
      </c>
      <c r="E1570" s="4" t="n">
        <v>46314.24598420379</v>
      </c>
      <c r="F1570" t="b">
        <v>1</v>
      </c>
      <c r="G1570" t="n">
        <v/>
      </c>
      <c r="H1570" t="inlineStr">
        <is>
          <t>EMD</t>
        </is>
      </c>
      <c r="I1570" t="inlineStr">
        <is>
          <t>Emyria Ltd</t>
        </is>
      </c>
      <c r="J1570" t="inlineStr">
        <is>
          <t>AUD</t>
        </is>
      </c>
      <c r="K1570" s="5" t="inlineStr">
        <is>
          <t>01a152b9-6ee2-7577-bddd-382bc3853fde</t>
        </is>
      </c>
      <c r="M1570" t="inlineStr">
        <is>
          <t>UNKNOWN</t>
        </is>
      </c>
      <c r="N1570" t="inlineStr">
        <is>
          <t>DEFAULT</t>
        </is>
      </c>
      <c r="Q1570" t="n">
        <v>0</v>
      </c>
      <c r="R1570" t="inlineStr">
        <is>
          <t>AUD</t>
        </is>
      </c>
      <c r="S1570" t="n">
        <v>0</v>
      </c>
      <c r="T1570" t="inlineStr">
        <is>
          <t>AUD</t>
        </is>
      </c>
      <c r="U1570" t="n">
        <v>0</v>
      </c>
    </row>
    <row r="1571">
      <c r="A1571" s="5" t="inlineStr">
        <is>
          <t>01a152b9-87ae-75cf-bf88-63ef0ee22f75</t>
        </is>
      </c>
      <c r="C1571" s="5" t="inlineStr">
        <is>
          <t>01a152b9-6e67-75da-8adb-b03e5d07fd21</t>
        </is>
      </c>
      <c r="D1571" s="4" t="n">
        <v>46314.24598424715</v>
      </c>
      <c r="E1571" s="4" t="n">
        <v>46314.24598424727</v>
      </c>
      <c r="F1571" t="b">
        <v>1</v>
      </c>
      <c r="G1571" t="n">
        <v/>
      </c>
      <c r="H1571" t="inlineStr">
        <is>
          <t>FSG</t>
        </is>
      </c>
      <c r="I1571" t="inlineStr">
        <is>
          <t>Field Solutions Holdings Ltd</t>
        </is>
      </c>
      <c r="J1571" t="inlineStr">
        <is>
          <t>AUD</t>
        </is>
      </c>
      <c r="K1571" s="5" t="inlineStr">
        <is>
          <t>01a152b9-6ee2-7577-bddd-382bc3853fde</t>
        </is>
      </c>
      <c r="M1571" t="inlineStr">
        <is>
          <t>UNKNOWN</t>
        </is>
      </c>
      <c r="N1571" t="inlineStr">
        <is>
          <t>DEFAULT</t>
        </is>
      </c>
      <c r="Q1571" t="n">
        <v>0</v>
      </c>
      <c r="R1571" t="inlineStr">
        <is>
          <t>AUD</t>
        </is>
      </c>
      <c r="S1571" t="n">
        <v>0</v>
      </c>
      <c r="T1571" t="inlineStr">
        <is>
          <t>AUD</t>
        </is>
      </c>
      <c r="U1571" t="n">
        <v>0</v>
      </c>
    </row>
    <row r="1572">
      <c r="A1572" s="5" t="inlineStr">
        <is>
          <t>01a152b9-87b2-713b-86fa-3333f54e1d7b</t>
        </is>
      </c>
      <c r="C1572" s="5" t="inlineStr">
        <is>
          <t>01a152b9-6e67-75da-8adb-b03e5d07fd21</t>
        </is>
      </c>
      <c r="D1572" s="4" t="n">
        <v>46314.24598428686</v>
      </c>
      <c r="E1572" s="4" t="n">
        <v>46314.24598428698</v>
      </c>
      <c r="F1572" t="b">
        <v>1</v>
      </c>
      <c r="G1572" t="n">
        <v/>
      </c>
      <c r="H1572" t="inlineStr">
        <is>
          <t>CND</t>
        </is>
      </c>
      <c r="I1572" t="inlineStr">
        <is>
          <t>Condor Energy Ltd</t>
        </is>
      </c>
      <c r="J1572" t="inlineStr">
        <is>
          <t>AUD</t>
        </is>
      </c>
      <c r="K1572" s="5" t="inlineStr">
        <is>
          <t>01a152b9-6ee2-7577-bddd-382bc3853fde</t>
        </is>
      </c>
      <c r="M1572" t="inlineStr">
        <is>
          <t>UNKNOWN</t>
        </is>
      </c>
      <c r="N1572" t="inlineStr">
        <is>
          <t>DEFAULT</t>
        </is>
      </c>
      <c r="Q1572" t="n">
        <v>0</v>
      </c>
      <c r="R1572" t="inlineStr">
        <is>
          <t>AUD</t>
        </is>
      </c>
      <c r="S1572" t="n">
        <v>0</v>
      </c>
      <c r="T1572" t="inlineStr">
        <is>
          <t>AUD</t>
        </is>
      </c>
      <c r="U1572" t="n">
        <v>0</v>
      </c>
    </row>
    <row r="1573">
      <c r="A1573" s="5" t="inlineStr">
        <is>
          <t>01a152b9-87b6-7446-9fd4-072dda12c5ad</t>
        </is>
      </c>
      <c r="C1573" s="5" t="inlineStr">
        <is>
          <t>01a152b9-6e67-75da-8adb-b03e5d07fd21</t>
        </is>
      </c>
      <c r="D1573" s="4" t="n">
        <v>46314.24598433232</v>
      </c>
      <c r="E1573" s="4" t="n">
        <v>46314.24598433243</v>
      </c>
      <c r="F1573" t="b">
        <v>1</v>
      </c>
      <c r="G1573" t="n">
        <v/>
      </c>
      <c r="H1573" t="inlineStr">
        <is>
          <t>HIQ</t>
        </is>
      </c>
      <c r="I1573" t="inlineStr">
        <is>
          <t>HITIQ Ltd</t>
        </is>
      </c>
      <c r="J1573" t="inlineStr">
        <is>
          <t>AUD</t>
        </is>
      </c>
      <c r="K1573" s="5" t="inlineStr">
        <is>
          <t>01a152b9-6ee2-7577-bddd-382bc3853fde</t>
        </is>
      </c>
      <c r="M1573" t="inlineStr">
        <is>
          <t>UNKNOWN</t>
        </is>
      </c>
      <c r="N1573" t="inlineStr">
        <is>
          <t>DEFAULT</t>
        </is>
      </c>
      <c r="Q1573" t="n">
        <v>0</v>
      </c>
      <c r="R1573" t="inlineStr">
        <is>
          <t>AUD</t>
        </is>
      </c>
      <c r="S1573" t="n">
        <v>0</v>
      </c>
      <c r="T1573" t="inlineStr">
        <is>
          <t>AUD</t>
        </is>
      </c>
      <c r="U1573" t="n">
        <v>0</v>
      </c>
    </row>
    <row r="1574">
      <c r="A1574" s="5" t="inlineStr">
        <is>
          <t>01a152b9-87b9-714f-bb32-01a93886c180</t>
        </is>
      </c>
      <c r="C1574" s="5" t="inlineStr">
        <is>
          <t>01a152b9-6e67-75da-8adb-b03e5d07fd21</t>
        </is>
      </c>
      <c r="D1574" s="4" t="n">
        <v>46314.24598437417</v>
      </c>
      <c r="E1574" s="4" t="n">
        <v>46314.24598437431</v>
      </c>
      <c r="F1574" t="b">
        <v>1</v>
      </c>
      <c r="G1574" t="n">
        <v/>
      </c>
      <c r="H1574" t="inlineStr">
        <is>
          <t>AKA</t>
        </is>
      </c>
      <c r="I1574" t="inlineStr">
        <is>
          <t>Aureka Ltd</t>
        </is>
      </c>
      <c r="J1574" t="inlineStr">
        <is>
          <t>AUD</t>
        </is>
      </c>
      <c r="K1574" s="5" t="inlineStr">
        <is>
          <t>01a152b9-6ee2-7577-bddd-382bc3853fde</t>
        </is>
      </c>
      <c r="M1574" t="inlineStr">
        <is>
          <t>UNKNOWN</t>
        </is>
      </c>
      <c r="N1574" t="inlineStr">
        <is>
          <t>DEFAULT</t>
        </is>
      </c>
      <c r="Q1574" t="n">
        <v>0</v>
      </c>
      <c r="R1574" t="inlineStr">
        <is>
          <t>AUD</t>
        </is>
      </c>
      <c r="S1574" t="n">
        <v>0</v>
      </c>
      <c r="T1574" t="inlineStr">
        <is>
          <t>AUD</t>
        </is>
      </c>
      <c r="U1574" t="n">
        <v>0</v>
      </c>
    </row>
    <row r="1575">
      <c r="A1575" s="5" t="inlineStr">
        <is>
          <t>01a152b9-87bd-74b3-b610-b58958b74bab</t>
        </is>
      </c>
      <c r="C1575" s="5" t="inlineStr">
        <is>
          <t>01a152b9-6e67-75da-8adb-b03e5d07fd21</t>
        </is>
      </c>
      <c r="D1575" s="4" t="n">
        <v>46314.24598442161</v>
      </c>
      <c r="E1575" s="4" t="n">
        <v>46314.24598442172</v>
      </c>
      <c r="F1575" t="b">
        <v>1</v>
      </c>
      <c r="G1575" t="n">
        <v/>
      </c>
      <c r="H1575" t="inlineStr">
        <is>
          <t>NUC</t>
        </is>
      </c>
      <c r="I1575" t="inlineStr">
        <is>
          <t>Nuchev Ltd</t>
        </is>
      </c>
      <c r="J1575" t="inlineStr">
        <is>
          <t>AUD</t>
        </is>
      </c>
      <c r="K1575" s="5" t="inlineStr">
        <is>
          <t>01a152b9-6ee2-7577-bddd-382bc3853fde</t>
        </is>
      </c>
      <c r="M1575" t="inlineStr">
        <is>
          <t>UNKNOWN</t>
        </is>
      </c>
      <c r="N1575" t="inlineStr">
        <is>
          <t>DEFAULT</t>
        </is>
      </c>
      <c r="Q1575" t="n">
        <v>0</v>
      </c>
      <c r="R1575" t="inlineStr">
        <is>
          <t>AUD</t>
        </is>
      </c>
      <c r="S1575" t="n">
        <v>0</v>
      </c>
      <c r="T1575" t="inlineStr">
        <is>
          <t>AUD</t>
        </is>
      </c>
      <c r="U1575" t="n">
        <v>0</v>
      </c>
    </row>
    <row r="1576">
      <c r="A1576" s="5" t="inlineStr">
        <is>
          <t>01a152b9-87c1-7079-9d1b-17f9e7059e1a</t>
        </is>
      </c>
      <c r="C1576" s="5" t="inlineStr">
        <is>
          <t>01a152b9-6e67-75da-8adb-b03e5d07fd21</t>
        </is>
      </c>
      <c r="D1576" s="4" t="n">
        <v>46314.24598446202</v>
      </c>
      <c r="E1576" s="4" t="n">
        <v>46314.24598446213</v>
      </c>
      <c r="F1576" t="b">
        <v>1</v>
      </c>
      <c r="G1576" t="n">
        <v/>
      </c>
      <c r="H1576" t="inlineStr">
        <is>
          <t>AUZ</t>
        </is>
      </c>
      <c r="I1576" t="inlineStr">
        <is>
          <t>Australian Mines Ltd</t>
        </is>
      </c>
      <c r="J1576" t="inlineStr">
        <is>
          <t>AUD</t>
        </is>
      </c>
      <c r="K1576" s="5" t="inlineStr">
        <is>
          <t>01a152b9-6ee2-7577-bddd-382bc3853fde</t>
        </is>
      </c>
      <c r="M1576" t="inlineStr">
        <is>
          <t>UNKNOWN</t>
        </is>
      </c>
      <c r="N1576" t="inlineStr">
        <is>
          <t>DEFAULT</t>
        </is>
      </c>
      <c r="Q1576" t="n">
        <v>0</v>
      </c>
      <c r="R1576" t="inlineStr">
        <is>
          <t>AUD</t>
        </is>
      </c>
      <c r="S1576" t="n">
        <v>0</v>
      </c>
      <c r="T1576" t="inlineStr">
        <is>
          <t>AUD</t>
        </is>
      </c>
      <c r="U1576" t="n">
        <v>0</v>
      </c>
    </row>
    <row r="1577">
      <c r="A1577" s="5" t="inlineStr">
        <is>
          <t>01a152b9-87c4-739e-8461-012a831c6d69</t>
        </is>
      </c>
      <c r="C1577" s="5" t="inlineStr">
        <is>
          <t>01a152b9-6e67-75da-8adb-b03e5d07fd21</t>
        </is>
      </c>
      <c r="D1577" s="4" t="n">
        <v>46314.2459844991</v>
      </c>
      <c r="E1577" s="4" t="n">
        <v>46314.24598449921</v>
      </c>
      <c r="F1577" t="b">
        <v>1</v>
      </c>
      <c r="G1577" t="n">
        <v/>
      </c>
      <c r="H1577" t="inlineStr">
        <is>
          <t>WWG</t>
        </is>
      </c>
      <c r="I1577" t="inlineStr">
        <is>
          <t>Wiseway Group Ltd</t>
        </is>
      </c>
      <c r="J1577" t="inlineStr">
        <is>
          <t>AUD</t>
        </is>
      </c>
      <c r="K1577" s="5" t="inlineStr">
        <is>
          <t>01a152b9-6ee2-7577-bddd-382bc3853fde</t>
        </is>
      </c>
      <c r="M1577" t="inlineStr">
        <is>
          <t>UNKNOWN</t>
        </is>
      </c>
      <c r="N1577" t="inlineStr">
        <is>
          <t>DEFAULT</t>
        </is>
      </c>
      <c r="Q1577" t="n">
        <v>0</v>
      </c>
      <c r="R1577" t="inlineStr">
        <is>
          <t>AUD</t>
        </is>
      </c>
      <c r="S1577" t="n">
        <v>0</v>
      </c>
      <c r="T1577" t="inlineStr">
        <is>
          <t>AUD</t>
        </is>
      </c>
      <c r="U1577" t="n">
        <v>0</v>
      </c>
    </row>
    <row r="1578">
      <c r="A1578" s="5" t="inlineStr">
        <is>
          <t>01a152b9-87c7-76fb-a4f1-7644deb842fd</t>
        </is>
      </c>
      <c r="C1578" s="5" t="inlineStr">
        <is>
          <t>01a152b9-6e67-75da-8adb-b03e5d07fd21</t>
        </is>
      </c>
      <c r="D1578" s="4" t="n">
        <v>46314.24598453617</v>
      </c>
      <c r="E1578" s="4" t="n">
        <v>46314.24598453628</v>
      </c>
      <c r="F1578" t="b">
        <v>1</v>
      </c>
      <c r="G1578" t="n">
        <v/>
      </c>
      <c r="H1578" t="inlineStr">
        <is>
          <t>MGL</t>
        </is>
      </c>
      <c r="I1578" t="inlineStr">
        <is>
          <t>Magontec Ltd</t>
        </is>
      </c>
      <c r="J1578" t="inlineStr">
        <is>
          <t>AUD</t>
        </is>
      </c>
      <c r="K1578" s="5" t="inlineStr">
        <is>
          <t>01a152b9-6ee2-7577-bddd-382bc3853fde</t>
        </is>
      </c>
      <c r="M1578" t="inlineStr">
        <is>
          <t>UNKNOWN</t>
        </is>
      </c>
      <c r="N1578" t="inlineStr">
        <is>
          <t>DEFAULT</t>
        </is>
      </c>
      <c r="Q1578" t="n">
        <v>0</v>
      </c>
      <c r="R1578" t="inlineStr">
        <is>
          <t>AUD</t>
        </is>
      </c>
      <c r="S1578" t="n">
        <v>0</v>
      </c>
      <c r="T1578" t="inlineStr">
        <is>
          <t>AUD</t>
        </is>
      </c>
      <c r="U1578" t="n">
        <v>0</v>
      </c>
    </row>
    <row r="1579">
      <c r="A1579" s="5" t="inlineStr">
        <is>
          <t>01a152b9-87ca-70f5-864b-4a596d5191ec</t>
        </is>
      </c>
      <c r="C1579" s="5" t="inlineStr">
        <is>
          <t>01a152b9-6e67-75da-8adb-b03e5d07fd21</t>
        </is>
      </c>
      <c r="D1579" s="4" t="n">
        <v>46314.2459845726</v>
      </c>
      <c r="E1579" s="4" t="n">
        <v>46314.2459845727</v>
      </c>
      <c r="F1579" t="b">
        <v>1</v>
      </c>
      <c r="G1579" t="n">
        <v/>
      </c>
      <c r="H1579" t="inlineStr">
        <is>
          <t>HMD</t>
        </is>
      </c>
      <c r="I1579" t="inlineStr">
        <is>
          <t>Heramed Ltd</t>
        </is>
      </c>
      <c r="J1579" t="inlineStr">
        <is>
          <t>AUD</t>
        </is>
      </c>
      <c r="K1579" s="5" t="inlineStr">
        <is>
          <t>01a152b9-6ee2-7577-bddd-382bc3853fde</t>
        </is>
      </c>
      <c r="M1579" t="inlineStr">
        <is>
          <t>UNKNOWN</t>
        </is>
      </c>
      <c r="N1579" t="inlineStr">
        <is>
          <t>DEFAULT</t>
        </is>
      </c>
      <c r="Q1579" t="n">
        <v>0</v>
      </c>
      <c r="R1579" t="inlineStr">
        <is>
          <t>AUD</t>
        </is>
      </c>
      <c r="S1579" t="n">
        <v>0</v>
      </c>
      <c r="T1579" t="inlineStr">
        <is>
          <t>AUD</t>
        </is>
      </c>
      <c r="U1579" t="n">
        <v>0</v>
      </c>
    </row>
    <row r="1580">
      <c r="A1580" s="5" t="inlineStr">
        <is>
          <t>01a152b9-87ce-7749-aa1c-6db4e1eb8d3a</t>
        </is>
      </c>
      <c r="C1580" s="5" t="inlineStr">
        <is>
          <t>01a152b9-6e67-75da-8adb-b03e5d07fd21</t>
        </is>
      </c>
      <c r="D1580" s="4" t="n">
        <v>46314.24598461144</v>
      </c>
      <c r="E1580" s="4" t="n">
        <v>46314.24598461154</v>
      </c>
      <c r="F1580" t="b">
        <v>1</v>
      </c>
      <c r="G1580" t="n">
        <v/>
      </c>
      <c r="H1580" t="inlineStr">
        <is>
          <t>ACP</t>
        </is>
      </c>
      <c r="I1580" t="inlineStr">
        <is>
          <t>Audalia Resources Ltd</t>
        </is>
      </c>
      <c r="J1580" t="inlineStr">
        <is>
          <t>AUD</t>
        </is>
      </c>
      <c r="K1580" s="5" t="inlineStr">
        <is>
          <t>01a152b9-6ee2-7577-bddd-382bc3853fde</t>
        </is>
      </c>
      <c r="M1580" t="inlineStr">
        <is>
          <t>UNKNOWN</t>
        </is>
      </c>
      <c r="N1580" t="inlineStr">
        <is>
          <t>DEFAULT</t>
        </is>
      </c>
      <c r="Q1580" t="n">
        <v>0</v>
      </c>
      <c r="R1580" t="inlineStr">
        <is>
          <t>AUD</t>
        </is>
      </c>
      <c r="S1580" t="n">
        <v>0</v>
      </c>
      <c r="T1580" t="inlineStr">
        <is>
          <t>AUD</t>
        </is>
      </c>
      <c r="U1580" t="n">
        <v>0</v>
      </c>
    </row>
    <row r="1581">
      <c r="A1581" s="5" t="inlineStr">
        <is>
          <t>01a152b9-87d1-73a4-8b94-61df0d2915d1</t>
        </is>
      </c>
      <c r="C1581" s="5" t="inlineStr">
        <is>
          <t>01a152b9-6e67-75da-8adb-b03e5d07fd21</t>
        </is>
      </c>
      <c r="D1581" s="4" t="n">
        <v>46314.24598464627</v>
      </c>
      <c r="E1581" s="4" t="n">
        <v>46314.24598464637</v>
      </c>
      <c r="F1581" t="b">
        <v>1</v>
      </c>
      <c r="G1581" t="n">
        <v/>
      </c>
      <c r="H1581" t="inlineStr">
        <is>
          <t>TRP</t>
        </is>
      </c>
      <c r="I1581" t="inlineStr">
        <is>
          <t>Tissue Repair Ltd</t>
        </is>
      </c>
      <c r="J1581" t="inlineStr">
        <is>
          <t>AUD</t>
        </is>
      </c>
      <c r="K1581" s="5" t="inlineStr">
        <is>
          <t>01a152b9-6ee2-7577-bddd-382bc3853fde</t>
        </is>
      </c>
      <c r="M1581" t="inlineStr">
        <is>
          <t>UNKNOWN</t>
        </is>
      </c>
      <c r="N1581" t="inlineStr">
        <is>
          <t>DEFAULT</t>
        </is>
      </c>
      <c r="Q1581" t="n">
        <v>0</v>
      </c>
      <c r="R1581" t="inlineStr">
        <is>
          <t>AUD</t>
        </is>
      </c>
      <c r="S1581" t="n">
        <v>0</v>
      </c>
      <c r="T1581" t="inlineStr">
        <is>
          <t>AUD</t>
        </is>
      </c>
      <c r="U1581" t="n">
        <v>0</v>
      </c>
    </row>
    <row r="1582">
      <c r="A1582" s="5" t="inlineStr">
        <is>
          <t>01a152b9-87d4-77d0-8d24-dd31e7294d5e</t>
        </is>
      </c>
      <c r="C1582" s="5" t="inlineStr">
        <is>
          <t>01a152b9-6e67-75da-8adb-b03e5d07fd21</t>
        </is>
      </c>
      <c r="D1582" s="4" t="n">
        <v>46314.24598468505</v>
      </c>
      <c r="E1582" s="4" t="n">
        <v>46314.24598468515</v>
      </c>
      <c r="F1582" t="b">
        <v>1</v>
      </c>
      <c r="G1582" t="n">
        <v/>
      </c>
      <c r="H1582" t="inlineStr">
        <is>
          <t>NVU</t>
        </is>
      </c>
      <c r="I1582" t="inlineStr">
        <is>
          <t>Nanoveu Ltd</t>
        </is>
      </c>
      <c r="J1582" t="inlineStr">
        <is>
          <t>AUD</t>
        </is>
      </c>
      <c r="K1582" s="5" t="inlineStr">
        <is>
          <t>01a152b9-6ee2-7577-bddd-382bc3853fde</t>
        </is>
      </c>
      <c r="M1582" t="inlineStr">
        <is>
          <t>UNKNOWN</t>
        </is>
      </c>
      <c r="N1582" t="inlineStr">
        <is>
          <t>DEFAULT</t>
        </is>
      </c>
      <c r="Q1582" t="n">
        <v>0</v>
      </c>
      <c r="R1582" t="inlineStr">
        <is>
          <t>AUD</t>
        </is>
      </c>
      <c r="S1582" t="n">
        <v>0</v>
      </c>
      <c r="T1582" t="inlineStr">
        <is>
          <t>AUD</t>
        </is>
      </c>
      <c r="U1582" t="n">
        <v>0</v>
      </c>
    </row>
    <row r="1583">
      <c r="A1583" s="5" t="inlineStr">
        <is>
          <t>01a152b9-87d7-7437-b08a-7a511543105d</t>
        </is>
      </c>
      <c r="C1583" s="5" t="inlineStr">
        <is>
          <t>01a152b9-6e67-75da-8adb-b03e5d07fd21</t>
        </is>
      </c>
      <c r="D1583" s="4" t="n">
        <v>46314.2459847214</v>
      </c>
      <c r="E1583" s="4" t="n">
        <v>46314.24598472149</v>
      </c>
      <c r="F1583" t="b">
        <v>1</v>
      </c>
      <c r="G1583" t="n">
        <v/>
      </c>
      <c r="H1583" t="inlineStr">
        <is>
          <t>FRE</t>
        </is>
      </c>
      <c r="I1583" t="inlineStr">
        <is>
          <t>Firebrick Pharma Ltd</t>
        </is>
      </c>
      <c r="J1583" t="inlineStr">
        <is>
          <t>AUD</t>
        </is>
      </c>
      <c r="K1583" s="5" t="inlineStr">
        <is>
          <t>01a152b9-6ee2-7577-bddd-382bc3853fde</t>
        </is>
      </c>
      <c r="M1583" t="inlineStr">
        <is>
          <t>UNKNOWN</t>
        </is>
      </c>
      <c r="N1583" t="inlineStr">
        <is>
          <t>DEFAULT</t>
        </is>
      </c>
      <c r="Q1583" t="n">
        <v>0</v>
      </c>
      <c r="R1583" t="inlineStr">
        <is>
          <t>AUD</t>
        </is>
      </c>
      <c r="S1583" t="n">
        <v>0</v>
      </c>
      <c r="T1583" t="inlineStr">
        <is>
          <t>AUD</t>
        </is>
      </c>
      <c r="U1583" t="n">
        <v>0</v>
      </c>
    </row>
    <row r="1584">
      <c r="A1584" s="5" t="inlineStr">
        <is>
          <t>01a152b9-87db-7584-a404-56a1ad707e65</t>
        </is>
      </c>
      <c r="C1584" s="5" t="inlineStr">
        <is>
          <t>01a152b9-6e67-75da-8adb-b03e5d07fd21</t>
        </is>
      </c>
      <c r="D1584" s="4" t="n">
        <v>46314.24598476169</v>
      </c>
      <c r="E1584" s="4" t="n">
        <v>46314.24598476178</v>
      </c>
      <c r="F1584" t="b">
        <v>1</v>
      </c>
      <c r="G1584" t="n">
        <v/>
      </c>
      <c r="H1584" t="inlineStr">
        <is>
          <t>EDU</t>
        </is>
      </c>
      <c r="I1584" t="inlineStr">
        <is>
          <t>EDU Holdings Ltd</t>
        </is>
      </c>
      <c r="J1584" t="inlineStr">
        <is>
          <t>AUD</t>
        </is>
      </c>
      <c r="K1584" s="5" t="inlineStr">
        <is>
          <t>01a152b9-6ee2-7577-bddd-382bc3853fde</t>
        </is>
      </c>
      <c r="M1584" t="inlineStr">
        <is>
          <t>UNKNOWN</t>
        </is>
      </c>
      <c r="N1584" t="inlineStr">
        <is>
          <t>DEFAULT</t>
        </is>
      </c>
      <c r="Q1584" t="n">
        <v>0</v>
      </c>
      <c r="R1584" t="inlineStr">
        <is>
          <t>AUD</t>
        </is>
      </c>
      <c r="S1584" t="n">
        <v>0</v>
      </c>
      <c r="T1584" t="inlineStr">
        <is>
          <t>AUD</t>
        </is>
      </c>
      <c r="U1584" t="n">
        <v>0</v>
      </c>
    </row>
    <row r="1585">
      <c r="A1585" s="5" t="inlineStr">
        <is>
          <t>01a152b9-87de-7007-aeb0-0d41a07a5fa8</t>
        </is>
      </c>
      <c r="C1585" s="5" t="inlineStr">
        <is>
          <t>01a152b9-6e67-75da-8adb-b03e5d07fd21</t>
        </is>
      </c>
      <c r="D1585" s="4" t="n">
        <v>46314.24598480331</v>
      </c>
      <c r="E1585" s="4" t="n">
        <v>46314.24598480341</v>
      </c>
      <c r="F1585" t="b">
        <v>1</v>
      </c>
      <c r="G1585" t="n">
        <v/>
      </c>
      <c r="H1585" t="inlineStr">
        <is>
          <t>VN8</t>
        </is>
      </c>
      <c r="I1585" t="inlineStr">
        <is>
          <t>VONEX Ltd</t>
        </is>
      </c>
      <c r="J1585" t="inlineStr">
        <is>
          <t>AUD</t>
        </is>
      </c>
      <c r="K1585" s="5" t="inlineStr">
        <is>
          <t>01a152b9-6ee2-7577-bddd-382bc3853fde</t>
        </is>
      </c>
      <c r="M1585" t="inlineStr">
        <is>
          <t>UNKNOWN</t>
        </is>
      </c>
      <c r="N1585" t="inlineStr">
        <is>
          <t>DEFAULT</t>
        </is>
      </c>
      <c r="Q1585" t="n">
        <v>0</v>
      </c>
      <c r="R1585" t="inlineStr">
        <is>
          <t>AUD</t>
        </is>
      </c>
      <c r="S1585" t="n">
        <v>0</v>
      </c>
      <c r="T1585" t="inlineStr">
        <is>
          <t>AUD</t>
        </is>
      </c>
      <c r="U1585" t="n">
        <v>0</v>
      </c>
    </row>
    <row r="1586">
      <c r="A1586" s="5" t="inlineStr">
        <is>
          <t>01a152b9-87e2-744a-a2a0-b1e186db58bd</t>
        </is>
      </c>
      <c r="C1586" s="5" t="inlineStr">
        <is>
          <t>01a152b9-6e67-75da-8adb-b03e5d07fd21</t>
        </is>
      </c>
      <c r="D1586" s="4" t="n">
        <v>46314.2459848405</v>
      </c>
      <c r="E1586" s="4" t="n">
        <v>46314.24598484059</v>
      </c>
      <c r="F1586" t="b">
        <v>1</v>
      </c>
      <c r="G1586" t="n">
        <v/>
      </c>
      <c r="H1586" t="inlineStr">
        <is>
          <t>BTC</t>
        </is>
      </c>
      <c r="I1586" t="inlineStr">
        <is>
          <t>BTC Health Ltd</t>
        </is>
      </c>
      <c r="J1586" t="inlineStr">
        <is>
          <t>AUD</t>
        </is>
      </c>
      <c r="K1586" s="5" t="inlineStr">
        <is>
          <t>01a152b9-6ee2-7577-bddd-382bc3853fde</t>
        </is>
      </c>
      <c r="M1586" t="inlineStr">
        <is>
          <t>UNKNOWN</t>
        </is>
      </c>
      <c r="N1586" t="inlineStr">
        <is>
          <t>DEFAULT</t>
        </is>
      </c>
      <c r="Q1586" t="n">
        <v>0</v>
      </c>
      <c r="R1586" t="inlineStr">
        <is>
          <t>AUD</t>
        </is>
      </c>
      <c r="S1586" t="n">
        <v>0</v>
      </c>
      <c r="T1586" t="inlineStr">
        <is>
          <t>AUD</t>
        </is>
      </c>
      <c r="U1586" t="n">
        <v>0</v>
      </c>
    </row>
    <row r="1587">
      <c r="A1587" s="5" t="inlineStr">
        <is>
          <t>01a152b9-87e5-764c-89a3-331df91f919d</t>
        </is>
      </c>
      <c r="C1587" s="5" t="inlineStr">
        <is>
          <t>01a152b9-6e67-75da-8adb-b03e5d07fd21</t>
        </is>
      </c>
      <c r="D1587" s="4" t="n">
        <v>46314.24598487974</v>
      </c>
      <c r="E1587" s="4" t="n">
        <v>46314.24598487985</v>
      </c>
      <c r="F1587" t="b">
        <v>1</v>
      </c>
      <c r="G1587" t="n">
        <v/>
      </c>
      <c r="H1587" t="inlineStr">
        <is>
          <t>ALPH</t>
        </is>
      </c>
      <c r="I1587" t="inlineStr">
        <is>
          <t>Schroder Global Equity Alpha Fund - Active ETF</t>
        </is>
      </c>
      <c r="J1587" t="inlineStr">
        <is>
          <t>AUD</t>
        </is>
      </c>
      <c r="K1587" s="5" t="inlineStr">
        <is>
          <t>01a152b9-6ee2-7577-bddd-382bc3853fde</t>
        </is>
      </c>
      <c r="M1587" t="inlineStr">
        <is>
          <t>UNKNOWN</t>
        </is>
      </c>
      <c r="N1587" t="inlineStr">
        <is>
          <t>DEFAULT</t>
        </is>
      </c>
      <c r="Q1587" t="n">
        <v>0</v>
      </c>
      <c r="R1587" t="inlineStr">
        <is>
          <t>AUD</t>
        </is>
      </c>
      <c r="S1587" t="n">
        <v>0</v>
      </c>
      <c r="T1587" t="inlineStr">
        <is>
          <t>AUD</t>
        </is>
      </c>
      <c r="U1587" t="n">
        <v>0</v>
      </c>
    </row>
    <row r="1588">
      <c r="A1588" s="5" t="inlineStr">
        <is>
          <t>01a152b9-87e8-772d-b87e-b8ffa2ddc5e6</t>
        </is>
      </c>
      <c r="C1588" s="5" t="inlineStr">
        <is>
          <t>01a152b9-6e67-75da-8adb-b03e5d07fd21</t>
        </is>
      </c>
      <c r="D1588" s="4" t="n">
        <v>46314.24598491746</v>
      </c>
      <c r="E1588" s="4" t="n">
        <v>46314.24598491756</v>
      </c>
      <c r="F1588" t="b">
        <v>1</v>
      </c>
      <c r="G1588" t="n">
        <v/>
      </c>
      <c r="H1588" t="inlineStr">
        <is>
          <t>USHY</t>
        </is>
      </c>
      <c r="I1588" t="inlineStr">
        <is>
          <t>Global X Usd High Yield Bond ETF(Currency Hedged)</t>
        </is>
      </c>
      <c r="J1588" t="inlineStr">
        <is>
          <t>AUD</t>
        </is>
      </c>
      <c r="K1588" s="5" t="inlineStr">
        <is>
          <t>01a152b9-6ee2-7577-bddd-382bc3853fde</t>
        </is>
      </c>
      <c r="M1588" t="inlineStr">
        <is>
          <t>UNKNOWN</t>
        </is>
      </c>
      <c r="N1588" t="inlineStr">
        <is>
          <t>DEFAULT</t>
        </is>
      </c>
      <c r="Q1588" t="n">
        <v>0</v>
      </c>
      <c r="R1588" t="inlineStr">
        <is>
          <t>AUD</t>
        </is>
      </c>
      <c r="S1588" t="n">
        <v>0</v>
      </c>
      <c r="T1588" t="inlineStr">
        <is>
          <t>AUD</t>
        </is>
      </c>
      <c r="U1588" t="n">
        <v>0</v>
      </c>
    </row>
    <row r="1589">
      <c r="A1589" s="5" t="inlineStr">
        <is>
          <t>01a152b9-87ec-75d2-8df3-e787778b5f7b</t>
        </is>
      </c>
      <c r="C1589" s="5" t="inlineStr">
        <is>
          <t>01a152b9-6e67-75da-8adb-b03e5d07fd21</t>
        </is>
      </c>
      <c r="D1589" s="4" t="n">
        <v>46314.24598496415</v>
      </c>
      <c r="E1589" s="4" t="n">
        <v>46314.24598496425</v>
      </c>
      <c r="F1589" t="b">
        <v>1</v>
      </c>
      <c r="G1589" t="n">
        <v/>
      </c>
      <c r="H1589" t="inlineStr">
        <is>
          <t>TIA</t>
        </is>
      </c>
      <c r="I1589" t="inlineStr">
        <is>
          <t>Tian An Australia Ltd</t>
        </is>
      </c>
      <c r="J1589" t="inlineStr">
        <is>
          <t>AUD</t>
        </is>
      </c>
      <c r="K1589" s="5" t="inlineStr">
        <is>
          <t>01a152b9-6ee2-7577-bddd-382bc3853fde</t>
        </is>
      </c>
      <c r="M1589" t="inlineStr">
        <is>
          <t>UNKNOWN</t>
        </is>
      </c>
      <c r="N1589" t="inlineStr">
        <is>
          <t>DEFAULT</t>
        </is>
      </c>
      <c r="Q1589" t="n">
        <v>0</v>
      </c>
      <c r="R1589" t="inlineStr">
        <is>
          <t>AUD</t>
        </is>
      </c>
      <c r="S1589" t="n">
        <v>0</v>
      </c>
      <c r="T1589" t="inlineStr">
        <is>
          <t>AUD</t>
        </is>
      </c>
      <c r="U1589" t="n">
        <v>0</v>
      </c>
    </row>
    <row r="1590">
      <c r="A1590" s="5" t="inlineStr">
        <is>
          <t>01a152b9-87ef-7468-84fa-58c9a4e4bfd5</t>
        </is>
      </c>
      <c r="C1590" s="5" t="inlineStr">
        <is>
          <t>01a152b9-6e67-75da-8adb-b03e5d07fd21</t>
        </is>
      </c>
      <c r="D1590" s="4" t="n">
        <v>46314.24598500007</v>
      </c>
      <c r="E1590" s="4" t="n">
        <v>46314.24598500016</v>
      </c>
      <c r="F1590" t="b">
        <v>1</v>
      </c>
      <c r="G1590" t="n">
        <v/>
      </c>
      <c r="H1590" t="inlineStr">
        <is>
          <t>EQX</t>
        </is>
      </c>
      <c r="I1590" t="inlineStr">
        <is>
          <t>Equatorial Resources Ltd</t>
        </is>
      </c>
      <c r="J1590" t="inlineStr">
        <is>
          <t>AUD</t>
        </is>
      </c>
      <c r="K1590" s="5" t="inlineStr">
        <is>
          <t>01a152b9-6ee2-7577-bddd-382bc3853fde</t>
        </is>
      </c>
      <c r="M1590" t="inlineStr">
        <is>
          <t>UNKNOWN</t>
        </is>
      </c>
      <c r="N1590" t="inlineStr">
        <is>
          <t>DEFAULT</t>
        </is>
      </c>
      <c r="Q1590" t="n">
        <v>0</v>
      </c>
      <c r="R1590" t="inlineStr">
        <is>
          <t>AUD</t>
        </is>
      </c>
      <c r="S1590" t="n">
        <v>0</v>
      </c>
      <c r="T1590" t="inlineStr">
        <is>
          <t>AUD</t>
        </is>
      </c>
      <c r="U1590" t="n">
        <v>0</v>
      </c>
    </row>
    <row r="1591">
      <c r="A1591" s="5" t="inlineStr">
        <is>
          <t>01a152b9-87f3-7388-9a8d-66be35a28991</t>
        </is>
      </c>
      <c r="C1591" s="5" t="inlineStr">
        <is>
          <t>01a152b9-6e67-75da-8adb-b03e5d07fd21</t>
        </is>
      </c>
      <c r="D1591" s="4" t="n">
        <v>46314.2459850369</v>
      </c>
      <c r="E1591" s="4" t="n">
        <v>46314.24598503699</v>
      </c>
      <c r="F1591" t="b">
        <v>1</v>
      </c>
      <c r="G1591" t="n">
        <v/>
      </c>
      <c r="H1591" t="inlineStr">
        <is>
          <t>HCL</t>
        </is>
      </c>
      <c r="I1591" t="inlineStr">
        <is>
          <t>Highcom Ltd</t>
        </is>
      </c>
      <c r="J1591" t="inlineStr">
        <is>
          <t>AUD</t>
        </is>
      </c>
      <c r="K1591" s="5" t="inlineStr">
        <is>
          <t>01a152b9-6ee2-7577-bddd-382bc3853fde</t>
        </is>
      </c>
      <c r="M1591" t="inlineStr">
        <is>
          <t>UNKNOWN</t>
        </is>
      </c>
      <c r="N1591" t="inlineStr">
        <is>
          <t>DEFAULT</t>
        </is>
      </c>
      <c r="Q1591" t="n">
        <v>0</v>
      </c>
      <c r="R1591" t="inlineStr">
        <is>
          <t>AUD</t>
        </is>
      </c>
      <c r="S1591" t="n">
        <v>0</v>
      </c>
      <c r="T1591" t="inlineStr">
        <is>
          <t>AUD</t>
        </is>
      </c>
      <c r="U1591" t="n">
        <v>0</v>
      </c>
    </row>
    <row r="1592">
      <c r="A1592" s="5" t="inlineStr">
        <is>
          <t>01a152b9-87f6-7797-9933-115a2a7e9d9e</t>
        </is>
      </c>
      <c r="C1592" s="5" t="inlineStr">
        <is>
          <t>01a152b9-6e67-75da-8adb-b03e5d07fd21</t>
        </is>
      </c>
      <c r="D1592" s="4" t="n">
        <v>46314.24598507857</v>
      </c>
      <c r="E1592" s="4" t="n">
        <v>46314.24598507868</v>
      </c>
      <c r="F1592" t="b">
        <v>1</v>
      </c>
      <c r="G1592" t="n">
        <v/>
      </c>
      <c r="H1592" t="inlineStr">
        <is>
          <t>CAV</t>
        </is>
      </c>
      <c r="I1592" t="inlineStr">
        <is>
          <t>Carnavale Resources Ltd</t>
        </is>
      </c>
      <c r="J1592" t="inlineStr">
        <is>
          <t>AUD</t>
        </is>
      </c>
      <c r="K1592" s="5" t="inlineStr">
        <is>
          <t>01a152b9-6ee2-7577-bddd-382bc3853fde</t>
        </is>
      </c>
      <c r="M1592" t="inlineStr">
        <is>
          <t>UNKNOWN</t>
        </is>
      </c>
      <c r="N1592" t="inlineStr">
        <is>
          <t>DEFAULT</t>
        </is>
      </c>
      <c r="Q1592" t="n">
        <v>0</v>
      </c>
      <c r="R1592" t="inlineStr">
        <is>
          <t>AUD</t>
        </is>
      </c>
      <c r="S1592" t="n">
        <v>0</v>
      </c>
      <c r="T1592" t="inlineStr">
        <is>
          <t>AUD</t>
        </is>
      </c>
      <c r="U1592" t="n">
        <v>0</v>
      </c>
    </row>
    <row r="1593">
      <c r="A1593" s="5" t="inlineStr">
        <is>
          <t>01a152b9-87fa-710a-b722-754274ac8ccc</t>
        </is>
      </c>
      <c r="C1593" s="5" t="inlineStr">
        <is>
          <t>01a152b9-6e67-75da-8adb-b03e5d07fd21</t>
        </is>
      </c>
      <c r="D1593" s="4" t="n">
        <v>46314.24598512154</v>
      </c>
      <c r="E1593" s="4" t="n">
        <v>46314.24598512163</v>
      </c>
      <c r="F1593" t="b">
        <v>1</v>
      </c>
      <c r="G1593" t="n">
        <v/>
      </c>
      <c r="H1593" t="inlineStr">
        <is>
          <t>ASV</t>
        </is>
      </c>
      <c r="I1593" t="inlineStr">
        <is>
          <t>Asset Vision Co Ltd</t>
        </is>
      </c>
      <c r="J1593" t="inlineStr">
        <is>
          <t>AUD</t>
        </is>
      </c>
      <c r="K1593" s="5" t="inlineStr">
        <is>
          <t>01a152b9-6ee2-7577-bddd-382bc3853fde</t>
        </is>
      </c>
      <c r="M1593" t="inlineStr">
        <is>
          <t>UNKNOWN</t>
        </is>
      </c>
      <c r="N1593" t="inlineStr">
        <is>
          <t>DEFAULT</t>
        </is>
      </c>
      <c r="Q1593" t="n">
        <v>0</v>
      </c>
      <c r="R1593" t="inlineStr">
        <is>
          <t>AUD</t>
        </is>
      </c>
      <c r="S1593" t="n">
        <v>0</v>
      </c>
      <c r="T1593" t="inlineStr">
        <is>
          <t>AUD</t>
        </is>
      </c>
      <c r="U1593" t="n">
        <v>0</v>
      </c>
    </row>
    <row r="1594">
      <c r="A1594" s="5" t="inlineStr">
        <is>
          <t>01a152b9-87fe-72e2-aaab-acc10f0bb303</t>
        </is>
      </c>
      <c r="C1594" s="5" t="inlineStr">
        <is>
          <t>01a152b9-6e67-75da-8adb-b03e5d07fd21</t>
        </is>
      </c>
      <c r="D1594" s="4" t="n">
        <v>46314.24598516457</v>
      </c>
      <c r="E1594" s="4" t="n">
        <v>46314.24598516472</v>
      </c>
      <c r="F1594" t="b">
        <v>1</v>
      </c>
      <c r="G1594" t="n">
        <v/>
      </c>
      <c r="H1594" t="inlineStr">
        <is>
          <t>HIO</t>
        </is>
      </c>
      <c r="I1594" t="inlineStr">
        <is>
          <t>Hawsons Iron Ltd</t>
        </is>
      </c>
      <c r="J1594" t="inlineStr">
        <is>
          <t>AUD</t>
        </is>
      </c>
      <c r="K1594" s="5" t="inlineStr">
        <is>
          <t>01a152b9-6ee2-7577-bddd-382bc3853fde</t>
        </is>
      </c>
      <c r="M1594" t="inlineStr">
        <is>
          <t>UNKNOWN</t>
        </is>
      </c>
      <c r="N1594" t="inlineStr">
        <is>
          <t>DEFAULT</t>
        </is>
      </c>
      <c r="Q1594" t="n">
        <v>0</v>
      </c>
      <c r="R1594" t="inlineStr">
        <is>
          <t>AUD</t>
        </is>
      </c>
      <c r="S1594" t="n">
        <v>0</v>
      </c>
      <c r="T1594" t="inlineStr">
        <is>
          <t>AUD</t>
        </is>
      </c>
      <c r="U1594" t="n">
        <v>0</v>
      </c>
    </row>
    <row r="1595">
      <c r="A1595" s="5" t="inlineStr">
        <is>
          <t>01a152b9-8802-72a9-8b1b-b65da3b67b11</t>
        </is>
      </c>
      <c r="C1595" s="5" t="inlineStr">
        <is>
          <t>01a152b9-6e67-75da-8adb-b03e5d07fd21</t>
        </is>
      </c>
      <c r="D1595" s="4" t="n">
        <v>46314.24598521533</v>
      </c>
      <c r="E1595" s="4" t="n">
        <v>46314.24598521547</v>
      </c>
      <c r="F1595" t="b">
        <v>1</v>
      </c>
      <c r="G1595" t="n">
        <v/>
      </c>
      <c r="H1595" t="inlineStr">
        <is>
          <t>ODY</t>
        </is>
      </c>
      <c r="I1595" t="inlineStr">
        <is>
          <t>Odyssey Gold Ltd</t>
        </is>
      </c>
      <c r="J1595" t="inlineStr">
        <is>
          <t>AUD</t>
        </is>
      </c>
      <c r="K1595" s="5" t="inlineStr">
        <is>
          <t>01a152b9-6ee2-7577-bddd-382bc3853fde</t>
        </is>
      </c>
      <c r="M1595" t="inlineStr">
        <is>
          <t>UNKNOWN</t>
        </is>
      </c>
      <c r="N1595" t="inlineStr">
        <is>
          <t>DEFAULT</t>
        </is>
      </c>
      <c r="Q1595" t="n">
        <v>0</v>
      </c>
      <c r="R1595" t="inlineStr">
        <is>
          <t>AUD</t>
        </is>
      </c>
      <c r="S1595" t="n">
        <v>0</v>
      </c>
      <c r="T1595" t="inlineStr">
        <is>
          <t>AUD</t>
        </is>
      </c>
      <c r="U1595" t="n">
        <v>0</v>
      </c>
    </row>
    <row r="1596">
      <c r="A1596" s="5" t="inlineStr">
        <is>
          <t>01a152b9-8806-7653-a4cf-8b9459d6752b</t>
        </is>
      </c>
      <c r="C1596" s="5" t="inlineStr">
        <is>
          <t>01a152b9-6e67-75da-8adb-b03e5d07fd21</t>
        </is>
      </c>
      <c r="D1596" s="4" t="n">
        <v>46314.24598525874</v>
      </c>
      <c r="E1596" s="4" t="n">
        <v>46314.24598525884</v>
      </c>
      <c r="F1596" t="b">
        <v>1</v>
      </c>
      <c r="G1596" t="n">
        <v/>
      </c>
      <c r="H1596" t="inlineStr">
        <is>
          <t>VPR</t>
        </is>
      </c>
      <c r="I1596" t="inlineStr">
        <is>
          <t>Volt Group Ltd</t>
        </is>
      </c>
      <c r="J1596" t="inlineStr">
        <is>
          <t>AUD</t>
        </is>
      </c>
      <c r="K1596" s="5" t="inlineStr">
        <is>
          <t>01a152b9-6ee2-7577-bddd-382bc3853fde</t>
        </is>
      </c>
      <c r="M1596" t="inlineStr">
        <is>
          <t>UNKNOWN</t>
        </is>
      </c>
      <c r="N1596" t="inlineStr">
        <is>
          <t>DEFAULT</t>
        </is>
      </c>
      <c r="Q1596" t="n">
        <v>0</v>
      </c>
      <c r="R1596" t="inlineStr">
        <is>
          <t>AUD</t>
        </is>
      </c>
      <c r="S1596" t="n">
        <v>0</v>
      </c>
      <c r="T1596" t="inlineStr">
        <is>
          <t>AUD</t>
        </is>
      </c>
      <c r="U1596" t="n">
        <v>0</v>
      </c>
    </row>
    <row r="1597">
      <c r="A1597" s="5" t="inlineStr">
        <is>
          <t>01a152b9-8809-7015-b596-78150e98c242</t>
        </is>
      </c>
      <c r="C1597" s="5" t="inlineStr">
        <is>
          <t>01a152b9-6e67-75da-8adb-b03e5d07fd21</t>
        </is>
      </c>
      <c r="D1597" s="4" t="n">
        <v>46314.24598529883</v>
      </c>
      <c r="E1597" s="4" t="n">
        <v>46314.24598529893</v>
      </c>
      <c r="F1597" t="b">
        <v>1</v>
      </c>
      <c r="G1597" t="n">
        <v/>
      </c>
      <c r="H1597" t="inlineStr">
        <is>
          <t>BSX</t>
        </is>
      </c>
      <c r="I1597" t="inlineStr">
        <is>
          <t>Blackstone Minerals Ltd</t>
        </is>
      </c>
      <c r="J1597" t="inlineStr">
        <is>
          <t>AUD</t>
        </is>
      </c>
      <c r="K1597" s="5" t="inlineStr">
        <is>
          <t>01a152b9-6ee2-7577-bddd-382bc3853fde</t>
        </is>
      </c>
      <c r="M1597" t="inlineStr">
        <is>
          <t>UNKNOWN</t>
        </is>
      </c>
      <c r="N1597" t="inlineStr">
        <is>
          <t>DEFAULT</t>
        </is>
      </c>
      <c r="Q1597" t="n">
        <v>0</v>
      </c>
      <c r="R1597" t="inlineStr">
        <is>
          <t>AUD</t>
        </is>
      </c>
      <c r="S1597" t="n">
        <v>0</v>
      </c>
      <c r="T1597" t="inlineStr">
        <is>
          <t>AUD</t>
        </is>
      </c>
      <c r="U1597" t="n">
        <v>0</v>
      </c>
    </row>
    <row r="1598">
      <c r="A1598" s="5" t="inlineStr">
        <is>
          <t>01a152b9-880d-716d-9669-bcc866c0f508</t>
        </is>
      </c>
      <c r="C1598" s="5" t="inlineStr">
        <is>
          <t>01a152b9-6e67-75da-8adb-b03e5d07fd21</t>
        </is>
      </c>
      <c r="D1598" s="4" t="n">
        <v>46314.24598533996</v>
      </c>
      <c r="E1598" s="4" t="n">
        <v>46314.24598534004</v>
      </c>
      <c r="F1598" t="b">
        <v>1</v>
      </c>
      <c r="G1598" t="n">
        <v/>
      </c>
      <c r="H1598" t="inlineStr">
        <is>
          <t>IME</t>
        </is>
      </c>
      <c r="I1598" t="inlineStr">
        <is>
          <t>Imexhs Ltd</t>
        </is>
      </c>
      <c r="J1598" t="inlineStr">
        <is>
          <t>AUD</t>
        </is>
      </c>
      <c r="K1598" s="5" t="inlineStr">
        <is>
          <t>01a152b9-6ee2-7577-bddd-382bc3853fde</t>
        </is>
      </c>
      <c r="M1598" t="inlineStr">
        <is>
          <t>UNKNOWN</t>
        </is>
      </c>
      <c r="N1598" t="inlineStr">
        <is>
          <t>DEFAULT</t>
        </is>
      </c>
      <c r="Q1598" t="n">
        <v>0</v>
      </c>
      <c r="R1598" t="inlineStr">
        <is>
          <t>AUD</t>
        </is>
      </c>
      <c r="S1598" t="n">
        <v>0</v>
      </c>
      <c r="T1598" t="inlineStr">
        <is>
          <t>AUD</t>
        </is>
      </c>
      <c r="U1598" t="n">
        <v>0</v>
      </c>
    </row>
    <row r="1599">
      <c r="A1599" s="5" t="inlineStr">
        <is>
          <t>01a152b9-8810-72ac-875f-d2ac5cfcf245</t>
        </is>
      </c>
      <c r="C1599" s="5" t="inlineStr">
        <is>
          <t>01a152b9-6e67-75da-8adb-b03e5d07fd21</t>
        </is>
      </c>
      <c r="D1599" s="4" t="n">
        <v>46314.24598537343</v>
      </c>
      <c r="E1599" s="4" t="n">
        <v>46314.24598537352</v>
      </c>
      <c r="F1599" t="b">
        <v>1</v>
      </c>
      <c r="G1599" t="n">
        <v/>
      </c>
      <c r="H1599" t="inlineStr">
        <is>
          <t>KRR</t>
        </is>
      </c>
      <c r="I1599" t="inlineStr">
        <is>
          <t>King River Resources Ltd</t>
        </is>
      </c>
      <c r="J1599" t="inlineStr">
        <is>
          <t>AUD</t>
        </is>
      </c>
      <c r="K1599" s="5" t="inlineStr">
        <is>
          <t>01a152b9-6ee2-7577-bddd-382bc3853fde</t>
        </is>
      </c>
      <c r="M1599" t="inlineStr">
        <is>
          <t>UNKNOWN</t>
        </is>
      </c>
      <c r="N1599" t="inlineStr">
        <is>
          <t>DEFAULT</t>
        </is>
      </c>
      <c r="Q1599" t="n">
        <v>0</v>
      </c>
      <c r="R1599" t="inlineStr">
        <is>
          <t>AUD</t>
        </is>
      </c>
      <c r="S1599" t="n">
        <v>0</v>
      </c>
      <c r="T1599" t="inlineStr">
        <is>
          <t>AUD</t>
        </is>
      </c>
      <c r="U1599" t="n">
        <v>0</v>
      </c>
    </row>
    <row r="1600">
      <c r="A1600" s="5" t="inlineStr">
        <is>
          <t>01a152b9-8813-7083-a345-1412fec4304d</t>
        </is>
      </c>
      <c r="C1600" s="5" t="inlineStr">
        <is>
          <t>01a152b9-6e67-75da-8adb-b03e5d07fd21</t>
        </is>
      </c>
      <c r="D1600" s="4" t="n">
        <v>46314.24598541118</v>
      </c>
      <c r="E1600" s="4" t="n">
        <v>46314.24598541128</v>
      </c>
      <c r="F1600" t="b">
        <v>1</v>
      </c>
      <c r="G1600" t="n">
        <v/>
      </c>
      <c r="H1600" t="inlineStr">
        <is>
          <t>ETPMPM</t>
        </is>
      </c>
      <c r="I1600" t="inlineStr">
        <is>
          <t>Global X Metal Securities Australia Ltd</t>
        </is>
      </c>
      <c r="J1600" t="inlineStr">
        <is>
          <t>AUD</t>
        </is>
      </c>
      <c r="K1600" s="5" t="inlineStr">
        <is>
          <t>01a152b9-6ee2-7577-bddd-382bc3853fde</t>
        </is>
      </c>
      <c r="M1600" t="inlineStr">
        <is>
          <t>UNKNOWN</t>
        </is>
      </c>
      <c r="N1600" t="inlineStr">
        <is>
          <t>DEFAULT</t>
        </is>
      </c>
      <c r="Q1600" t="n">
        <v>0</v>
      </c>
      <c r="R1600" t="inlineStr">
        <is>
          <t>AUD</t>
        </is>
      </c>
      <c r="S1600" t="n">
        <v>0</v>
      </c>
      <c r="T1600" t="inlineStr">
        <is>
          <t>AUD</t>
        </is>
      </c>
      <c r="U1600" t="n">
        <v>0</v>
      </c>
    </row>
    <row r="1601">
      <c r="A1601" s="5" t="inlineStr">
        <is>
          <t>01a152b9-8816-76b6-b048-d697a9095915</t>
        </is>
      </c>
      <c r="C1601" s="5" t="inlineStr">
        <is>
          <t>01a152b9-6e67-75da-8adb-b03e5d07fd21</t>
        </is>
      </c>
      <c r="D1601" s="4" t="n">
        <v>46314.24598544992</v>
      </c>
      <c r="E1601" s="4" t="n">
        <v>46314.24598545001</v>
      </c>
      <c r="F1601" t="b">
        <v>1</v>
      </c>
      <c r="G1601" t="n">
        <v/>
      </c>
      <c r="H1601" t="inlineStr">
        <is>
          <t>MLS</t>
        </is>
      </c>
      <c r="I1601" t="inlineStr">
        <is>
          <t>Metals Australia Ltd</t>
        </is>
      </c>
      <c r="J1601" t="inlineStr">
        <is>
          <t>AUD</t>
        </is>
      </c>
      <c r="K1601" s="5" t="inlineStr">
        <is>
          <t>01a152b9-6ee2-7577-bddd-382bc3853fde</t>
        </is>
      </c>
      <c r="M1601" t="inlineStr">
        <is>
          <t>UNKNOWN</t>
        </is>
      </c>
      <c r="N1601" t="inlineStr">
        <is>
          <t>DEFAULT</t>
        </is>
      </c>
      <c r="Q1601" t="n">
        <v>0</v>
      </c>
      <c r="R1601" t="inlineStr">
        <is>
          <t>AUD</t>
        </is>
      </c>
      <c r="S1601" t="n">
        <v>0</v>
      </c>
      <c r="T1601" t="inlineStr">
        <is>
          <t>AUD</t>
        </is>
      </c>
      <c r="U1601" t="n">
        <v>0</v>
      </c>
    </row>
    <row r="1602">
      <c r="A1602" s="5" t="inlineStr">
        <is>
          <t>01a152b9-881a-7042-88d1-cfc3fb58dccf</t>
        </is>
      </c>
      <c r="C1602" s="5" t="inlineStr">
        <is>
          <t>01a152b9-6e67-75da-8adb-b03e5d07fd21</t>
        </is>
      </c>
      <c r="D1602" s="4" t="n">
        <v>46314.24598548947</v>
      </c>
      <c r="E1602" s="4" t="n">
        <v>46314.24598548959</v>
      </c>
      <c r="F1602" t="b">
        <v>1</v>
      </c>
      <c r="G1602" t="n">
        <v/>
      </c>
      <c r="H1602" t="inlineStr">
        <is>
          <t>HTG</t>
        </is>
      </c>
      <c r="I1602" t="inlineStr">
        <is>
          <t>Harvest Technology Group Ltd</t>
        </is>
      </c>
      <c r="J1602" t="inlineStr">
        <is>
          <t>AUD</t>
        </is>
      </c>
      <c r="K1602" s="5" t="inlineStr">
        <is>
          <t>01a152b9-6ee2-7577-bddd-382bc3853fde</t>
        </is>
      </c>
      <c r="M1602" t="inlineStr">
        <is>
          <t>UNKNOWN</t>
        </is>
      </c>
      <c r="N1602" t="inlineStr">
        <is>
          <t>DEFAULT</t>
        </is>
      </c>
      <c r="Q1602" t="n">
        <v>0</v>
      </c>
      <c r="R1602" t="inlineStr">
        <is>
          <t>AUD</t>
        </is>
      </c>
      <c r="S1602" t="n">
        <v>0</v>
      </c>
      <c r="T1602" t="inlineStr">
        <is>
          <t>AUD</t>
        </is>
      </c>
      <c r="U1602" t="n">
        <v>0</v>
      </c>
    </row>
    <row r="1603">
      <c r="A1603" s="5" t="inlineStr">
        <is>
          <t>01a152b9-881d-76ca-a6f0-d5a2b44ef11e</t>
        </is>
      </c>
      <c r="C1603" s="5" t="inlineStr">
        <is>
          <t>01a152b9-6e67-75da-8adb-b03e5d07fd21</t>
        </is>
      </c>
      <c r="D1603" s="4" t="n">
        <v>46314.24598553291</v>
      </c>
      <c r="E1603" s="4" t="n">
        <v>46314.24598553299</v>
      </c>
      <c r="F1603" t="b">
        <v>1</v>
      </c>
      <c r="G1603" t="n">
        <v/>
      </c>
      <c r="H1603" t="inlineStr">
        <is>
          <t>KAM</t>
        </is>
      </c>
      <c r="I1603" t="inlineStr">
        <is>
          <t>K2 Asset Management Holdings Ltd</t>
        </is>
      </c>
      <c r="J1603" t="inlineStr">
        <is>
          <t>AUD</t>
        </is>
      </c>
      <c r="K1603" s="5" t="inlineStr">
        <is>
          <t>01a152b9-6ee2-7577-bddd-382bc3853fde</t>
        </is>
      </c>
      <c r="M1603" t="inlineStr">
        <is>
          <t>UNKNOWN</t>
        </is>
      </c>
      <c r="N1603" t="inlineStr">
        <is>
          <t>DEFAULT</t>
        </is>
      </c>
      <c r="Q1603" t="n">
        <v>0</v>
      </c>
      <c r="R1603" t="inlineStr">
        <is>
          <t>AUD</t>
        </is>
      </c>
      <c r="S1603" t="n">
        <v>0</v>
      </c>
      <c r="T1603" t="inlineStr">
        <is>
          <t>AUD</t>
        </is>
      </c>
      <c r="U1603" t="n">
        <v>0</v>
      </c>
    </row>
    <row r="1604">
      <c r="A1604" s="5" t="inlineStr">
        <is>
          <t>01a152b9-8821-76de-9363-d72337c45787</t>
        </is>
      </c>
      <c r="C1604" s="5" t="inlineStr">
        <is>
          <t>01a152b9-6e67-75da-8adb-b03e5d07fd21</t>
        </is>
      </c>
      <c r="D1604" s="4" t="n">
        <v>46314.24598557465</v>
      </c>
      <c r="E1604" s="4" t="n">
        <v>46314.24598557478</v>
      </c>
      <c r="F1604" t="b">
        <v>1</v>
      </c>
      <c r="G1604" t="n">
        <v/>
      </c>
      <c r="H1604" t="inlineStr">
        <is>
          <t>AAP</t>
        </is>
      </c>
      <c r="I1604" t="inlineStr">
        <is>
          <t>Australian Agricultural Projects Ltd</t>
        </is>
      </c>
      <c r="J1604" t="inlineStr">
        <is>
          <t>AUD</t>
        </is>
      </c>
      <c r="K1604" s="5" t="inlineStr">
        <is>
          <t>01a152b9-6ee2-7577-bddd-382bc3853fde</t>
        </is>
      </c>
      <c r="M1604" t="inlineStr">
        <is>
          <t>UNKNOWN</t>
        </is>
      </c>
      <c r="N1604" t="inlineStr">
        <is>
          <t>DEFAULT</t>
        </is>
      </c>
      <c r="Q1604" t="n">
        <v>0</v>
      </c>
      <c r="R1604" t="inlineStr">
        <is>
          <t>AUD</t>
        </is>
      </c>
      <c r="S1604" t="n">
        <v>0</v>
      </c>
      <c r="T1604" t="inlineStr">
        <is>
          <t>AUD</t>
        </is>
      </c>
      <c r="U1604" t="n">
        <v>0</v>
      </c>
    </row>
    <row r="1605">
      <c r="A1605" s="5" t="inlineStr">
        <is>
          <t>01a152b9-8825-7110-a4c2-e5f8cab0e25a</t>
        </is>
      </c>
      <c r="C1605" s="5" t="inlineStr">
        <is>
          <t>01a152b9-6e67-75da-8adb-b03e5d07fd21</t>
        </is>
      </c>
      <c r="D1605" s="4" t="n">
        <v>46314.24598561729</v>
      </c>
      <c r="E1605" s="4" t="n">
        <v>46314.2459856174</v>
      </c>
      <c r="F1605" t="b">
        <v>1</v>
      </c>
      <c r="G1605" t="n">
        <v/>
      </c>
      <c r="H1605" t="inlineStr">
        <is>
          <t>ADY</t>
        </is>
      </c>
      <c r="I1605" t="inlineStr">
        <is>
          <t>Admiralty Resources NL</t>
        </is>
      </c>
      <c r="J1605" t="inlineStr">
        <is>
          <t>AUD</t>
        </is>
      </c>
      <c r="K1605" s="5" t="inlineStr">
        <is>
          <t>01a152b9-6ee2-7577-bddd-382bc3853fde</t>
        </is>
      </c>
      <c r="M1605" t="inlineStr">
        <is>
          <t>UNKNOWN</t>
        </is>
      </c>
      <c r="N1605" t="inlineStr">
        <is>
          <t>DEFAULT</t>
        </is>
      </c>
      <c r="Q1605" t="n">
        <v>0</v>
      </c>
      <c r="R1605" t="inlineStr">
        <is>
          <t>AUD</t>
        </is>
      </c>
      <c r="S1605" t="n">
        <v>0</v>
      </c>
      <c r="T1605" t="inlineStr">
        <is>
          <t>AUD</t>
        </is>
      </c>
      <c r="U1605" t="n">
        <v>0</v>
      </c>
    </row>
    <row r="1606">
      <c r="A1606" s="5" t="inlineStr">
        <is>
          <t>01a152b9-8829-7776-adbd-8b2563c95f70</t>
        </is>
      </c>
      <c r="C1606" s="5" t="inlineStr">
        <is>
          <t>01a152b9-6e67-75da-8adb-b03e5d07fd21</t>
        </is>
      </c>
      <c r="D1606" s="4" t="n">
        <v>46314.24598566278</v>
      </c>
      <c r="E1606" s="4" t="n">
        <v>46314.24598566289</v>
      </c>
      <c r="F1606" t="b">
        <v>1</v>
      </c>
      <c r="G1606" t="n">
        <v/>
      </c>
      <c r="H1606" t="inlineStr">
        <is>
          <t>NACGA</t>
        </is>
      </c>
      <c r="I1606" t="inlineStr">
        <is>
          <t>Naos Ex-50 Opportunities Company Ltd</t>
        </is>
      </c>
      <c r="J1606" t="inlineStr">
        <is>
          <t>AUD</t>
        </is>
      </c>
      <c r="K1606" s="5" t="inlineStr">
        <is>
          <t>01a152b9-6ee2-7577-bddd-382bc3853fde</t>
        </is>
      </c>
      <c r="M1606" t="inlineStr">
        <is>
          <t>UNKNOWN</t>
        </is>
      </c>
      <c r="N1606" t="inlineStr">
        <is>
          <t>DEFAULT</t>
        </is>
      </c>
      <c r="Q1606" t="n">
        <v>0</v>
      </c>
      <c r="R1606" t="inlineStr">
        <is>
          <t>AUD</t>
        </is>
      </c>
      <c r="S1606" t="n">
        <v>0</v>
      </c>
      <c r="T1606" t="inlineStr">
        <is>
          <t>AUD</t>
        </is>
      </c>
      <c r="U1606" t="n">
        <v>0</v>
      </c>
    </row>
    <row r="1607">
      <c r="A1607" s="5" t="inlineStr">
        <is>
          <t>01a152b9-882d-7656-9b51-497f80a48d92</t>
        </is>
      </c>
      <c r="C1607" s="5" t="inlineStr">
        <is>
          <t>01a152b9-6e67-75da-8adb-b03e5d07fd21</t>
        </is>
      </c>
      <c r="D1607" s="4" t="n">
        <v>46314.24598570884</v>
      </c>
      <c r="E1607" s="4" t="n">
        <v>46314.24598570896</v>
      </c>
      <c r="F1607" t="b">
        <v>1</v>
      </c>
      <c r="G1607" t="n">
        <v/>
      </c>
      <c r="H1607" t="inlineStr">
        <is>
          <t>GAS</t>
        </is>
      </c>
      <c r="I1607" t="inlineStr">
        <is>
          <t>State GAS Ltd</t>
        </is>
      </c>
      <c r="J1607" t="inlineStr">
        <is>
          <t>AUD</t>
        </is>
      </c>
      <c r="K1607" s="5" t="inlineStr">
        <is>
          <t>01a152b9-6ee2-7577-bddd-382bc3853fde</t>
        </is>
      </c>
      <c r="M1607" t="inlineStr">
        <is>
          <t>UNKNOWN</t>
        </is>
      </c>
      <c r="N1607" t="inlineStr">
        <is>
          <t>DEFAULT</t>
        </is>
      </c>
      <c r="Q1607" t="n">
        <v>0</v>
      </c>
      <c r="R1607" t="inlineStr">
        <is>
          <t>AUD</t>
        </is>
      </c>
      <c r="S1607" t="n">
        <v>0</v>
      </c>
      <c r="T1607" t="inlineStr">
        <is>
          <t>AUD</t>
        </is>
      </c>
      <c r="U1607" t="n">
        <v>0</v>
      </c>
    </row>
    <row r="1608">
      <c r="A1608" s="5" t="inlineStr">
        <is>
          <t>01a152b9-8830-7207-aea4-f9a453c5be42</t>
        </is>
      </c>
      <c r="C1608" s="5" t="inlineStr">
        <is>
          <t>01a152b9-6e67-75da-8adb-b03e5d07fd21</t>
        </is>
      </c>
      <c r="D1608" s="4" t="n">
        <v>46314.24598575084</v>
      </c>
      <c r="E1608" s="4" t="n">
        <v>46314.24598575097</v>
      </c>
      <c r="F1608" t="b">
        <v>1</v>
      </c>
      <c r="G1608" t="n">
        <v/>
      </c>
      <c r="H1608" t="inlineStr">
        <is>
          <t>TRM</t>
        </is>
      </c>
      <c r="I1608" t="inlineStr">
        <is>
          <t>Truscott Mining Corporation Ltd</t>
        </is>
      </c>
      <c r="J1608" t="inlineStr">
        <is>
          <t>AUD</t>
        </is>
      </c>
      <c r="K1608" s="5" t="inlineStr">
        <is>
          <t>01a152b9-6ee2-7577-bddd-382bc3853fde</t>
        </is>
      </c>
      <c r="M1608" t="inlineStr">
        <is>
          <t>UNKNOWN</t>
        </is>
      </c>
      <c r="N1608" t="inlineStr">
        <is>
          <t>DEFAULT</t>
        </is>
      </c>
      <c r="Q1608" t="n">
        <v>0</v>
      </c>
      <c r="R1608" t="inlineStr">
        <is>
          <t>AUD</t>
        </is>
      </c>
      <c r="S1608" t="n">
        <v>0</v>
      </c>
      <c r="T1608" t="inlineStr">
        <is>
          <t>AUD</t>
        </is>
      </c>
      <c r="U1608" t="n">
        <v>0</v>
      </c>
    </row>
    <row r="1609">
      <c r="A1609" s="5" t="inlineStr">
        <is>
          <t>01a152b9-8833-744a-9cb6-5523db648280</t>
        </is>
      </c>
      <c r="C1609" s="5" t="inlineStr">
        <is>
          <t>01a152b9-6e67-75da-8adb-b03e5d07fd21</t>
        </is>
      </c>
      <c r="D1609" s="4" t="n">
        <v>46314.2459857874</v>
      </c>
      <c r="E1609" s="4" t="n">
        <v>46314.2459857875</v>
      </c>
      <c r="F1609" t="b">
        <v>1</v>
      </c>
      <c r="G1609" t="n">
        <v/>
      </c>
      <c r="H1609" t="inlineStr">
        <is>
          <t>BAS</t>
        </is>
      </c>
      <c r="I1609" t="inlineStr">
        <is>
          <t>Bass Oil Ltd</t>
        </is>
      </c>
      <c r="J1609" t="inlineStr">
        <is>
          <t>AUD</t>
        </is>
      </c>
      <c r="K1609" s="5" t="inlineStr">
        <is>
          <t>01a152b9-6ee2-7577-bddd-382bc3853fde</t>
        </is>
      </c>
      <c r="M1609" t="inlineStr">
        <is>
          <t>UNKNOWN</t>
        </is>
      </c>
      <c r="N1609" t="inlineStr">
        <is>
          <t>DEFAULT</t>
        </is>
      </c>
      <c r="Q1609" t="n">
        <v>0</v>
      </c>
      <c r="R1609" t="inlineStr">
        <is>
          <t>AUD</t>
        </is>
      </c>
      <c r="S1609" t="n">
        <v>0</v>
      </c>
      <c r="T1609" t="inlineStr">
        <is>
          <t>AUD</t>
        </is>
      </c>
      <c r="U1609" t="n">
        <v>0</v>
      </c>
    </row>
    <row r="1610">
      <c r="A1610" s="5" t="inlineStr">
        <is>
          <t>01a152b9-8837-7165-94eb-304b71b79b3a</t>
        </is>
      </c>
      <c r="C1610" s="5" t="inlineStr">
        <is>
          <t>01a152b9-6e67-75da-8adb-b03e5d07fd21</t>
        </is>
      </c>
      <c r="D1610" s="4" t="n">
        <v>46314.24598582542</v>
      </c>
      <c r="E1610" s="4" t="n">
        <v>46314.24598582553</v>
      </c>
      <c r="F1610" t="b">
        <v>1</v>
      </c>
      <c r="G1610" t="n">
        <v/>
      </c>
      <c r="H1610" t="inlineStr">
        <is>
          <t>LAM</t>
        </is>
      </c>
      <c r="I1610" t="inlineStr">
        <is>
          <t>Laramide Resources Ltd</t>
        </is>
      </c>
      <c r="J1610" t="inlineStr">
        <is>
          <t>AUD</t>
        </is>
      </c>
      <c r="K1610" s="5" t="inlineStr">
        <is>
          <t>01a152b9-6ee2-7577-bddd-382bc3853fde</t>
        </is>
      </c>
      <c r="M1610" t="inlineStr">
        <is>
          <t>UNKNOWN</t>
        </is>
      </c>
      <c r="N1610" t="inlineStr">
        <is>
          <t>DEFAULT</t>
        </is>
      </c>
      <c r="Q1610" t="n">
        <v>0</v>
      </c>
      <c r="R1610" t="inlineStr">
        <is>
          <t>AUD</t>
        </is>
      </c>
      <c r="S1610" t="n">
        <v>0</v>
      </c>
      <c r="T1610" t="inlineStr">
        <is>
          <t>AUD</t>
        </is>
      </c>
      <c r="U1610" t="n">
        <v>0</v>
      </c>
    </row>
    <row r="1611">
      <c r="A1611" s="5" t="inlineStr">
        <is>
          <t>01a152b9-883a-7282-be19-45d45fd1456f</t>
        </is>
      </c>
      <c r="C1611" s="5" t="inlineStr">
        <is>
          <t>01a152b9-6e67-75da-8adb-b03e5d07fd21</t>
        </is>
      </c>
      <c r="D1611" s="4" t="n">
        <v>46314.24598586313</v>
      </c>
      <c r="E1611" s="4" t="n">
        <v>46314.24598586332</v>
      </c>
      <c r="F1611" t="b">
        <v>1</v>
      </c>
      <c r="G1611" t="n">
        <v/>
      </c>
      <c r="H1611" t="inlineStr">
        <is>
          <t>CBL</t>
        </is>
      </c>
      <c r="I1611" t="inlineStr">
        <is>
          <t>Control Bionics Ltd</t>
        </is>
      </c>
      <c r="J1611" t="inlineStr">
        <is>
          <t>AUD</t>
        </is>
      </c>
      <c r="K1611" s="5" t="inlineStr">
        <is>
          <t>01a152b9-6ee2-7577-bddd-382bc3853fde</t>
        </is>
      </c>
      <c r="M1611" t="inlineStr">
        <is>
          <t>UNKNOWN</t>
        </is>
      </c>
      <c r="N1611" t="inlineStr">
        <is>
          <t>DEFAULT</t>
        </is>
      </c>
      <c r="Q1611" t="n">
        <v>0</v>
      </c>
      <c r="R1611" t="inlineStr">
        <is>
          <t>AUD</t>
        </is>
      </c>
      <c r="S1611" t="n">
        <v>0</v>
      </c>
      <c r="T1611" t="inlineStr">
        <is>
          <t>AUD</t>
        </is>
      </c>
      <c r="U1611" t="n">
        <v>0</v>
      </c>
    </row>
    <row r="1612">
      <c r="A1612" s="5" t="inlineStr">
        <is>
          <t>01a152b9-883e-73e2-9300-65d4143c12aa</t>
        </is>
      </c>
      <c r="C1612" s="5" t="inlineStr">
        <is>
          <t>01a152b9-6e67-75da-8adb-b03e5d07fd21</t>
        </is>
      </c>
      <c r="D1612" s="4" t="n">
        <v>46314.24598590987</v>
      </c>
      <c r="E1612" s="4" t="n">
        <v>46314.24598590999</v>
      </c>
      <c r="F1612" t="b">
        <v>1</v>
      </c>
      <c r="G1612" t="n">
        <v/>
      </c>
      <c r="H1612" t="inlineStr">
        <is>
          <t>PET</t>
        </is>
      </c>
      <c r="I1612" t="inlineStr">
        <is>
          <t>Phoslock Environmental Technologies Ltd</t>
        </is>
      </c>
      <c r="J1612" t="inlineStr">
        <is>
          <t>AUD</t>
        </is>
      </c>
      <c r="K1612" s="5" t="inlineStr">
        <is>
          <t>01a152b9-6ee2-7577-bddd-382bc3853fde</t>
        </is>
      </c>
      <c r="M1612" t="inlineStr">
        <is>
          <t>UNKNOWN</t>
        </is>
      </c>
      <c r="N1612" t="inlineStr">
        <is>
          <t>DEFAULT</t>
        </is>
      </c>
      <c r="Q1612" t="n">
        <v>0</v>
      </c>
      <c r="R1612" t="inlineStr">
        <is>
          <t>AUD</t>
        </is>
      </c>
      <c r="S1612" t="n">
        <v>0</v>
      </c>
      <c r="T1612" t="inlineStr">
        <is>
          <t>AUD</t>
        </is>
      </c>
      <c r="U1612" t="n">
        <v>0</v>
      </c>
    </row>
    <row r="1613">
      <c r="A1613" s="5" t="inlineStr">
        <is>
          <t>01a152b9-8841-7126-9bd1-49b9d748f570</t>
        </is>
      </c>
      <c r="C1613" s="5" t="inlineStr">
        <is>
          <t>01a152b9-6e67-75da-8adb-b03e5d07fd21</t>
        </is>
      </c>
      <c r="D1613" s="4" t="n">
        <v>46314.24598594822</v>
      </c>
      <c r="E1613" s="4" t="n">
        <v>46314.24598594845</v>
      </c>
      <c r="F1613" t="b">
        <v>1</v>
      </c>
      <c r="G1613" t="n">
        <v/>
      </c>
      <c r="H1613" t="inlineStr">
        <is>
          <t>HPR</t>
        </is>
      </c>
      <c r="I1613" t="inlineStr">
        <is>
          <t>High Peak Royalties Ltd</t>
        </is>
      </c>
      <c r="J1613" t="inlineStr">
        <is>
          <t>AUD</t>
        </is>
      </c>
      <c r="K1613" s="5" t="inlineStr">
        <is>
          <t>01a152b9-6ee2-7577-bddd-382bc3853fde</t>
        </is>
      </c>
      <c r="M1613" t="inlineStr">
        <is>
          <t>UNKNOWN</t>
        </is>
      </c>
      <c r="N1613" t="inlineStr">
        <is>
          <t>DEFAULT</t>
        </is>
      </c>
      <c r="Q1613" t="n">
        <v>0</v>
      </c>
      <c r="R1613" t="inlineStr">
        <is>
          <t>AUD</t>
        </is>
      </c>
      <c r="S1613" t="n">
        <v>0</v>
      </c>
      <c r="T1613" t="inlineStr">
        <is>
          <t>AUD</t>
        </is>
      </c>
      <c r="U1613" t="n">
        <v>0</v>
      </c>
    </row>
    <row r="1614">
      <c r="A1614" s="5" t="inlineStr">
        <is>
          <t>01a152b9-8845-7360-9bf6-ca781f3d5801</t>
        </is>
      </c>
      <c r="C1614" s="5" t="inlineStr">
        <is>
          <t>01a152b9-6e67-75da-8adb-b03e5d07fd21</t>
        </is>
      </c>
      <c r="D1614" s="4" t="n">
        <v>46314.24598598755</v>
      </c>
      <c r="E1614" s="4" t="n">
        <v>46314.24598598766</v>
      </c>
      <c r="F1614" t="b">
        <v>1</v>
      </c>
      <c r="G1614" t="n">
        <v/>
      </c>
      <c r="H1614" t="inlineStr">
        <is>
          <t>NYR</t>
        </is>
      </c>
      <c r="I1614" t="inlineStr">
        <is>
          <t>Nyrada Inc</t>
        </is>
      </c>
      <c r="J1614" t="inlineStr">
        <is>
          <t>AUD</t>
        </is>
      </c>
      <c r="K1614" s="5" t="inlineStr">
        <is>
          <t>01a152b9-6ee2-7577-bddd-382bc3853fde</t>
        </is>
      </c>
      <c r="M1614" t="inlineStr">
        <is>
          <t>UNKNOWN</t>
        </is>
      </c>
      <c r="N1614" t="inlineStr">
        <is>
          <t>DEFAULT</t>
        </is>
      </c>
      <c r="Q1614" t="n">
        <v>0</v>
      </c>
      <c r="R1614" t="inlineStr">
        <is>
          <t>AUD</t>
        </is>
      </c>
      <c r="S1614" t="n">
        <v>0</v>
      </c>
      <c r="T1614" t="inlineStr">
        <is>
          <t>AUD</t>
        </is>
      </c>
      <c r="U1614" t="n">
        <v>0</v>
      </c>
    </row>
    <row r="1615">
      <c r="A1615" s="5" t="inlineStr">
        <is>
          <t>01a152b9-8848-7125-bdb5-3508d2037663</t>
        </is>
      </c>
      <c r="C1615" s="5" t="inlineStr">
        <is>
          <t>01a152b9-6e67-75da-8adb-b03e5d07fd21</t>
        </is>
      </c>
      <c r="D1615" s="4" t="n">
        <v>46314.24598603038</v>
      </c>
      <c r="E1615" s="4" t="n">
        <v>46314.24598603051</v>
      </c>
      <c r="F1615" t="b">
        <v>1</v>
      </c>
      <c r="G1615" t="n">
        <v/>
      </c>
      <c r="H1615" t="inlineStr">
        <is>
          <t>SLS</t>
        </is>
      </c>
      <c r="I1615" t="inlineStr">
        <is>
          <t>Solstice Minerals Ltd</t>
        </is>
      </c>
      <c r="J1615" t="inlineStr">
        <is>
          <t>AUD</t>
        </is>
      </c>
      <c r="K1615" s="5" t="inlineStr">
        <is>
          <t>01a152b9-6ee2-7577-bddd-382bc3853fde</t>
        </is>
      </c>
      <c r="M1615" t="inlineStr">
        <is>
          <t>UNKNOWN</t>
        </is>
      </c>
      <c r="N1615" t="inlineStr">
        <is>
          <t>DEFAULT</t>
        </is>
      </c>
      <c r="Q1615" t="n">
        <v>0</v>
      </c>
      <c r="R1615" t="inlineStr">
        <is>
          <t>AUD</t>
        </is>
      </c>
      <c r="S1615" t="n">
        <v>0</v>
      </c>
      <c r="T1615" t="inlineStr">
        <is>
          <t>AUD</t>
        </is>
      </c>
      <c r="U1615" t="n">
        <v>0</v>
      </c>
    </row>
    <row r="1616">
      <c r="A1616" s="5" t="inlineStr">
        <is>
          <t>01a152b9-884d-7735-bb36-8c9758fca269</t>
        </is>
      </c>
      <c r="C1616" s="5" t="inlineStr">
        <is>
          <t>01a152b9-6e67-75da-8adb-b03e5d07fd21</t>
        </is>
      </c>
      <c r="D1616" s="4" t="n">
        <v>46314.24598608227</v>
      </c>
      <c r="E1616" s="4" t="n">
        <v>46314.24598608242</v>
      </c>
      <c r="F1616" t="b">
        <v>1</v>
      </c>
      <c r="G1616" t="n">
        <v/>
      </c>
      <c r="H1616" t="inlineStr">
        <is>
          <t>DXN</t>
        </is>
      </c>
      <c r="I1616" t="inlineStr">
        <is>
          <t>DXN Ltd</t>
        </is>
      </c>
      <c r="J1616" t="inlineStr">
        <is>
          <t>AUD</t>
        </is>
      </c>
      <c r="K1616" s="5" t="inlineStr">
        <is>
          <t>01a152b9-6ee2-7577-bddd-382bc3853fde</t>
        </is>
      </c>
      <c r="M1616" t="inlineStr">
        <is>
          <t>UNKNOWN</t>
        </is>
      </c>
      <c r="N1616" t="inlineStr">
        <is>
          <t>DEFAULT</t>
        </is>
      </c>
      <c r="Q1616" t="n">
        <v>0</v>
      </c>
      <c r="R1616" t="inlineStr">
        <is>
          <t>AUD</t>
        </is>
      </c>
      <c r="S1616" t="n">
        <v>0</v>
      </c>
      <c r="T1616" t="inlineStr">
        <is>
          <t>AUD</t>
        </is>
      </c>
      <c r="U1616" t="n">
        <v>0</v>
      </c>
    </row>
    <row r="1617">
      <c r="A1617" s="5" t="inlineStr">
        <is>
          <t>01a152b9-8850-70e7-b4f1-1197ccf18233</t>
        </is>
      </c>
      <c r="C1617" s="5" t="inlineStr">
        <is>
          <t>01a152b9-6e67-75da-8adb-b03e5d07fd21</t>
        </is>
      </c>
      <c r="D1617" s="4" t="n">
        <v>46314.24598612134</v>
      </c>
      <c r="E1617" s="4" t="n">
        <v>46314.2459861215</v>
      </c>
      <c r="F1617" t="b">
        <v>1</v>
      </c>
      <c r="G1617" t="n">
        <v/>
      </c>
      <c r="H1617" t="inlineStr">
        <is>
          <t>G11</t>
        </is>
      </c>
      <c r="I1617" t="inlineStr">
        <is>
          <t>G11 Resources Ltd</t>
        </is>
      </c>
      <c r="J1617" t="inlineStr">
        <is>
          <t>AUD</t>
        </is>
      </c>
      <c r="K1617" s="5" t="inlineStr">
        <is>
          <t>01a152b9-6ee2-7577-bddd-382bc3853fde</t>
        </is>
      </c>
      <c r="M1617" t="inlineStr">
        <is>
          <t>UNKNOWN</t>
        </is>
      </c>
      <c r="N1617" t="inlineStr">
        <is>
          <t>DEFAULT</t>
        </is>
      </c>
      <c r="Q1617" t="n">
        <v>0</v>
      </c>
      <c r="R1617" t="inlineStr">
        <is>
          <t>AUD</t>
        </is>
      </c>
      <c r="S1617" t="n">
        <v>0</v>
      </c>
      <c r="T1617" t="inlineStr">
        <is>
          <t>AUD</t>
        </is>
      </c>
      <c r="U1617" t="n">
        <v>0</v>
      </c>
    </row>
    <row r="1618">
      <c r="A1618" s="5" t="inlineStr">
        <is>
          <t>01a152b9-8854-7125-8161-cf0939da4ea5</t>
        </is>
      </c>
      <c r="C1618" s="5" t="inlineStr">
        <is>
          <t>01a152b9-6e67-75da-8adb-b03e5d07fd21</t>
        </is>
      </c>
      <c r="D1618" s="4" t="n">
        <v>46314.24598616381</v>
      </c>
      <c r="E1618" s="4" t="n">
        <v>46314.24598616394</v>
      </c>
      <c r="F1618" t="b">
        <v>1</v>
      </c>
      <c r="G1618" t="n">
        <v/>
      </c>
      <c r="H1618" t="inlineStr">
        <is>
          <t>VRC</t>
        </is>
      </c>
      <c r="I1618" t="inlineStr">
        <is>
          <t>Volt Resources Ltd</t>
        </is>
      </c>
      <c r="J1618" t="inlineStr">
        <is>
          <t>AUD</t>
        </is>
      </c>
      <c r="K1618" s="5" t="inlineStr">
        <is>
          <t>01a152b9-6ee2-7577-bddd-382bc3853fde</t>
        </is>
      </c>
      <c r="M1618" t="inlineStr">
        <is>
          <t>UNKNOWN</t>
        </is>
      </c>
      <c r="N1618" t="inlineStr">
        <is>
          <t>DEFAULT</t>
        </is>
      </c>
      <c r="Q1618" t="n">
        <v>0</v>
      </c>
      <c r="R1618" t="inlineStr">
        <is>
          <t>AUD</t>
        </is>
      </c>
      <c r="S1618" t="n">
        <v>0</v>
      </c>
      <c r="T1618" t="inlineStr">
        <is>
          <t>AUD</t>
        </is>
      </c>
      <c r="U1618" t="n">
        <v>0</v>
      </c>
    </row>
    <row r="1619">
      <c r="A1619" s="5" t="inlineStr">
        <is>
          <t>01a152b9-8857-7566-aa4e-12075939d413</t>
        </is>
      </c>
      <c r="C1619" s="5" t="inlineStr">
        <is>
          <t>01a152b9-6e67-75da-8adb-b03e5d07fd21</t>
        </is>
      </c>
      <c r="D1619" s="4" t="n">
        <v>46314.24598620028</v>
      </c>
      <c r="E1619" s="4" t="n">
        <v>46314.2459862004</v>
      </c>
      <c r="F1619" t="b">
        <v>1</v>
      </c>
      <c r="G1619" t="n">
        <v/>
      </c>
      <c r="H1619" t="inlineStr">
        <is>
          <t>KZR</t>
        </is>
      </c>
      <c r="I1619" t="inlineStr">
        <is>
          <t>Kalamazoo Resources Ltd</t>
        </is>
      </c>
      <c r="J1619" t="inlineStr">
        <is>
          <t>AUD</t>
        </is>
      </c>
      <c r="K1619" s="5" t="inlineStr">
        <is>
          <t>01a152b9-6ee2-7577-bddd-382bc3853fde</t>
        </is>
      </c>
      <c r="M1619" t="inlineStr">
        <is>
          <t>UNKNOWN</t>
        </is>
      </c>
      <c r="N1619" t="inlineStr">
        <is>
          <t>DEFAULT</t>
        </is>
      </c>
      <c r="Q1619" t="n">
        <v>0</v>
      </c>
      <c r="R1619" t="inlineStr">
        <is>
          <t>AUD</t>
        </is>
      </c>
      <c r="S1619" t="n">
        <v>0</v>
      </c>
      <c r="T1619" t="inlineStr">
        <is>
          <t>AUD</t>
        </is>
      </c>
      <c r="U1619" t="n">
        <v>0</v>
      </c>
    </row>
    <row r="1620">
      <c r="A1620" s="5" t="inlineStr">
        <is>
          <t>01a152b9-885b-753b-bc76-e3dbda249a80</t>
        </is>
      </c>
      <c r="C1620" s="5" t="inlineStr">
        <is>
          <t>01a152b9-6e67-75da-8adb-b03e5d07fd21</t>
        </is>
      </c>
      <c r="D1620" s="4" t="n">
        <v>46314.24598624364</v>
      </c>
      <c r="E1620" s="4" t="n">
        <v>46314.24598624375</v>
      </c>
      <c r="F1620" t="b">
        <v>1</v>
      </c>
      <c r="G1620" t="n">
        <v/>
      </c>
      <c r="H1620" t="inlineStr">
        <is>
          <t>PTL</t>
        </is>
      </c>
      <c r="I1620" t="inlineStr">
        <is>
          <t>Prestal Holdings Ltd</t>
        </is>
      </c>
      <c r="J1620" t="inlineStr">
        <is>
          <t>AUD</t>
        </is>
      </c>
      <c r="K1620" s="5" t="inlineStr">
        <is>
          <t>01a152b9-6ee2-7577-bddd-382bc3853fde</t>
        </is>
      </c>
      <c r="M1620" t="inlineStr">
        <is>
          <t>UNKNOWN</t>
        </is>
      </c>
      <c r="N1620" t="inlineStr">
        <is>
          <t>DEFAULT</t>
        </is>
      </c>
      <c r="Q1620" t="n">
        <v>0</v>
      </c>
      <c r="R1620" t="inlineStr">
        <is>
          <t>AUD</t>
        </is>
      </c>
      <c r="S1620" t="n">
        <v>0</v>
      </c>
      <c r="T1620" t="inlineStr">
        <is>
          <t>AUD</t>
        </is>
      </c>
      <c r="U1620" t="n">
        <v>0</v>
      </c>
    </row>
    <row r="1621">
      <c r="A1621" s="5" t="inlineStr">
        <is>
          <t>01a152b9-885f-7724-9fc2-c5df5504730e</t>
        </is>
      </c>
      <c r="C1621" s="5" t="inlineStr">
        <is>
          <t>01a152b9-6e67-75da-8adb-b03e5d07fd21</t>
        </is>
      </c>
      <c r="D1621" s="4" t="n">
        <v>46314.24598628941</v>
      </c>
      <c r="E1621" s="4" t="n">
        <v>46314.24598628957</v>
      </c>
      <c r="F1621" t="b">
        <v>1</v>
      </c>
      <c r="G1621" t="n">
        <v/>
      </c>
      <c r="H1621" t="inlineStr">
        <is>
          <t>RXH</t>
        </is>
      </c>
      <c r="I1621" t="inlineStr">
        <is>
          <t>Rewardle Holdings Ltd</t>
        </is>
      </c>
      <c r="J1621" t="inlineStr">
        <is>
          <t>AUD</t>
        </is>
      </c>
      <c r="K1621" s="5" t="inlineStr">
        <is>
          <t>01a152b9-6ee2-7577-bddd-382bc3853fde</t>
        </is>
      </c>
      <c r="M1621" t="inlineStr">
        <is>
          <t>UNKNOWN</t>
        </is>
      </c>
      <c r="N1621" t="inlineStr">
        <is>
          <t>DEFAULT</t>
        </is>
      </c>
      <c r="Q1621" t="n">
        <v>0</v>
      </c>
      <c r="R1621" t="inlineStr">
        <is>
          <t>AUD</t>
        </is>
      </c>
      <c r="S1621" t="n">
        <v>0</v>
      </c>
      <c r="T1621" t="inlineStr">
        <is>
          <t>AUD</t>
        </is>
      </c>
      <c r="U1621" t="n">
        <v>0</v>
      </c>
    </row>
    <row r="1622">
      <c r="A1622" s="5" t="inlineStr">
        <is>
          <t>01a152b9-8862-704b-a05a-4976726a05f2</t>
        </is>
      </c>
      <c r="C1622" s="5" t="inlineStr">
        <is>
          <t>01a152b9-6e67-75da-8adb-b03e5d07fd21</t>
        </is>
      </c>
      <c r="D1622" s="4" t="n">
        <v>46314.24598633205</v>
      </c>
      <c r="E1622" s="4" t="n">
        <v>46314.24598633216</v>
      </c>
      <c r="F1622" t="b">
        <v>1</v>
      </c>
      <c r="G1622" t="n">
        <v/>
      </c>
      <c r="H1622" t="inlineStr">
        <is>
          <t>CCO</t>
        </is>
      </c>
      <c r="I1622" t="inlineStr">
        <is>
          <t>The Calmer Co International Ltd</t>
        </is>
      </c>
      <c r="J1622" t="inlineStr">
        <is>
          <t>AUD</t>
        </is>
      </c>
      <c r="K1622" s="5" t="inlineStr">
        <is>
          <t>01a152b9-6ee2-7577-bddd-382bc3853fde</t>
        </is>
      </c>
      <c r="M1622" t="inlineStr">
        <is>
          <t>UNKNOWN</t>
        </is>
      </c>
      <c r="N1622" t="inlineStr">
        <is>
          <t>DEFAULT</t>
        </is>
      </c>
      <c r="Q1622" t="n">
        <v>0</v>
      </c>
      <c r="R1622" t="inlineStr">
        <is>
          <t>AUD</t>
        </is>
      </c>
      <c r="S1622" t="n">
        <v>0</v>
      </c>
      <c r="T1622" t="inlineStr">
        <is>
          <t>AUD</t>
        </is>
      </c>
      <c r="U1622" t="n">
        <v>0</v>
      </c>
    </row>
    <row r="1623">
      <c r="A1623" s="5" t="inlineStr">
        <is>
          <t>01a152b9-8867-7450-8b7a-356e549cfb59</t>
        </is>
      </c>
      <c r="C1623" s="5" t="inlineStr">
        <is>
          <t>01a152b9-6e67-75da-8adb-b03e5d07fd21</t>
        </is>
      </c>
      <c r="D1623" s="4" t="n">
        <v>46314.24598638115</v>
      </c>
      <c r="E1623" s="4" t="n">
        <v>46314.24598638128</v>
      </c>
      <c r="F1623" t="b">
        <v>1</v>
      </c>
      <c r="G1623" t="n">
        <v/>
      </c>
      <c r="H1623" t="inlineStr">
        <is>
          <t>LDR</t>
        </is>
      </c>
      <c r="I1623" t="inlineStr">
        <is>
          <t>Lode Resources Ltd</t>
        </is>
      </c>
      <c r="J1623" t="inlineStr">
        <is>
          <t>AUD</t>
        </is>
      </c>
      <c r="K1623" s="5" t="inlineStr">
        <is>
          <t>01a152b9-6ee2-7577-bddd-382bc3853fde</t>
        </is>
      </c>
      <c r="M1623" t="inlineStr">
        <is>
          <t>UNKNOWN</t>
        </is>
      </c>
      <c r="N1623" t="inlineStr">
        <is>
          <t>DEFAULT</t>
        </is>
      </c>
      <c r="Q1623" t="n">
        <v>0</v>
      </c>
      <c r="R1623" t="inlineStr">
        <is>
          <t>AUD</t>
        </is>
      </c>
      <c r="S1623" t="n">
        <v>0</v>
      </c>
      <c r="T1623" t="inlineStr">
        <is>
          <t>AUD</t>
        </is>
      </c>
      <c r="U1623" t="n">
        <v>0</v>
      </c>
    </row>
    <row r="1624">
      <c r="A1624" s="5" t="inlineStr">
        <is>
          <t>01a152b9-886b-7310-90c4-9c2fca3404fe</t>
        </is>
      </c>
      <c r="C1624" s="5" t="inlineStr">
        <is>
          <t>01a152b9-6e67-75da-8adb-b03e5d07fd21</t>
        </is>
      </c>
      <c r="D1624" s="4" t="n">
        <v>46314.24598642593</v>
      </c>
      <c r="E1624" s="4" t="n">
        <v>46314.24598642604</v>
      </c>
      <c r="F1624" t="b">
        <v>1</v>
      </c>
      <c r="G1624" t="n">
        <v/>
      </c>
      <c r="H1624" t="inlineStr">
        <is>
          <t>RNT</t>
        </is>
      </c>
      <c r="I1624" t="inlineStr">
        <is>
          <t>Rent.com.Au Ltd</t>
        </is>
      </c>
      <c r="J1624" t="inlineStr">
        <is>
          <t>AUD</t>
        </is>
      </c>
      <c r="K1624" s="5" t="inlineStr">
        <is>
          <t>01a152b9-6ee2-7577-bddd-382bc3853fde</t>
        </is>
      </c>
      <c r="M1624" t="inlineStr">
        <is>
          <t>UNKNOWN</t>
        </is>
      </c>
      <c r="N1624" t="inlineStr">
        <is>
          <t>DEFAULT</t>
        </is>
      </c>
      <c r="Q1624" t="n">
        <v>0</v>
      </c>
      <c r="R1624" t="inlineStr">
        <is>
          <t>AUD</t>
        </is>
      </c>
      <c r="S1624" t="n">
        <v>0</v>
      </c>
      <c r="T1624" t="inlineStr">
        <is>
          <t>AUD</t>
        </is>
      </c>
      <c r="U1624" t="n">
        <v>0</v>
      </c>
    </row>
    <row r="1625">
      <c r="A1625" s="5" t="inlineStr">
        <is>
          <t>01a152b9-886e-7237-8e87-fbe1063a6620</t>
        </is>
      </c>
      <c r="C1625" s="5" t="inlineStr">
        <is>
          <t>01a152b9-6e67-75da-8adb-b03e5d07fd21</t>
        </is>
      </c>
      <c r="D1625" s="4" t="n">
        <v>46314.24598646962</v>
      </c>
      <c r="E1625" s="4" t="n">
        <v>46314.24598646976</v>
      </c>
      <c r="F1625" t="b">
        <v>1</v>
      </c>
      <c r="G1625" t="n">
        <v/>
      </c>
      <c r="H1625" t="inlineStr">
        <is>
          <t>RLT</t>
        </is>
      </c>
      <c r="I1625" t="inlineStr">
        <is>
          <t>Renergen Ltd</t>
        </is>
      </c>
      <c r="J1625" t="inlineStr">
        <is>
          <t>AUD</t>
        </is>
      </c>
      <c r="K1625" s="5" t="inlineStr">
        <is>
          <t>01a152b9-6ee2-7577-bddd-382bc3853fde</t>
        </is>
      </c>
      <c r="M1625" t="inlineStr">
        <is>
          <t>UNKNOWN</t>
        </is>
      </c>
      <c r="N1625" t="inlineStr">
        <is>
          <t>DEFAULT</t>
        </is>
      </c>
      <c r="Q1625" t="n">
        <v>0</v>
      </c>
      <c r="R1625" t="inlineStr">
        <is>
          <t>AUD</t>
        </is>
      </c>
      <c r="S1625" t="n">
        <v>0</v>
      </c>
      <c r="T1625" t="inlineStr">
        <is>
          <t>AUD</t>
        </is>
      </c>
      <c r="U1625" t="n">
        <v>0</v>
      </c>
    </row>
    <row r="1626">
      <c r="A1626" s="5" t="inlineStr">
        <is>
          <t>01a152b9-8873-74d7-9e51-2c3e7d1e063c</t>
        </is>
      </c>
      <c r="C1626" s="5" t="inlineStr">
        <is>
          <t>01a152b9-6e67-75da-8adb-b03e5d07fd21</t>
        </is>
      </c>
      <c r="D1626" s="4" t="n">
        <v>46314.24598652343</v>
      </c>
      <c r="E1626" s="4" t="n">
        <v>46314.24598652359</v>
      </c>
      <c r="F1626" t="b">
        <v>1</v>
      </c>
      <c r="G1626" t="n">
        <v/>
      </c>
      <c r="H1626" t="inlineStr">
        <is>
          <t>BTE</t>
        </is>
      </c>
      <c r="I1626" t="inlineStr">
        <is>
          <t>Botala Energy Ltd</t>
        </is>
      </c>
      <c r="J1626" t="inlineStr">
        <is>
          <t>AUD</t>
        </is>
      </c>
      <c r="K1626" s="5" t="inlineStr">
        <is>
          <t>01a152b9-6ee2-7577-bddd-382bc3853fde</t>
        </is>
      </c>
      <c r="M1626" t="inlineStr">
        <is>
          <t>UNKNOWN</t>
        </is>
      </c>
      <c r="N1626" t="inlineStr">
        <is>
          <t>DEFAULT</t>
        </is>
      </c>
      <c r="Q1626" t="n">
        <v>0</v>
      </c>
      <c r="R1626" t="inlineStr">
        <is>
          <t>AUD</t>
        </is>
      </c>
      <c r="S1626" t="n">
        <v>0</v>
      </c>
      <c r="T1626" t="inlineStr">
        <is>
          <t>AUD</t>
        </is>
      </c>
      <c r="U1626" t="n">
        <v>0</v>
      </c>
    </row>
    <row r="1627">
      <c r="A1627" s="5" t="inlineStr">
        <is>
          <t>01a152b9-8877-7227-9f74-7694eac30629</t>
        </is>
      </c>
      <c r="C1627" s="5" t="inlineStr">
        <is>
          <t>01a152b9-6e67-75da-8adb-b03e5d07fd21</t>
        </is>
      </c>
      <c r="D1627" s="4" t="n">
        <v>46314.2459865711</v>
      </c>
      <c r="E1627" s="4" t="n">
        <v>46314.24598657124</v>
      </c>
      <c r="F1627" t="b">
        <v>1</v>
      </c>
      <c r="G1627" t="n">
        <v/>
      </c>
      <c r="H1627" t="inlineStr">
        <is>
          <t>GRV</t>
        </is>
      </c>
      <c r="I1627" t="inlineStr">
        <is>
          <t>Greenvale Energy Ltd</t>
        </is>
      </c>
      <c r="J1627" t="inlineStr">
        <is>
          <t>AUD</t>
        </is>
      </c>
      <c r="K1627" s="5" t="inlineStr">
        <is>
          <t>01a152b9-6ee2-7577-bddd-382bc3853fde</t>
        </is>
      </c>
      <c r="M1627" t="inlineStr">
        <is>
          <t>UNKNOWN</t>
        </is>
      </c>
      <c r="N1627" t="inlineStr">
        <is>
          <t>DEFAULT</t>
        </is>
      </c>
      <c r="Q1627" t="n">
        <v>0</v>
      </c>
      <c r="R1627" t="inlineStr">
        <is>
          <t>AUD</t>
        </is>
      </c>
      <c r="S1627" t="n">
        <v>0</v>
      </c>
      <c r="T1627" t="inlineStr">
        <is>
          <t>AUD</t>
        </is>
      </c>
      <c r="U1627" t="n">
        <v>0</v>
      </c>
    </row>
    <row r="1628">
      <c r="A1628" s="5" t="inlineStr">
        <is>
          <t>01a152b9-887b-7195-9ae4-4c48e05da40d</t>
        </is>
      </c>
      <c r="C1628" s="5" t="inlineStr">
        <is>
          <t>01a152b9-6e67-75da-8adb-b03e5d07fd21</t>
        </is>
      </c>
      <c r="D1628" s="4" t="n">
        <v>46314.24598662227</v>
      </c>
      <c r="E1628" s="4" t="n">
        <v>46314.24598662242</v>
      </c>
      <c r="F1628" t="b">
        <v>1</v>
      </c>
      <c r="G1628" t="n">
        <v/>
      </c>
      <c r="H1628" t="inlineStr">
        <is>
          <t>EPX</t>
        </is>
      </c>
      <c r="I1628" t="inlineStr">
        <is>
          <t>Ep&amp;T Global Ltd</t>
        </is>
      </c>
      <c r="J1628" t="inlineStr">
        <is>
          <t>AUD</t>
        </is>
      </c>
      <c r="K1628" s="5" t="inlineStr">
        <is>
          <t>01a152b9-6ee2-7577-bddd-382bc3853fde</t>
        </is>
      </c>
      <c r="M1628" t="inlineStr">
        <is>
          <t>UNKNOWN</t>
        </is>
      </c>
      <c r="N1628" t="inlineStr">
        <is>
          <t>DEFAULT</t>
        </is>
      </c>
      <c r="Q1628" t="n">
        <v>0</v>
      </c>
      <c r="R1628" t="inlineStr">
        <is>
          <t>AUD</t>
        </is>
      </c>
      <c r="S1628" t="n">
        <v>0</v>
      </c>
      <c r="T1628" t="inlineStr">
        <is>
          <t>AUD</t>
        </is>
      </c>
      <c r="U1628" t="n">
        <v>0</v>
      </c>
    </row>
    <row r="1629">
      <c r="A1629" s="5" t="inlineStr">
        <is>
          <t>01a152b9-887f-75c7-8306-3498d784e3b8</t>
        </is>
      </c>
      <c r="C1629" s="5" t="inlineStr">
        <is>
          <t>01a152b9-6e67-75da-8adb-b03e5d07fd21</t>
        </is>
      </c>
      <c r="D1629" s="4" t="n">
        <v>46314.24598666609</v>
      </c>
      <c r="E1629" s="4" t="n">
        <v>46314.2459866662</v>
      </c>
      <c r="F1629" t="b">
        <v>1</v>
      </c>
      <c r="G1629" t="n">
        <v/>
      </c>
      <c r="H1629" t="inlineStr">
        <is>
          <t>JLL</t>
        </is>
      </c>
      <c r="I1629" t="inlineStr">
        <is>
          <t>Jindalee Lithium Ltd</t>
        </is>
      </c>
      <c r="J1629" t="inlineStr">
        <is>
          <t>AUD</t>
        </is>
      </c>
      <c r="K1629" s="5" t="inlineStr">
        <is>
          <t>01a152b9-6ee2-7577-bddd-382bc3853fde</t>
        </is>
      </c>
      <c r="M1629" t="inlineStr">
        <is>
          <t>UNKNOWN</t>
        </is>
      </c>
      <c r="N1629" t="inlineStr">
        <is>
          <t>DEFAULT</t>
        </is>
      </c>
      <c r="Q1629" t="n">
        <v>0</v>
      </c>
      <c r="R1629" t="inlineStr">
        <is>
          <t>AUD</t>
        </is>
      </c>
      <c r="S1629" t="n">
        <v>0</v>
      </c>
      <c r="T1629" t="inlineStr">
        <is>
          <t>AUD</t>
        </is>
      </c>
      <c r="U1629" t="n">
        <v>0</v>
      </c>
    </row>
    <row r="1630">
      <c r="A1630" s="5" t="inlineStr">
        <is>
          <t>01a152b9-8883-715f-bde8-cf1463a8ca9d</t>
        </is>
      </c>
      <c r="C1630" s="5" t="inlineStr">
        <is>
          <t>01a152b9-6e67-75da-8adb-b03e5d07fd21</t>
        </is>
      </c>
      <c r="D1630" s="4" t="n">
        <v>46314.24598671013</v>
      </c>
      <c r="E1630" s="4" t="n">
        <v>46314.24598671023</v>
      </c>
      <c r="F1630" t="b">
        <v>1</v>
      </c>
      <c r="G1630" t="n">
        <v/>
      </c>
      <c r="H1630" t="inlineStr">
        <is>
          <t>MHI</t>
        </is>
      </c>
      <c r="I1630" t="inlineStr">
        <is>
          <t>Merchant House International Ltd</t>
        </is>
      </c>
      <c r="J1630" t="inlineStr">
        <is>
          <t>AUD</t>
        </is>
      </c>
      <c r="K1630" s="5" t="inlineStr">
        <is>
          <t>01a152b9-6ee2-7577-bddd-382bc3853fde</t>
        </is>
      </c>
      <c r="M1630" t="inlineStr">
        <is>
          <t>UNKNOWN</t>
        </is>
      </c>
      <c r="N1630" t="inlineStr">
        <is>
          <t>DEFAULT</t>
        </is>
      </c>
      <c r="Q1630" t="n">
        <v>0</v>
      </c>
      <c r="R1630" t="inlineStr">
        <is>
          <t>AUD</t>
        </is>
      </c>
      <c r="S1630" t="n">
        <v>0</v>
      </c>
      <c r="T1630" t="inlineStr">
        <is>
          <t>AUD</t>
        </is>
      </c>
      <c r="U1630" t="n">
        <v>0</v>
      </c>
    </row>
    <row r="1631">
      <c r="A1631" s="5" t="inlineStr">
        <is>
          <t>01a152b9-8887-7109-b282-ed43f248fc66</t>
        </is>
      </c>
      <c r="C1631" s="5" t="inlineStr">
        <is>
          <t>01a152b9-6e67-75da-8adb-b03e5d07fd21</t>
        </is>
      </c>
      <c r="D1631" s="4" t="n">
        <v>46314.24598675205</v>
      </c>
      <c r="E1631" s="4" t="n">
        <v>46314.24598675218</v>
      </c>
      <c r="F1631" t="b">
        <v>1</v>
      </c>
      <c r="G1631" t="n">
        <v/>
      </c>
      <c r="H1631" t="inlineStr">
        <is>
          <t>MDC</t>
        </is>
      </c>
      <c r="I1631" t="inlineStr">
        <is>
          <t>Medlab Clinical Ltd</t>
        </is>
      </c>
      <c r="J1631" t="inlineStr">
        <is>
          <t>AUD</t>
        </is>
      </c>
      <c r="K1631" s="5" t="inlineStr">
        <is>
          <t>01a152b9-6ee2-7577-bddd-382bc3853fde</t>
        </is>
      </c>
      <c r="M1631" t="inlineStr">
        <is>
          <t>UNKNOWN</t>
        </is>
      </c>
      <c r="N1631" t="inlineStr">
        <is>
          <t>DEFAULT</t>
        </is>
      </c>
      <c r="Q1631" t="n">
        <v>0</v>
      </c>
      <c r="R1631" t="inlineStr">
        <is>
          <t>AUD</t>
        </is>
      </c>
      <c r="S1631" t="n">
        <v>0</v>
      </c>
      <c r="T1631" t="inlineStr">
        <is>
          <t>AUD</t>
        </is>
      </c>
      <c r="U1631" t="n">
        <v>0</v>
      </c>
    </row>
    <row r="1632">
      <c r="A1632" s="5" t="inlineStr">
        <is>
          <t>01a152b9-888a-7043-b8c2-41a20682556b</t>
        </is>
      </c>
      <c r="C1632" s="5" t="inlineStr">
        <is>
          <t>01a152b9-6e67-75da-8adb-b03e5d07fd21</t>
        </is>
      </c>
      <c r="D1632" s="4" t="n">
        <v>46314.24598679529</v>
      </c>
      <c r="E1632" s="4" t="n">
        <v>46314.24598679539</v>
      </c>
      <c r="F1632" t="b">
        <v>1</v>
      </c>
      <c r="G1632" t="n">
        <v/>
      </c>
      <c r="H1632" t="inlineStr">
        <is>
          <t>AUK</t>
        </is>
      </c>
      <c r="I1632" t="inlineStr">
        <is>
          <t>Aumake Ltd</t>
        </is>
      </c>
      <c r="J1632" t="inlineStr">
        <is>
          <t>AUD</t>
        </is>
      </c>
      <c r="K1632" s="5" t="inlineStr">
        <is>
          <t>01a152b9-6ee2-7577-bddd-382bc3853fde</t>
        </is>
      </c>
      <c r="M1632" t="inlineStr">
        <is>
          <t>UNKNOWN</t>
        </is>
      </c>
      <c r="N1632" t="inlineStr">
        <is>
          <t>DEFAULT</t>
        </is>
      </c>
      <c r="Q1632" t="n">
        <v>0</v>
      </c>
      <c r="R1632" t="inlineStr">
        <is>
          <t>AUD</t>
        </is>
      </c>
      <c r="S1632" t="n">
        <v>0</v>
      </c>
      <c r="T1632" t="inlineStr">
        <is>
          <t>AUD</t>
        </is>
      </c>
      <c r="U1632" t="n">
        <v>0</v>
      </c>
    </row>
    <row r="1633">
      <c r="A1633" s="5" t="inlineStr">
        <is>
          <t>01a152b9-888e-73b0-a209-5c1e545c32c6</t>
        </is>
      </c>
      <c r="C1633" s="5" t="inlineStr">
        <is>
          <t>01a152b9-6e67-75da-8adb-b03e5d07fd21</t>
        </is>
      </c>
      <c r="D1633" s="4" t="n">
        <v>46314.24598683225</v>
      </c>
      <c r="E1633" s="4" t="n">
        <v>46314.24598683235</v>
      </c>
      <c r="F1633" t="b">
        <v>1</v>
      </c>
      <c r="G1633" t="n">
        <v/>
      </c>
      <c r="H1633" t="inlineStr">
        <is>
          <t>AMO</t>
        </is>
      </c>
      <c r="I1633" t="inlineStr">
        <is>
          <t>Ambertech Ltd</t>
        </is>
      </c>
      <c r="J1633" t="inlineStr">
        <is>
          <t>AUD</t>
        </is>
      </c>
      <c r="K1633" s="5" t="inlineStr">
        <is>
          <t>01a152b9-6ee2-7577-bddd-382bc3853fde</t>
        </is>
      </c>
      <c r="M1633" t="inlineStr">
        <is>
          <t>UNKNOWN</t>
        </is>
      </c>
      <c r="N1633" t="inlineStr">
        <is>
          <t>DEFAULT</t>
        </is>
      </c>
      <c r="Q1633" t="n">
        <v>0</v>
      </c>
      <c r="R1633" t="inlineStr">
        <is>
          <t>AUD</t>
        </is>
      </c>
      <c r="S1633" t="n">
        <v>0</v>
      </c>
      <c r="T1633" t="inlineStr">
        <is>
          <t>AUD</t>
        </is>
      </c>
      <c r="U1633" t="n">
        <v>0</v>
      </c>
    </row>
    <row r="1634">
      <c r="A1634" s="5" t="inlineStr">
        <is>
          <t>01a152b9-8891-70ee-b358-22851ae0e600</t>
        </is>
      </c>
      <c r="C1634" s="5" t="inlineStr">
        <is>
          <t>01a152b9-6e67-75da-8adb-b03e5d07fd21</t>
        </is>
      </c>
      <c r="D1634" s="4" t="n">
        <v>46314.24598687317</v>
      </c>
      <c r="E1634" s="4" t="n">
        <v>46314.24598687328</v>
      </c>
      <c r="F1634" t="b">
        <v>1</v>
      </c>
      <c r="G1634" t="n">
        <v/>
      </c>
      <c r="H1634" t="inlineStr">
        <is>
          <t>CXM</t>
        </is>
      </c>
      <c r="I1634" t="inlineStr">
        <is>
          <t>Centrex Ltd</t>
        </is>
      </c>
      <c r="J1634" t="inlineStr">
        <is>
          <t>AUD</t>
        </is>
      </c>
      <c r="K1634" s="5" t="inlineStr">
        <is>
          <t>01a152b9-6ee2-7577-bddd-382bc3853fde</t>
        </is>
      </c>
      <c r="M1634" t="inlineStr">
        <is>
          <t>UNKNOWN</t>
        </is>
      </c>
      <c r="N1634" t="inlineStr">
        <is>
          <t>DEFAULT</t>
        </is>
      </c>
      <c r="Q1634" t="n">
        <v>0</v>
      </c>
      <c r="R1634" t="inlineStr">
        <is>
          <t>AUD</t>
        </is>
      </c>
      <c r="S1634" t="n">
        <v>0</v>
      </c>
      <c r="T1634" t="inlineStr">
        <is>
          <t>AUD</t>
        </is>
      </c>
      <c r="U1634" t="n">
        <v>0</v>
      </c>
    </row>
    <row r="1635">
      <c r="A1635" s="5" t="inlineStr">
        <is>
          <t>01a152b9-8895-7463-b817-0e8d593d5ea2</t>
        </is>
      </c>
      <c r="C1635" s="5" t="inlineStr">
        <is>
          <t>01a152b9-6e67-75da-8adb-b03e5d07fd21</t>
        </is>
      </c>
      <c r="D1635" s="4" t="n">
        <v>46314.24598691944</v>
      </c>
      <c r="E1635" s="4" t="n">
        <v>46314.24598691955</v>
      </c>
      <c r="F1635" t="b">
        <v>1</v>
      </c>
      <c r="G1635" t="n">
        <v/>
      </c>
      <c r="H1635" t="inlineStr">
        <is>
          <t>HAW</t>
        </is>
      </c>
      <c r="I1635" t="inlineStr">
        <is>
          <t>Hawthorn Resources Ltd</t>
        </is>
      </c>
      <c r="J1635" t="inlineStr">
        <is>
          <t>AUD</t>
        </is>
      </c>
      <c r="K1635" s="5" t="inlineStr">
        <is>
          <t>01a152b9-6ee2-7577-bddd-382bc3853fde</t>
        </is>
      </c>
      <c r="M1635" t="inlineStr">
        <is>
          <t>UNKNOWN</t>
        </is>
      </c>
      <c r="N1635" t="inlineStr">
        <is>
          <t>DEFAULT</t>
        </is>
      </c>
      <c r="Q1635" t="n">
        <v>0</v>
      </c>
      <c r="R1635" t="inlineStr">
        <is>
          <t>AUD</t>
        </is>
      </c>
      <c r="S1635" t="n">
        <v>0</v>
      </c>
      <c r="T1635" t="inlineStr">
        <is>
          <t>AUD</t>
        </is>
      </c>
      <c r="U1635" t="n">
        <v>0</v>
      </c>
    </row>
    <row r="1636">
      <c r="A1636" s="5" t="inlineStr">
        <is>
          <t>01a152b9-8899-73e6-99ec-031e01561fe1</t>
        </is>
      </c>
      <c r="C1636" s="5" t="inlineStr">
        <is>
          <t>01a152b9-6e67-75da-8adb-b03e5d07fd21</t>
        </is>
      </c>
      <c r="D1636" s="4" t="n">
        <v>46314.24598695841</v>
      </c>
      <c r="E1636" s="4" t="n">
        <v>46314.24598695852</v>
      </c>
      <c r="F1636" t="b">
        <v>1</v>
      </c>
      <c r="G1636" t="n">
        <v/>
      </c>
      <c r="H1636" t="inlineStr">
        <is>
          <t>ELT</t>
        </is>
      </c>
      <c r="I1636" t="inlineStr">
        <is>
          <t>Elementos Ltd</t>
        </is>
      </c>
      <c r="J1636" t="inlineStr">
        <is>
          <t>AUD</t>
        </is>
      </c>
      <c r="K1636" s="5" t="inlineStr">
        <is>
          <t>01a152b9-6ee2-7577-bddd-382bc3853fde</t>
        </is>
      </c>
      <c r="M1636" t="inlineStr">
        <is>
          <t>UNKNOWN</t>
        </is>
      </c>
      <c r="N1636" t="inlineStr">
        <is>
          <t>DEFAULT</t>
        </is>
      </c>
      <c r="Q1636" t="n">
        <v>0</v>
      </c>
      <c r="R1636" t="inlineStr">
        <is>
          <t>AUD</t>
        </is>
      </c>
      <c r="S1636" t="n">
        <v>0</v>
      </c>
      <c r="T1636" t="inlineStr">
        <is>
          <t>AUD</t>
        </is>
      </c>
      <c r="U1636" t="n">
        <v>0</v>
      </c>
    </row>
    <row r="1637">
      <c r="A1637" s="5" t="inlineStr">
        <is>
          <t>01a152b9-889c-703d-8ea8-908020cc1e57</t>
        </is>
      </c>
      <c r="C1637" s="5" t="inlineStr">
        <is>
          <t>01a152b9-6e67-75da-8adb-b03e5d07fd21</t>
        </is>
      </c>
      <c r="D1637" s="4" t="n">
        <v>46314.24598699319</v>
      </c>
      <c r="E1637" s="4" t="n">
        <v>46314.24598699328</v>
      </c>
      <c r="F1637" t="b">
        <v>1</v>
      </c>
      <c r="G1637" t="n">
        <v/>
      </c>
      <c r="H1637" t="inlineStr">
        <is>
          <t>TZL</t>
        </is>
      </c>
      <c r="I1637" t="inlineStr">
        <is>
          <t>TZ Ltd</t>
        </is>
      </c>
      <c r="J1637" t="inlineStr">
        <is>
          <t>AUD</t>
        </is>
      </c>
      <c r="K1637" s="5" t="inlineStr">
        <is>
          <t>01a152b9-6ee2-7577-bddd-382bc3853fde</t>
        </is>
      </c>
      <c r="M1637" t="inlineStr">
        <is>
          <t>UNKNOWN</t>
        </is>
      </c>
      <c r="N1637" t="inlineStr">
        <is>
          <t>DEFAULT</t>
        </is>
      </c>
      <c r="Q1637" t="n">
        <v>0</v>
      </c>
      <c r="R1637" t="inlineStr">
        <is>
          <t>AUD</t>
        </is>
      </c>
      <c r="S1637" t="n">
        <v>0</v>
      </c>
      <c r="T1637" t="inlineStr">
        <is>
          <t>AUD</t>
        </is>
      </c>
      <c r="U1637" t="n">
        <v>0</v>
      </c>
    </row>
    <row r="1638">
      <c r="A1638" s="5" t="inlineStr">
        <is>
          <t>01a152b9-889f-7124-a9ed-dfa8ce7278f4</t>
        </is>
      </c>
      <c r="C1638" s="5" t="inlineStr">
        <is>
          <t>01a152b9-6e67-75da-8adb-b03e5d07fd21</t>
        </is>
      </c>
      <c r="D1638" s="4" t="n">
        <v>46314.24598702885</v>
      </c>
      <c r="E1638" s="4" t="n">
        <v>46314.24598702896</v>
      </c>
      <c r="F1638" t="b">
        <v>1</v>
      </c>
      <c r="G1638" t="n">
        <v/>
      </c>
      <c r="H1638" t="inlineStr">
        <is>
          <t>TOR</t>
        </is>
      </c>
      <c r="I1638" t="inlineStr">
        <is>
          <t>Torque Metals Ltd</t>
        </is>
      </c>
      <c r="J1638" t="inlineStr">
        <is>
          <t>AUD</t>
        </is>
      </c>
      <c r="K1638" s="5" t="inlineStr">
        <is>
          <t>01a152b9-6ee2-7577-bddd-382bc3853fde</t>
        </is>
      </c>
      <c r="M1638" t="inlineStr">
        <is>
          <t>UNKNOWN</t>
        </is>
      </c>
      <c r="N1638" t="inlineStr">
        <is>
          <t>DEFAULT</t>
        </is>
      </c>
      <c r="Q1638" t="n">
        <v>0</v>
      </c>
      <c r="R1638" t="inlineStr">
        <is>
          <t>AUD</t>
        </is>
      </c>
      <c r="S1638" t="n">
        <v>0</v>
      </c>
      <c r="T1638" t="inlineStr">
        <is>
          <t>AUD</t>
        </is>
      </c>
      <c r="U1638" t="n">
        <v>0</v>
      </c>
    </row>
    <row r="1639">
      <c r="A1639" s="5" t="inlineStr">
        <is>
          <t>01a152b9-88a2-7671-a509-760262b84a58</t>
        </is>
      </c>
      <c r="C1639" s="5" t="inlineStr">
        <is>
          <t>01a152b9-6e67-75da-8adb-b03e5d07fd21</t>
        </is>
      </c>
      <c r="D1639" s="4" t="n">
        <v>46314.24598706415</v>
      </c>
      <c r="E1639" s="4" t="n">
        <v>46314.24598706423</v>
      </c>
      <c r="F1639" t="b">
        <v>1</v>
      </c>
      <c r="G1639" t="n">
        <v/>
      </c>
      <c r="H1639" t="inlineStr">
        <is>
          <t>AKO</t>
        </is>
      </c>
      <c r="I1639" t="inlineStr">
        <is>
          <t>Akora Resources Ltd</t>
        </is>
      </c>
      <c r="J1639" t="inlineStr">
        <is>
          <t>AUD</t>
        </is>
      </c>
      <c r="K1639" s="5" t="inlineStr">
        <is>
          <t>01a152b9-6ee2-7577-bddd-382bc3853fde</t>
        </is>
      </c>
      <c r="M1639" t="inlineStr">
        <is>
          <t>UNKNOWN</t>
        </is>
      </c>
      <c r="N1639" t="inlineStr">
        <is>
          <t>DEFAULT</t>
        </is>
      </c>
      <c r="Q1639" t="n">
        <v>0</v>
      </c>
      <c r="R1639" t="inlineStr">
        <is>
          <t>AUD</t>
        </is>
      </c>
      <c r="S1639" t="n">
        <v>0</v>
      </c>
      <c r="T1639" t="inlineStr">
        <is>
          <t>AUD</t>
        </is>
      </c>
      <c r="U1639" t="n">
        <v>0</v>
      </c>
    </row>
    <row r="1640">
      <c r="A1640" s="5" t="inlineStr">
        <is>
          <t>01a152b9-88a6-7600-85d5-69be9c680779</t>
        </is>
      </c>
      <c r="C1640" s="5" t="inlineStr">
        <is>
          <t>01a152b9-6e67-75da-8adb-b03e5d07fd21</t>
        </is>
      </c>
      <c r="D1640" s="4" t="n">
        <v>46314.24598711007</v>
      </c>
      <c r="E1640" s="4" t="n">
        <v>46314.24598711022</v>
      </c>
      <c r="F1640" t="b">
        <v>1</v>
      </c>
      <c r="G1640" t="n">
        <v/>
      </c>
      <c r="H1640" t="inlineStr">
        <is>
          <t>ARMR</t>
        </is>
      </c>
      <c r="I1640" t="inlineStr">
        <is>
          <t>Betashares Global Defence ETF</t>
        </is>
      </c>
      <c r="J1640" t="inlineStr">
        <is>
          <t>AUD</t>
        </is>
      </c>
      <c r="K1640" s="5" t="inlineStr">
        <is>
          <t>01a152b9-6ee2-7577-bddd-382bc3853fde</t>
        </is>
      </c>
      <c r="M1640" t="inlineStr">
        <is>
          <t>UNKNOWN</t>
        </is>
      </c>
      <c r="N1640" t="inlineStr">
        <is>
          <t>DEFAULT</t>
        </is>
      </c>
      <c r="Q1640" t="n">
        <v>0</v>
      </c>
      <c r="R1640" t="inlineStr">
        <is>
          <t>AUD</t>
        </is>
      </c>
      <c r="S1640" t="n">
        <v>0</v>
      </c>
      <c r="T1640" t="inlineStr">
        <is>
          <t>AUD</t>
        </is>
      </c>
      <c r="U1640" t="n">
        <v>0</v>
      </c>
    </row>
    <row r="1641">
      <c r="A1641" s="5" t="inlineStr">
        <is>
          <t>01a152b9-88aa-77d9-acab-0e27d89294bb</t>
        </is>
      </c>
      <c r="C1641" s="5" t="inlineStr">
        <is>
          <t>01a152b9-6e67-75da-8adb-b03e5d07fd21</t>
        </is>
      </c>
      <c r="D1641" s="4" t="n">
        <v>46314.24598716043</v>
      </c>
      <c r="E1641" s="4" t="n">
        <v>46314.24598716053</v>
      </c>
      <c r="F1641" t="b">
        <v>1</v>
      </c>
      <c r="G1641" t="n">
        <v/>
      </c>
      <c r="H1641" t="inlineStr">
        <is>
          <t>CF1</t>
        </is>
      </c>
      <c r="I1641" t="inlineStr">
        <is>
          <t>Complii Fintech Solutions Ltd</t>
        </is>
      </c>
      <c r="J1641" t="inlineStr">
        <is>
          <t>AUD</t>
        </is>
      </c>
      <c r="K1641" s="5" t="inlineStr">
        <is>
          <t>01a152b9-6ee2-7577-bddd-382bc3853fde</t>
        </is>
      </c>
      <c r="M1641" t="inlineStr">
        <is>
          <t>UNKNOWN</t>
        </is>
      </c>
      <c r="N1641" t="inlineStr">
        <is>
          <t>DEFAULT</t>
        </is>
      </c>
      <c r="Q1641" t="n">
        <v>0</v>
      </c>
      <c r="R1641" t="inlineStr">
        <is>
          <t>AUD</t>
        </is>
      </c>
      <c r="S1641" t="n">
        <v>0</v>
      </c>
      <c r="T1641" t="inlineStr">
        <is>
          <t>AUD</t>
        </is>
      </c>
      <c r="U1641" t="n">
        <v>0</v>
      </c>
    </row>
    <row r="1642">
      <c r="A1642" s="5" t="inlineStr">
        <is>
          <t>01a152b9-88ae-71d4-9f53-af9dbe8eb7b4</t>
        </is>
      </c>
      <c r="C1642" s="5" t="inlineStr">
        <is>
          <t>01a152b9-6e67-75da-8adb-b03e5d07fd21</t>
        </is>
      </c>
      <c r="D1642" s="4" t="n">
        <v>46314.24598720122</v>
      </c>
      <c r="E1642" s="4" t="n">
        <v>46314.24598720133</v>
      </c>
      <c r="F1642" t="b">
        <v>1</v>
      </c>
      <c r="G1642" t="n">
        <v/>
      </c>
      <c r="H1642" t="inlineStr">
        <is>
          <t>TRU</t>
        </is>
      </c>
      <c r="I1642" t="inlineStr">
        <is>
          <t>Truscreen Group Ltd</t>
        </is>
      </c>
      <c r="J1642" t="inlineStr">
        <is>
          <t>AUD</t>
        </is>
      </c>
      <c r="K1642" s="5" t="inlineStr">
        <is>
          <t>01a152b9-6ee2-7577-bddd-382bc3853fde</t>
        </is>
      </c>
      <c r="M1642" t="inlineStr">
        <is>
          <t>UNKNOWN</t>
        </is>
      </c>
      <c r="N1642" t="inlineStr">
        <is>
          <t>DEFAULT</t>
        </is>
      </c>
      <c r="Q1642" t="n">
        <v>0</v>
      </c>
      <c r="R1642" t="inlineStr">
        <is>
          <t>AUD</t>
        </is>
      </c>
      <c r="S1642" t="n">
        <v>0</v>
      </c>
      <c r="T1642" t="inlineStr">
        <is>
          <t>AUD</t>
        </is>
      </c>
      <c r="U1642" t="n">
        <v>0</v>
      </c>
    </row>
    <row r="1643">
      <c r="A1643" s="5" t="inlineStr">
        <is>
          <t>01a152b9-88b1-71c3-8622-0b296ed8b565</t>
        </is>
      </c>
      <c r="C1643" s="5" t="inlineStr">
        <is>
          <t>01a152b9-6e67-75da-8adb-b03e5d07fd21</t>
        </is>
      </c>
      <c r="D1643" s="4" t="n">
        <v>46314.24598724588</v>
      </c>
      <c r="E1643" s="4" t="n">
        <v>46314.24598724598</v>
      </c>
      <c r="F1643" t="b">
        <v>1</v>
      </c>
      <c r="G1643" t="n">
        <v/>
      </c>
      <c r="H1643" t="inlineStr">
        <is>
          <t>ADX</t>
        </is>
      </c>
      <c r="I1643" t="inlineStr">
        <is>
          <t>ADX Energy Ltd</t>
        </is>
      </c>
      <c r="J1643" t="inlineStr">
        <is>
          <t>AUD</t>
        </is>
      </c>
      <c r="K1643" s="5" t="inlineStr">
        <is>
          <t>01a152b9-6ee2-7577-bddd-382bc3853fde</t>
        </is>
      </c>
      <c r="M1643" t="inlineStr">
        <is>
          <t>UNKNOWN</t>
        </is>
      </c>
      <c r="N1643" t="inlineStr">
        <is>
          <t>DEFAULT</t>
        </is>
      </c>
      <c r="Q1643" t="n">
        <v>0</v>
      </c>
      <c r="R1643" t="inlineStr">
        <is>
          <t>AUD</t>
        </is>
      </c>
      <c r="S1643" t="n">
        <v>0</v>
      </c>
      <c r="T1643" t="inlineStr">
        <is>
          <t>AUD</t>
        </is>
      </c>
      <c r="U1643" t="n">
        <v>0</v>
      </c>
    </row>
    <row r="1644">
      <c r="A1644" s="5" t="inlineStr">
        <is>
          <t>01a152b9-88b5-743a-82cc-5701dff50a4f</t>
        </is>
      </c>
      <c r="C1644" s="5" t="inlineStr">
        <is>
          <t>01a152b9-6e67-75da-8adb-b03e5d07fd21</t>
        </is>
      </c>
      <c r="D1644" s="4" t="n">
        <v>46314.24598729188</v>
      </c>
      <c r="E1644" s="4" t="n">
        <v>46314.24598729199</v>
      </c>
      <c r="F1644" t="b">
        <v>1</v>
      </c>
      <c r="G1644" t="n">
        <v/>
      </c>
      <c r="H1644" t="inlineStr">
        <is>
          <t>FUL</t>
        </is>
      </c>
      <c r="I1644" t="inlineStr">
        <is>
          <t>Fulcrum Lithium Ltd</t>
        </is>
      </c>
      <c r="J1644" t="inlineStr">
        <is>
          <t>AUD</t>
        </is>
      </c>
      <c r="K1644" s="5" t="inlineStr">
        <is>
          <t>01a152b9-6ee2-7577-bddd-382bc3853fde</t>
        </is>
      </c>
      <c r="M1644" t="inlineStr">
        <is>
          <t>UNKNOWN</t>
        </is>
      </c>
      <c r="N1644" t="inlineStr">
        <is>
          <t>DEFAULT</t>
        </is>
      </c>
      <c r="Q1644" t="n">
        <v>0</v>
      </c>
      <c r="R1644" t="inlineStr">
        <is>
          <t>AUD</t>
        </is>
      </c>
      <c r="S1644" t="n">
        <v>0</v>
      </c>
      <c r="T1644" t="inlineStr">
        <is>
          <t>AUD</t>
        </is>
      </c>
      <c r="U1644" t="n">
        <v>0</v>
      </c>
    </row>
    <row r="1645">
      <c r="A1645" s="5" t="inlineStr">
        <is>
          <t>01a152b9-88b9-70d0-91ed-caee95de1e24</t>
        </is>
      </c>
      <c r="C1645" s="5" t="inlineStr">
        <is>
          <t>01a152b9-6e67-75da-8adb-b03e5d07fd21</t>
        </is>
      </c>
      <c r="D1645" s="4" t="n">
        <v>46314.24598733206</v>
      </c>
      <c r="E1645" s="4" t="n">
        <v>46314.24598733216</v>
      </c>
      <c r="F1645" t="b">
        <v>1</v>
      </c>
      <c r="G1645" t="n">
        <v/>
      </c>
      <c r="H1645" t="inlineStr">
        <is>
          <t>IVX</t>
        </is>
      </c>
      <c r="I1645" t="inlineStr">
        <is>
          <t>Invion Ltd</t>
        </is>
      </c>
      <c r="J1645" t="inlineStr">
        <is>
          <t>AUD</t>
        </is>
      </c>
      <c r="K1645" s="5" t="inlineStr">
        <is>
          <t>01a152b9-6ee2-7577-bddd-382bc3853fde</t>
        </is>
      </c>
      <c r="M1645" t="inlineStr">
        <is>
          <t>UNKNOWN</t>
        </is>
      </c>
      <c r="N1645" t="inlineStr">
        <is>
          <t>DEFAULT</t>
        </is>
      </c>
      <c r="Q1645" t="n">
        <v>0</v>
      </c>
      <c r="R1645" t="inlineStr">
        <is>
          <t>AUD</t>
        </is>
      </c>
      <c r="S1645" t="n">
        <v>0</v>
      </c>
      <c r="T1645" t="inlineStr">
        <is>
          <t>AUD</t>
        </is>
      </c>
      <c r="U1645" t="n">
        <v>0</v>
      </c>
    </row>
    <row r="1646">
      <c r="A1646" s="5" t="inlineStr">
        <is>
          <t>01a152b9-88bc-7346-9de8-590d10918d39</t>
        </is>
      </c>
      <c r="C1646" s="5" t="inlineStr">
        <is>
          <t>01a152b9-6e67-75da-8adb-b03e5d07fd21</t>
        </is>
      </c>
      <c r="D1646" s="4" t="n">
        <v>46314.24598736977</v>
      </c>
      <c r="E1646" s="4" t="n">
        <v>46314.24598736986</v>
      </c>
      <c r="F1646" t="b">
        <v>1</v>
      </c>
      <c r="G1646" t="n">
        <v/>
      </c>
      <c r="H1646" t="inlineStr">
        <is>
          <t>KNI</t>
        </is>
      </c>
      <c r="I1646" t="inlineStr">
        <is>
          <t>Kuniko Ltd</t>
        </is>
      </c>
      <c r="J1646" t="inlineStr">
        <is>
          <t>AUD</t>
        </is>
      </c>
      <c r="K1646" s="5" t="inlineStr">
        <is>
          <t>01a152b9-6ee2-7577-bddd-382bc3853fde</t>
        </is>
      </c>
      <c r="M1646" t="inlineStr">
        <is>
          <t>UNKNOWN</t>
        </is>
      </c>
      <c r="N1646" t="inlineStr">
        <is>
          <t>DEFAULT</t>
        </is>
      </c>
      <c r="Q1646" t="n">
        <v>0</v>
      </c>
      <c r="R1646" t="inlineStr">
        <is>
          <t>AUD</t>
        </is>
      </c>
      <c r="S1646" t="n">
        <v>0</v>
      </c>
      <c r="T1646" t="inlineStr">
        <is>
          <t>AUD</t>
        </is>
      </c>
      <c r="U1646" t="n">
        <v>0</v>
      </c>
    </row>
    <row r="1647">
      <c r="A1647" s="5" t="inlineStr">
        <is>
          <t>01a152b9-88c0-71d0-a7e9-a84fd5cf8b19</t>
        </is>
      </c>
      <c r="C1647" s="5" t="inlineStr">
        <is>
          <t>01a152b9-6e67-75da-8adb-b03e5d07fd21</t>
        </is>
      </c>
      <c r="D1647" s="4" t="n">
        <v>46314.24598741122</v>
      </c>
      <c r="E1647" s="4" t="n">
        <v>46314.2459874113</v>
      </c>
      <c r="F1647" t="b">
        <v>1</v>
      </c>
      <c r="G1647" t="n">
        <v/>
      </c>
      <c r="H1647" t="inlineStr">
        <is>
          <t>CCE</t>
        </is>
      </c>
      <c r="I1647" t="inlineStr">
        <is>
          <t>Carnegie Clean Energy Ltd</t>
        </is>
      </c>
      <c r="J1647" t="inlineStr">
        <is>
          <t>AUD</t>
        </is>
      </c>
      <c r="K1647" s="5" t="inlineStr">
        <is>
          <t>01a152b9-6ee2-7577-bddd-382bc3853fde</t>
        </is>
      </c>
      <c r="M1647" t="inlineStr">
        <is>
          <t>UNKNOWN</t>
        </is>
      </c>
      <c r="N1647" t="inlineStr">
        <is>
          <t>DEFAULT</t>
        </is>
      </c>
      <c r="Q1647" t="n">
        <v>0</v>
      </c>
      <c r="R1647" t="inlineStr">
        <is>
          <t>AUD</t>
        </is>
      </c>
      <c r="S1647" t="n">
        <v>0</v>
      </c>
      <c r="T1647" t="inlineStr">
        <is>
          <t>AUD</t>
        </is>
      </c>
      <c r="U1647" t="n">
        <v>0</v>
      </c>
    </row>
    <row r="1648">
      <c r="A1648" s="5" t="inlineStr">
        <is>
          <t>01a152b9-88c3-7553-bdb6-dee3d3d2f53b</t>
        </is>
      </c>
      <c r="C1648" s="5" t="inlineStr">
        <is>
          <t>01a152b9-6e67-75da-8adb-b03e5d07fd21</t>
        </is>
      </c>
      <c r="D1648" s="4" t="n">
        <v>46314.24598745076</v>
      </c>
      <c r="E1648" s="4" t="n">
        <v>46314.24598745086</v>
      </c>
      <c r="F1648" t="b">
        <v>1</v>
      </c>
      <c r="G1648" t="n">
        <v/>
      </c>
      <c r="H1648" t="inlineStr">
        <is>
          <t>EQN</t>
        </is>
      </c>
      <c r="I1648" t="inlineStr">
        <is>
          <t>Equinox Resources Ltd</t>
        </is>
      </c>
      <c r="J1648" t="inlineStr">
        <is>
          <t>AUD</t>
        </is>
      </c>
      <c r="K1648" s="5" t="inlineStr">
        <is>
          <t>01a152b9-6ee2-7577-bddd-382bc3853fde</t>
        </is>
      </c>
      <c r="M1648" t="inlineStr">
        <is>
          <t>UNKNOWN</t>
        </is>
      </c>
      <c r="N1648" t="inlineStr">
        <is>
          <t>DEFAULT</t>
        </is>
      </c>
      <c r="Q1648" t="n">
        <v>0</v>
      </c>
      <c r="R1648" t="inlineStr">
        <is>
          <t>AUD</t>
        </is>
      </c>
      <c r="S1648" t="n">
        <v>0</v>
      </c>
      <c r="T1648" t="inlineStr">
        <is>
          <t>AUD</t>
        </is>
      </c>
      <c r="U1648" t="n">
        <v>0</v>
      </c>
    </row>
    <row r="1649">
      <c r="A1649" s="5" t="inlineStr">
        <is>
          <t>01a152b9-88c7-75f7-9f1a-eed866741059</t>
        </is>
      </c>
      <c r="C1649" s="5" t="inlineStr">
        <is>
          <t>01a152b9-6e67-75da-8adb-b03e5d07fd21</t>
        </is>
      </c>
      <c r="D1649" s="4" t="n">
        <v>46314.2459874912</v>
      </c>
      <c r="E1649" s="4" t="n">
        <v>46314.24598749131</v>
      </c>
      <c r="F1649" t="b">
        <v>1</v>
      </c>
      <c r="G1649" t="n">
        <v/>
      </c>
      <c r="H1649" t="inlineStr">
        <is>
          <t>FRB</t>
        </is>
      </c>
      <c r="I1649" t="inlineStr">
        <is>
          <t>Firebird Metals Ltd</t>
        </is>
      </c>
      <c r="J1649" t="inlineStr">
        <is>
          <t>AUD</t>
        </is>
      </c>
      <c r="K1649" s="5" t="inlineStr">
        <is>
          <t>01a152b9-6ee2-7577-bddd-382bc3853fde</t>
        </is>
      </c>
      <c r="M1649" t="inlineStr">
        <is>
          <t>UNKNOWN</t>
        </is>
      </c>
      <c r="N1649" t="inlineStr">
        <is>
          <t>DEFAULT</t>
        </is>
      </c>
      <c r="Q1649" t="n">
        <v>0</v>
      </c>
      <c r="R1649" t="inlineStr">
        <is>
          <t>AUD</t>
        </is>
      </c>
      <c r="S1649" t="n">
        <v>0</v>
      </c>
      <c r="T1649" t="inlineStr">
        <is>
          <t>AUD</t>
        </is>
      </c>
      <c r="U1649" t="n">
        <v>0</v>
      </c>
    </row>
    <row r="1650">
      <c r="A1650" s="5" t="inlineStr">
        <is>
          <t>01a152b9-88ca-75b5-93ee-75e2f6555222</t>
        </is>
      </c>
      <c r="C1650" s="5" t="inlineStr">
        <is>
          <t>01a152b9-6e67-75da-8adb-b03e5d07fd21</t>
        </is>
      </c>
      <c r="D1650" s="4" t="n">
        <v>46314.24598752988</v>
      </c>
      <c r="E1650" s="4" t="n">
        <v>46314.24598752999</v>
      </c>
      <c r="F1650" t="b">
        <v>1</v>
      </c>
      <c r="G1650" t="n">
        <v/>
      </c>
      <c r="H1650" t="inlineStr">
        <is>
          <t>LSA</t>
        </is>
      </c>
      <c r="I1650" t="inlineStr">
        <is>
          <t>Lachlan Star Ltd</t>
        </is>
      </c>
      <c r="J1650" t="inlineStr">
        <is>
          <t>AUD</t>
        </is>
      </c>
      <c r="K1650" s="5" t="inlineStr">
        <is>
          <t>01a152b9-6ee2-7577-bddd-382bc3853fde</t>
        </is>
      </c>
      <c r="M1650" t="inlineStr">
        <is>
          <t>UNKNOWN</t>
        </is>
      </c>
      <c r="N1650" t="inlineStr">
        <is>
          <t>DEFAULT</t>
        </is>
      </c>
      <c r="Q1650" t="n">
        <v>0</v>
      </c>
      <c r="R1650" t="inlineStr">
        <is>
          <t>AUD</t>
        </is>
      </c>
      <c r="S1650" t="n">
        <v>0</v>
      </c>
      <c r="T1650" t="inlineStr">
        <is>
          <t>AUD</t>
        </is>
      </c>
      <c r="U1650" t="n">
        <v>0</v>
      </c>
    </row>
    <row r="1651">
      <c r="A1651" s="5" t="inlineStr">
        <is>
          <t>01a152b9-88cd-754f-83ff-b0542da0f91e</t>
        </is>
      </c>
      <c r="C1651" s="5" t="inlineStr">
        <is>
          <t>01a152b9-6e67-75da-8adb-b03e5d07fd21</t>
        </is>
      </c>
      <c r="D1651" s="4" t="n">
        <v>46314.24598756985</v>
      </c>
      <c r="E1651" s="4" t="n">
        <v>46314.24598756996</v>
      </c>
      <c r="F1651" t="b">
        <v>1</v>
      </c>
      <c r="G1651" t="n">
        <v/>
      </c>
      <c r="H1651" t="inlineStr">
        <is>
          <t>RNV</t>
        </is>
      </c>
      <c r="I1651" t="inlineStr">
        <is>
          <t>Renerve Ltd</t>
        </is>
      </c>
      <c r="J1651" t="inlineStr">
        <is>
          <t>AUD</t>
        </is>
      </c>
      <c r="K1651" s="5" t="inlineStr">
        <is>
          <t>01a152b9-6ee2-7577-bddd-382bc3853fde</t>
        </is>
      </c>
      <c r="M1651" t="inlineStr">
        <is>
          <t>UNKNOWN</t>
        </is>
      </c>
      <c r="N1651" t="inlineStr">
        <is>
          <t>DEFAULT</t>
        </is>
      </c>
      <c r="Q1651" t="n">
        <v>0</v>
      </c>
      <c r="R1651" t="inlineStr">
        <is>
          <t>AUD</t>
        </is>
      </c>
      <c r="S1651" t="n">
        <v>0</v>
      </c>
      <c r="T1651" t="inlineStr">
        <is>
          <t>AUD</t>
        </is>
      </c>
      <c r="U1651" t="n">
        <v>0</v>
      </c>
    </row>
    <row r="1652">
      <c r="A1652" s="5" t="inlineStr">
        <is>
          <t>01a152b9-88d1-7698-b6da-a4b3d05594cc</t>
        </is>
      </c>
      <c r="C1652" s="5" t="inlineStr">
        <is>
          <t>01a152b9-6e67-75da-8adb-b03e5d07fd21</t>
        </is>
      </c>
      <c r="D1652" s="4" t="n">
        <v>46314.24598760764</v>
      </c>
      <c r="E1652" s="4" t="n">
        <v>46314.24598760776</v>
      </c>
      <c r="F1652" t="b">
        <v>1</v>
      </c>
      <c r="G1652" t="n">
        <v/>
      </c>
      <c r="H1652" t="inlineStr">
        <is>
          <t>GMVW</t>
        </is>
      </c>
      <c r="I1652" t="inlineStr">
        <is>
          <t>Vaneck Geared Aust. EQUAL Weight Fund (Hedge Fund)</t>
        </is>
      </c>
      <c r="J1652" t="inlineStr">
        <is>
          <t>AUD</t>
        </is>
      </c>
      <c r="K1652" s="5" t="inlineStr">
        <is>
          <t>01a152b9-6ee2-7577-bddd-382bc3853fde</t>
        </is>
      </c>
      <c r="M1652" t="inlineStr">
        <is>
          <t>UNKNOWN</t>
        </is>
      </c>
      <c r="N1652" t="inlineStr">
        <is>
          <t>DEFAULT</t>
        </is>
      </c>
      <c r="Q1652" t="n">
        <v>0</v>
      </c>
      <c r="R1652" t="inlineStr">
        <is>
          <t>AUD</t>
        </is>
      </c>
      <c r="S1652" t="n">
        <v>0</v>
      </c>
      <c r="T1652" t="inlineStr">
        <is>
          <t>AUD</t>
        </is>
      </c>
      <c r="U1652" t="n">
        <v>0</v>
      </c>
    </row>
    <row r="1653">
      <c r="A1653" s="5" t="inlineStr">
        <is>
          <t>01a152b9-88d4-7261-9544-55bb3b9ab54c</t>
        </is>
      </c>
      <c r="C1653" s="5" t="inlineStr">
        <is>
          <t>01a152b9-6e67-75da-8adb-b03e5d07fd21</t>
        </is>
      </c>
      <c r="D1653" s="4" t="n">
        <v>46314.24598764778</v>
      </c>
      <c r="E1653" s="4" t="n">
        <v>46314.24598764787</v>
      </c>
      <c r="F1653" t="b">
        <v>1</v>
      </c>
      <c r="G1653" t="n">
        <v/>
      </c>
      <c r="H1653" t="inlineStr">
        <is>
          <t>AR3</t>
        </is>
      </c>
      <c r="I1653" t="inlineStr">
        <is>
          <t>Australian Rare EARTHS Ltd</t>
        </is>
      </c>
      <c r="J1653" t="inlineStr">
        <is>
          <t>AUD</t>
        </is>
      </c>
      <c r="K1653" s="5" t="inlineStr">
        <is>
          <t>01a152b9-6ee2-7577-bddd-382bc3853fde</t>
        </is>
      </c>
      <c r="M1653" t="inlineStr">
        <is>
          <t>UNKNOWN</t>
        </is>
      </c>
      <c r="N1653" t="inlineStr">
        <is>
          <t>DEFAULT</t>
        </is>
      </c>
      <c r="Q1653" t="n">
        <v>0</v>
      </c>
      <c r="R1653" t="inlineStr">
        <is>
          <t>AUD</t>
        </is>
      </c>
      <c r="S1653" t="n">
        <v>0</v>
      </c>
      <c r="T1653" t="inlineStr">
        <is>
          <t>AUD</t>
        </is>
      </c>
      <c r="U1653" t="n">
        <v>0</v>
      </c>
    </row>
    <row r="1654">
      <c r="A1654" s="5" t="inlineStr">
        <is>
          <t>01a152b9-88d8-771e-8539-f78b1598dcc4</t>
        </is>
      </c>
      <c r="C1654" s="5" t="inlineStr">
        <is>
          <t>01a152b9-6e67-75da-8adb-b03e5d07fd21</t>
        </is>
      </c>
      <c r="D1654" s="4" t="n">
        <v>46314.24598768868</v>
      </c>
      <c r="E1654" s="4" t="n">
        <v>46314.2459876888</v>
      </c>
      <c r="F1654" t="b">
        <v>1</v>
      </c>
      <c r="G1654" t="n">
        <v/>
      </c>
      <c r="H1654" t="inlineStr">
        <is>
          <t>SHO</t>
        </is>
      </c>
      <c r="I1654" t="inlineStr">
        <is>
          <t>Sportshero Ltd</t>
        </is>
      </c>
      <c r="J1654" t="inlineStr">
        <is>
          <t>AUD</t>
        </is>
      </c>
      <c r="K1654" s="5" t="inlineStr">
        <is>
          <t>01a152b9-6ee2-7577-bddd-382bc3853fde</t>
        </is>
      </c>
      <c r="M1654" t="inlineStr">
        <is>
          <t>UNKNOWN</t>
        </is>
      </c>
      <c r="N1654" t="inlineStr">
        <is>
          <t>DEFAULT</t>
        </is>
      </c>
      <c r="Q1654" t="n">
        <v>0</v>
      </c>
      <c r="R1654" t="inlineStr">
        <is>
          <t>AUD</t>
        </is>
      </c>
      <c r="S1654" t="n">
        <v>0</v>
      </c>
      <c r="T1654" t="inlineStr">
        <is>
          <t>AUD</t>
        </is>
      </c>
      <c r="U1654" t="n">
        <v>0</v>
      </c>
    </row>
    <row r="1655">
      <c r="A1655" s="5" t="inlineStr">
        <is>
          <t>01a152b9-88dc-75bc-ba5d-0c49fed913c7</t>
        </is>
      </c>
      <c r="C1655" s="5" t="inlineStr">
        <is>
          <t>01a152b9-6e67-75da-8adb-b03e5d07fd21</t>
        </is>
      </c>
      <c r="D1655" s="4" t="n">
        <v>46314.2459877344</v>
      </c>
      <c r="E1655" s="4" t="n">
        <v>46314.24598773452</v>
      </c>
      <c r="F1655" t="b">
        <v>1</v>
      </c>
      <c r="G1655" t="n">
        <v/>
      </c>
      <c r="H1655" t="inlineStr">
        <is>
          <t>BLU</t>
        </is>
      </c>
      <c r="I1655" t="inlineStr">
        <is>
          <t>Blue Energy Ltd</t>
        </is>
      </c>
      <c r="J1655" t="inlineStr">
        <is>
          <t>AUD</t>
        </is>
      </c>
      <c r="K1655" s="5" t="inlineStr">
        <is>
          <t>01a152b9-6ee2-7577-bddd-382bc3853fde</t>
        </is>
      </c>
      <c r="M1655" t="inlineStr">
        <is>
          <t>UNKNOWN</t>
        </is>
      </c>
      <c r="N1655" t="inlineStr">
        <is>
          <t>DEFAULT</t>
        </is>
      </c>
      <c r="Q1655" t="n">
        <v>0</v>
      </c>
      <c r="R1655" t="inlineStr">
        <is>
          <t>AUD</t>
        </is>
      </c>
      <c r="S1655" t="n">
        <v>0</v>
      </c>
      <c r="T1655" t="inlineStr">
        <is>
          <t>AUD</t>
        </is>
      </c>
      <c r="U1655" t="n">
        <v>0</v>
      </c>
    </row>
    <row r="1656">
      <c r="A1656" s="5" t="inlineStr">
        <is>
          <t>01a152b9-88df-72f8-bff7-289a95ee7ceb</t>
        </is>
      </c>
      <c r="C1656" s="5" t="inlineStr">
        <is>
          <t>01a152b9-6e67-75da-8adb-b03e5d07fd21</t>
        </is>
      </c>
      <c r="D1656" s="4" t="n">
        <v>46314.24598777707</v>
      </c>
      <c r="E1656" s="4" t="n">
        <v>46314.24598777716</v>
      </c>
      <c r="F1656" t="b">
        <v>1</v>
      </c>
      <c r="G1656" t="n">
        <v/>
      </c>
      <c r="H1656" t="inlineStr">
        <is>
          <t>ETR</t>
        </is>
      </c>
      <c r="I1656" t="inlineStr">
        <is>
          <t>ENTYR Ltd</t>
        </is>
      </c>
      <c r="J1656" t="inlineStr">
        <is>
          <t>AUD</t>
        </is>
      </c>
      <c r="K1656" s="5" t="inlineStr">
        <is>
          <t>01a152b9-6ee2-7577-bddd-382bc3853fde</t>
        </is>
      </c>
      <c r="M1656" t="inlineStr">
        <is>
          <t>UNKNOWN</t>
        </is>
      </c>
      <c r="N1656" t="inlineStr">
        <is>
          <t>DEFAULT</t>
        </is>
      </c>
      <c r="Q1656" t="n">
        <v>0</v>
      </c>
      <c r="R1656" t="inlineStr">
        <is>
          <t>AUD</t>
        </is>
      </c>
      <c r="S1656" t="n">
        <v>0</v>
      </c>
      <c r="T1656" t="inlineStr">
        <is>
          <t>AUD</t>
        </is>
      </c>
      <c r="U1656" t="n">
        <v>0</v>
      </c>
    </row>
    <row r="1657">
      <c r="A1657" s="5" t="inlineStr">
        <is>
          <t>01a152b9-88e3-750c-9d30-88c3c7744e74</t>
        </is>
      </c>
      <c r="C1657" s="5" t="inlineStr">
        <is>
          <t>01a152b9-6e67-75da-8adb-b03e5d07fd21</t>
        </is>
      </c>
      <c r="D1657" s="4" t="n">
        <v>46314.24598781455</v>
      </c>
      <c r="E1657" s="4" t="n">
        <v>46314.24598781464</v>
      </c>
      <c r="F1657" t="b">
        <v>1</v>
      </c>
      <c r="G1657" t="n">
        <v/>
      </c>
      <c r="H1657" t="inlineStr">
        <is>
          <t>IGN</t>
        </is>
      </c>
      <c r="I1657" t="inlineStr">
        <is>
          <t>Ignite Ltd</t>
        </is>
      </c>
      <c r="J1657" t="inlineStr">
        <is>
          <t>AUD</t>
        </is>
      </c>
      <c r="K1657" s="5" t="inlineStr">
        <is>
          <t>01a152b9-6ee2-7577-bddd-382bc3853fde</t>
        </is>
      </c>
      <c r="M1657" t="inlineStr">
        <is>
          <t>UNKNOWN</t>
        </is>
      </c>
      <c r="N1657" t="inlineStr">
        <is>
          <t>DEFAULT</t>
        </is>
      </c>
      <c r="Q1657" t="n">
        <v>0</v>
      </c>
      <c r="R1657" t="inlineStr">
        <is>
          <t>AUD</t>
        </is>
      </c>
      <c r="S1657" t="n">
        <v>0</v>
      </c>
      <c r="T1657" t="inlineStr">
        <is>
          <t>AUD</t>
        </is>
      </c>
      <c r="U1657" t="n">
        <v>0</v>
      </c>
    </row>
    <row r="1658">
      <c r="A1658" s="5" t="inlineStr">
        <is>
          <t>01a152b9-88e6-7289-9c53-9f5064a70b4d</t>
        </is>
      </c>
      <c r="C1658" s="5" t="inlineStr">
        <is>
          <t>01a152b9-6e67-75da-8adb-b03e5d07fd21</t>
        </is>
      </c>
      <c r="D1658" s="4" t="n">
        <v>46314.24598785445</v>
      </c>
      <c r="E1658" s="4" t="n">
        <v>46314.24598785453</v>
      </c>
      <c r="F1658" t="b">
        <v>1</v>
      </c>
      <c r="G1658" t="n">
        <v/>
      </c>
      <c r="H1658" t="inlineStr">
        <is>
          <t>AXI</t>
        </is>
      </c>
      <c r="I1658" t="inlineStr">
        <is>
          <t>Axiom Properties Ltd</t>
        </is>
      </c>
      <c r="J1658" t="inlineStr">
        <is>
          <t>AUD</t>
        </is>
      </c>
      <c r="K1658" s="5" t="inlineStr">
        <is>
          <t>01a152b9-6ee2-7577-bddd-382bc3853fde</t>
        </is>
      </c>
      <c r="M1658" t="inlineStr">
        <is>
          <t>UNKNOWN</t>
        </is>
      </c>
      <c r="N1658" t="inlineStr">
        <is>
          <t>DEFAULT</t>
        </is>
      </c>
      <c r="Q1658" t="n">
        <v>0</v>
      </c>
      <c r="R1658" t="inlineStr">
        <is>
          <t>AUD</t>
        </is>
      </c>
      <c r="S1658" t="n">
        <v>0</v>
      </c>
      <c r="T1658" t="inlineStr">
        <is>
          <t>AUD</t>
        </is>
      </c>
      <c r="U1658" t="n">
        <v>0</v>
      </c>
    </row>
    <row r="1659">
      <c r="A1659" s="5" t="inlineStr">
        <is>
          <t>01a152b9-88e9-727d-93bf-4bac77a603ee</t>
        </is>
      </c>
      <c r="C1659" s="5" t="inlineStr">
        <is>
          <t>01a152b9-6e67-75da-8adb-b03e5d07fd21</t>
        </is>
      </c>
      <c r="D1659" s="4" t="n">
        <v>46314.24598788805</v>
      </c>
      <c r="E1659" s="4" t="n">
        <v>46314.24598788815</v>
      </c>
      <c r="F1659" t="b">
        <v>1</v>
      </c>
      <c r="G1659" t="n">
        <v/>
      </c>
      <c r="H1659" t="inlineStr">
        <is>
          <t>KSM</t>
        </is>
      </c>
      <c r="I1659" t="inlineStr">
        <is>
          <t>K2 Australian Small Cap Fund (Hedge Fund)</t>
        </is>
      </c>
      <c r="J1659" t="inlineStr">
        <is>
          <t>AUD</t>
        </is>
      </c>
      <c r="K1659" s="5" t="inlineStr">
        <is>
          <t>01a152b9-6ee2-7577-bddd-382bc3853fde</t>
        </is>
      </c>
      <c r="M1659" t="inlineStr">
        <is>
          <t>UNKNOWN</t>
        </is>
      </c>
      <c r="N1659" t="inlineStr">
        <is>
          <t>DEFAULT</t>
        </is>
      </c>
      <c r="Q1659" t="n">
        <v>0</v>
      </c>
      <c r="R1659" t="inlineStr">
        <is>
          <t>AUD</t>
        </is>
      </c>
      <c r="S1659" t="n">
        <v>0</v>
      </c>
      <c r="T1659" t="inlineStr">
        <is>
          <t>AUD</t>
        </is>
      </c>
      <c r="U1659" t="n">
        <v>0</v>
      </c>
    </row>
    <row r="1660">
      <c r="A1660" s="5" t="inlineStr">
        <is>
          <t>01a152b9-88ec-7689-b02b-d029ca62a873</t>
        </is>
      </c>
      <c r="C1660" s="5" t="inlineStr">
        <is>
          <t>01a152b9-6e67-75da-8adb-b03e5d07fd21</t>
        </is>
      </c>
      <c r="D1660" s="4" t="n">
        <v>46314.24598792937</v>
      </c>
      <c r="E1660" s="4" t="n">
        <v>46314.24598792949</v>
      </c>
      <c r="F1660" t="b">
        <v>1</v>
      </c>
      <c r="G1660" t="n">
        <v/>
      </c>
      <c r="H1660" t="inlineStr">
        <is>
          <t>MKG</t>
        </is>
      </c>
      <c r="I1660" t="inlineStr">
        <is>
          <t>Mako Gold Ltd</t>
        </is>
      </c>
      <c r="J1660" t="inlineStr">
        <is>
          <t>AUD</t>
        </is>
      </c>
      <c r="K1660" s="5" t="inlineStr">
        <is>
          <t>01a152b9-6ee2-7577-bddd-382bc3853fde</t>
        </is>
      </c>
      <c r="M1660" t="inlineStr">
        <is>
          <t>UNKNOWN</t>
        </is>
      </c>
      <c r="N1660" t="inlineStr">
        <is>
          <t>DEFAULT</t>
        </is>
      </c>
      <c r="Q1660" t="n">
        <v>0</v>
      </c>
      <c r="R1660" t="inlineStr">
        <is>
          <t>AUD</t>
        </is>
      </c>
      <c r="S1660" t="n">
        <v>0</v>
      </c>
      <c r="T1660" t="inlineStr">
        <is>
          <t>AUD</t>
        </is>
      </c>
      <c r="U1660" t="n">
        <v>0</v>
      </c>
    </row>
    <row r="1661">
      <c r="A1661" s="5" t="inlineStr">
        <is>
          <t>01a152b9-88f0-71a8-9e0d-ddb118978da5</t>
        </is>
      </c>
      <c r="C1661" s="5" t="inlineStr">
        <is>
          <t>01a152b9-6e67-75da-8adb-b03e5d07fd21</t>
        </is>
      </c>
      <c r="D1661" s="4" t="n">
        <v>46314.24598796728</v>
      </c>
      <c r="E1661" s="4" t="n">
        <v>46314.2459879674</v>
      </c>
      <c r="F1661" t="b">
        <v>1</v>
      </c>
      <c r="G1661" t="n">
        <v/>
      </c>
      <c r="H1661" t="inlineStr">
        <is>
          <t>MAN</t>
        </is>
      </c>
      <c r="I1661" t="inlineStr">
        <is>
          <t>Mandrake Resources Ltd</t>
        </is>
      </c>
      <c r="J1661" t="inlineStr">
        <is>
          <t>AUD</t>
        </is>
      </c>
      <c r="K1661" s="5" t="inlineStr">
        <is>
          <t>01a152b9-6ee2-7577-bddd-382bc3853fde</t>
        </is>
      </c>
      <c r="M1661" t="inlineStr">
        <is>
          <t>UNKNOWN</t>
        </is>
      </c>
      <c r="N1661" t="inlineStr">
        <is>
          <t>DEFAULT</t>
        </is>
      </c>
      <c r="Q1661" t="n">
        <v>0</v>
      </c>
      <c r="R1661" t="inlineStr">
        <is>
          <t>AUD</t>
        </is>
      </c>
      <c r="S1661" t="n">
        <v>0</v>
      </c>
      <c r="T1661" t="inlineStr">
        <is>
          <t>AUD</t>
        </is>
      </c>
      <c r="U1661" t="n">
        <v>0</v>
      </c>
    </row>
    <row r="1662">
      <c r="A1662" s="5" t="inlineStr">
        <is>
          <t>01a152b9-88f3-7217-8f5f-0063defe7e33</t>
        </is>
      </c>
      <c r="C1662" s="5" t="inlineStr">
        <is>
          <t>01a152b9-6e67-75da-8adb-b03e5d07fd21</t>
        </is>
      </c>
      <c r="D1662" s="4" t="n">
        <v>46314.2459880077</v>
      </c>
      <c r="E1662" s="4" t="n">
        <v>46314.24598800781</v>
      </c>
      <c r="F1662" t="b">
        <v>1</v>
      </c>
      <c r="G1662" t="n">
        <v/>
      </c>
      <c r="H1662" t="inlineStr">
        <is>
          <t>AZI</t>
        </is>
      </c>
      <c r="I1662" t="inlineStr">
        <is>
          <t>Altamin Ltd</t>
        </is>
      </c>
      <c r="J1662" t="inlineStr">
        <is>
          <t>AUD</t>
        </is>
      </c>
      <c r="K1662" s="5" t="inlineStr">
        <is>
          <t>01a152b9-6ee2-7577-bddd-382bc3853fde</t>
        </is>
      </c>
      <c r="M1662" t="inlineStr">
        <is>
          <t>UNKNOWN</t>
        </is>
      </c>
      <c r="N1662" t="inlineStr">
        <is>
          <t>DEFAULT</t>
        </is>
      </c>
      <c r="Q1662" t="n">
        <v>0</v>
      </c>
      <c r="R1662" t="inlineStr">
        <is>
          <t>AUD</t>
        </is>
      </c>
      <c r="S1662" t="n">
        <v>0</v>
      </c>
      <c r="T1662" t="inlineStr">
        <is>
          <t>AUD</t>
        </is>
      </c>
      <c r="U1662" t="n">
        <v>0</v>
      </c>
    </row>
    <row r="1663">
      <c r="A1663" s="5" t="inlineStr">
        <is>
          <t>01a152b9-88f7-7407-83c9-52e727ff3840</t>
        </is>
      </c>
      <c r="C1663" s="5" t="inlineStr">
        <is>
          <t>01a152b9-6e67-75da-8adb-b03e5d07fd21</t>
        </is>
      </c>
      <c r="D1663" s="4" t="n">
        <v>46314.24598804722</v>
      </c>
      <c r="E1663" s="4" t="n">
        <v>46314.24598804734</v>
      </c>
      <c r="F1663" t="b">
        <v>1</v>
      </c>
      <c r="G1663" t="n">
        <v/>
      </c>
      <c r="H1663" t="inlineStr">
        <is>
          <t>AGH</t>
        </is>
      </c>
      <c r="I1663" t="inlineStr">
        <is>
          <t>Althea Group Holdings Ltd</t>
        </is>
      </c>
      <c r="J1663" t="inlineStr">
        <is>
          <t>AUD</t>
        </is>
      </c>
      <c r="K1663" s="5" t="inlineStr">
        <is>
          <t>01a152b9-6ee2-7577-bddd-382bc3853fde</t>
        </is>
      </c>
      <c r="M1663" t="inlineStr">
        <is>
          <t>UNKNOWN</t>
        </is>
      </c>
      <c r="N1663" t="inlineStr">
        <is>
          <t>DEFAULT</t>
        </is>
      </c>
      <c r="Q1663" t="n">
        <v>0</v>
      </c>
      <c r="R1663" t="inlineStr">
        <is>
          <t>AUD</t>
        </is>
      </c>
      <c r="S1663" t="n">
        <v>0</v>
      </c>
      <c r="T1663" t="inlineStr">
        <is>
          <t>AUD</t>
        </is>
      </c>
      <c r="U1663" t="n">
        <v>0</v>
      </c>
    </row>
    <row r="1664">
      <c r="A1664" s="5" t="inlineStr">
        <is>
          <t>01a152b9-88fa-7542-83ce-08040955e616</t>
        </is>
      </c>
      <c r="C1664" s="5" t="inlineStr">
        <is>
          <t>01a152b9-6e67-75da-8adb-b03e5d07fd21</t>
        </is>
      </c>
      <c r="D1664" s="4" t="n">
        <v>46314.2459880875</v>
      </c>
      <c r="E1664" s="4" t="n">
        <v>46314.24598808768</v>
      </c>
      <c r="F1664" t="b">
        <v>1</v>
      </c>
      <c r="G1664" t="n">
        <v/>
      </c>
      <c r="H1664" t="inlineStr">
        <is>
          <t>Z2U</t>
        </is>
      </c>
      <c r="I1664" t="inlineStr">
        <is>
          <t>ZOOM2U Technologies Ltd</t>
        </is>
      </c>
      <c r="J1664" t="inlineStr">
        <is>
          <t>AUD</t>
        </is>
      </c>
      <c r="K1664" s="5" t="inlineStr">
        <is>
          <t>01a152b9-6ee2-7577-bddd-382bc3853fde</t>
        </is>
      </c>
      <c r="M1664" t="inlineStr">
        <is>
          <t>UNKNOWN</t>
        </is>
      </c>
      <c r="N1664" t="inlineStr">
        <is>
          <t>DEFAULT</t>
        </is>
      </c>
      <c r="Q1664" t="n">
        <v>0</v>
      </c>
      <c r="R1664" t="inlineStr">
        <is>
          <t>AUD</t>
        </is>
      </c>
      <c r="S1664" t="n">
        <v>0</v>
      </c>
      <c r="T1664" t="inlineStr">
        <is>
          <t>AUD</t>
        </is>
      </c>
      <c r="U1664" t="n">
        <v>0</v>
      </c>
    </row>
    <row r="1665">
      <c r="A1665" s="5" t="inlineStr">
        <is>
          <t>01a152b9-88fd-72b9-bb64-4528e81ac0f9</t>
        </is>
      </c>
      <c r="C1665" s="5" t="inlineStr">
        <is>
          <t>01a152b9-6e67-75da-8adb-b03e5d07fd21</t>
        </is>
      </c>
      <c r="D1665" s="4" t="n">
        <v>46314.24598812527</v>
      </c>
      <c r="E1665" s="4" t="n">
        <v>46314.24598812538</v>
      </c>
      <c r="F1665" t="b">
        <v>1</v>
      </c>
      <c r="G1665" t="n">
        <v/>
      </c>
      <c r="H1665" t="inlineStr">
        <is>
          <t>PV1</t>
        </is>
      </c>
      <c r="I1665" t="inlineStr">
        <is>
          <t>Provaris Energy Ltd</t>
        </is>
      </c>
      <c r="J1665" t="inlineStr">
        <is>
          <t>AUD</t>
        </is>
      </c>
      <c r="K1665" s="5" t="inlineStr">
        <is>
          <t>01a152b9-6ee2-7577-bddd-382bc3853fde</t>
        </is>
      </c>
      <c r="M1665" t="inlineStr">
        <is>
          <t>UNKNOWN</t>
        </is>
      </c>
      <c r="N1665" t="inlineStr">
        <is>
          <t>DEFAULT</t>
        </is>
      </c>
      <c r="Q1665" t="n">
        <v>0</v>
      </c>
      <c r="R1665" t="inlineStr">
        <is>
          <t>AUD</t>
        </is>
      </c>
      <c r="S1665" t="n">
        <v>0</v>
      </c>
      <c r="T1665" t="inlineStr">
        <is>
          <t>AUD</t>
        </is>
      </c>
      <c r="U1665" t="n">
        <v>0</v>
      </c>
    </row>
    <row r="1666">
      <c r="A1666" s="5" t="inlineStr">
        <is>
          <t>01a152b9-8901-74d0-a5b8-84117bcad3c8</t>
        </is>
      </c>
      <c r="C1666" s="5" t="inlineStr">
        <is>
          <t>01a152b9-6e67-75da-8adb-b03e5d07fd21</t>
        </is>
      </c>
      <c r="D1666" s="4" t="n">
        <v>46314.24598816647</v>
      </c>
      <c r="E1666" s="4" t="n">
        <v>46314.2459881666</v>
      </c>
      <c r="F1666" t="b">
        <v>1</v>
      </c>
      <c r="G1666" t="n">
        <v/>
      </c>
      <c r="H1666" t="inlineStr">
        <is>
          <t>PVL</t>
        </is>
      </c>
      <c r="I1666" t="inlineStr">
        <is>
          <t>Powerhouse Ventures Ltd</t>
        </is>
      </c>
      <c r="J1666" t="inlineStr">
        <is>
          <t>AUD</t>
        </is>
      </c>
      <c r="K1666" s="5" t="inlineStr">
        <is>
          <t>01a152b9-6ee2-7577-bddd-382bc3853fde</t>
        </is>
      </c>
      <c r="M1666" t="inlineStr">
        <is>
          <t>UNKNOWN</t>
        </is>
      </c>
      <c r="N1666" t="inlineStr">
        <is>
          <t>DEFAULT</t>
        </is>
      </c>
      <c r="Q1666" t="n">
        <v>0</v>
      </c>
      <c r="R1666" t="inlineStr">
        <is>
          <t>AUD</t>
        </is>
      </c>
      <c r="S1666" t="n">
        <v>0</v>
      </c>
      <c r="T1666" t="inlineStr">
        <is>
          <t>AUD</t>
        </is>
      </c>
      <c r="U1666" t="n">
        <v>0</v>
      </c>
    </row>
    <row r="1667">
      <c r="A1667" s="5" t="inlineStr">
        <is>
          <t>01a152b9-8905-74cd-a7be-5c7fe9965692</t>
        </is>
      </c>
      <c r="C1667" s="5" t="inlineStr">
        <is>
          <t>01a152b9-6e67-75da-8adb-b03e5d07fd21</t>
        </is>
      </c>
      <c r="D1667" s="4" t="n">
        <v>46314.24598820765</v>
      </c>
      <c r="E1667" s="4" t="n">
        <v>46314.24598820777</v>
      </c>
      <c r="F1667" t="b">
        <v>1</v>
      </c>
      <c r="G1667" t="n">
        <v/>
      </c>
      <c r="H1667" t="inlineStr">
        <is>
          <t>RIL</t>
        </is>
      </c>
      <c r="I1667" t="inlineStr">
        <is>
          <t>Redivium Ltd</t>
        </is>
      </c>
      <c r="J1667" t="inlineStr">
        <is>
          <t>AUD</t>
        </is>
      </c>
      <c r="K1667" s="5" t="inlineStr">
        <is>
          <t>01a152b9-6ee2-7577-bddd-382bc3853fde</t>
        </is>
      </c>
      <c r="M1667" t="inlineStr">
        <is>
          <t>UNKNOWN</t>
        </is>
      </c>
      <c r="N1667" t="inlineStr">
        <is>
          <t>DEFAULT</t>
        </is>
      </c>
      <c r="Q1667" t="n">
        <v>0</v>
      </c>
      <c r="R1667" t="inlineStr">
        <is>
          <t>AUD</t>
        </is>
      </c>
      <c r="S1667" t="n">
        <v>0</v>
      </c>
      <c r="T1667" t="inlineStr">
        <is>
          <t>AUD</t>
        </is>
      </c>
      <c r="U1667" t="n">
        <v>0</v>
      </c>
    </row>
    <row r="1668">
      <c r="A1668" s="5" t="inlineStr">
        <is>
          <t>01a152b9-8908-702f-9f4a-3213944b465c</t>
        </is>
      </c>
      <c r="C1668" s="5" t="inlineStr">
        <is>
          <t>01a152b9-6e67-75da-8adb-b03e5d07fd21</t>
        </is>
      </c>
      <c r="D1668" s="4" t="n">
        <v>46314.24598824619</v>
      </c>
      <c r="E1668" s="4" t="n">
        <v>46314.24598824631</v>
      </c>
      <c r="F1668" t="b">
        <v>1</v>
      </c>
      <c r="G1668" t="n">
        <v/>
      </c>
      <c r="H1668" t="inlineStr">
        <is>
          <t>NGX</t>
        </is>
      </c>
      <c r="I1668" t="inlineStr">
        <is>
          <t>NGX Ltd</t>
        </is>
      </c>
      <c r="J1668" t="inlineStr">
        <is>
          <t>AUD</t>
        </is>
      </c>
      <c r="K1668" s="5" t="inlineStr">
        <is>
          <t>01a152b9-6ee2-7577-bddd-382bc3853fde</t>
        </is>
      </c>
      <c r="M1668" t="inlineStr">
        <is>
          <t>UNKNOWN</t>
        </is>
      </c>
      <c r="N1668" t="inlineStr">
        <is>
          <t>DEFAULT</t>
        </is>
      </c>
      <c r="Q1668" t="n">
        <v>0</v>
      </c>
      <c r="R1668" t="inlineStr">
        <is>
          <t>AUD</t>
        </is>
      </c>
      <c r="S1668" t="n">
        <v>0</v>
      </c>
      <c r="T1668" t="inlineStr">
        <is>
          <t>AUD</t>
        </is>
      </c>
      <c r="U1668" t="n">
        <v>0</v>
      </c>
    </row>
    <row r="1669">
      <c r="A1669" s="5" t="inlineStr">
        <is>
          <t>01a152b9-890b-73e0-9521-9e2aba431950</t>
        </is>
      </c>
      <c r="C1669" s="5" t="inlineStr">
        <is>
          <t>01a152b9-6e67-75da-8adb-b03e5d07fd21</t>
        </is>
      </c>
      <c r="D1669" s="4" t="n">
        <v>46314.24598828449</v>
      </c>
      <c r="E1669" s="4" t="n">
        <v>46314.24598828459</v>
      </c>
      <c r="F1669" t="b">
        <v>1</v>
      </c>
      <c r="G1669" t="n">
        <v/>
      </c>
      <c r="H1669" t="inlineStr">
        <is>
          <t>CC9</t>
        </is>
      </c>
      <c r="I1669" t="inlineStr">
        <is>
          <t>Chariot Corporation Ltd</t>
        </is>
      </c>
      <c r="J1669" t="inlineStr">
        <is>
          <t>AUD</t>
        </is>
      </c>
      <c r="K1669" s="5" t="inlineStr">
        <is>
          <t>01a152b9-6ee2-7577-bddd-382bc3853fde</t>
        </is>
      </c>
      <c r="M1669" t="inlineStr">
        <is>
          <t>UNKNOWN</t>
        </is>
      </c>
      <c r="N1669" t="inlineStr">
        <is>
          <t>DEFAULT</t>
        </is>
      </c>
      <c r="Q1669" t="n">
        <v>0</v>
      </c>
      <c r="R1669" t="inlineStr">
        <is>
          <t>AUD</t>
        </is>
      </c>
      <c r="S1669" t="n">
        <v>0</v>
      </c>
      <c r="T1669" t="inlineStr">
        <is>
          <t>AUD</t>
        </is>
      </c>
      <c r="U1669" t="n">
        <v>0</v>
      </c>
    </row>
    <row r="1670">
      <c r="A1670" s="5" t="inlineStr">
        <is>
          <t>01a152b9-890f-70c3-ac5b-da2aa62aeed3</t>
        </is>
      </c>
      <c r="C1670" s="5" t="inlineStr">
        <is>
          <t>01a152b9-6e67-75da-8adb-b03e5d07fd21</t>
        </is>
      </c>
      <c r="D1670" s="4" t="n">
        <v>46314.24598832584</v>
      </c>
      <c r="E1670" s="4" t="n">
        <v>46314.24598832599</v>
      </c>
      <c r="F1670" t="b">
        <v>1</v>
      </c>
      <c r="G1670" t="n">
        <v/>
      </c>
      <c r="H1670" t="inlineStr">
        <is>
          <t>BIT</t>
        </is>
      </c>
      <c r="I1670" t="inlineStr">
        <is>
          <t>Biotron Ltd</t>
        </is>
      </c>
      <c r="J1670" t="inlineStr">
        <is>
          <t>AUD</t>
        </is>
      </c>
      <c r="K1670" s="5" t="inlineStr">
        <is>
          <t>01a152b9-6ee2-7577-bddd-382bc3853fde</t>
        </is>
      </c>
      <c r="M1670" t="inlineStr">
        <is>
          <t>UNKNOWN</t>
        </is>
      </c>
      <c r="N1670" t="inlineStr">
        <is>
          <t>DEFAULT</t>
        </is>
      </c>
      <c r="Q1670" t="n">
        <v>0</v>
      </c>
      <c r="R1670" t="inlineStr">
        <is>
          <t>AUD</t>
        </is>
      </c>
      <c r="S1670" t="n">
        <v>0</v>
      </c>
      <c r="T1670" t="inlineStr">
        <is>
          <t>AUD</t>
        </is>
      </c>
      <c r="U1670" t="n">
        <v>0</v>
      </c>
    </row>
    <row r="1671">
      <c r="A1671" s="5" t="inlineStr">
        <is>
          <t>01a152b9-8912-7201-97c0-a2fb255e28c2</t>
        </is>
      </c>
      <c r="C1671" s="5" t="inlineStr">
        <is>
          <t>01a152b9-6e67-75da-8adb-b03e5d07fd21</t>
        </is>
      </c>
      <c r="D1671" s="4" t="n">
        <v>46314.24598836586</v>
      </c>
      <c r="E1671" s="4" t="n">
        <v>46314.24598836598</v>
      </c>
      <c r="F1671" t="b">
        <v>1</v>
      </c>
      <c r="G1671" t="n">
        <v/>
      </c>
      <c r="H1671" t="inlineStr">
        <is>
          <t>GTE</t>
        </is>
      </c>
      <c r="I1671" t="inlineStr">
        <is>
          <t>Great Western Exploration Ltd</t>
        </is>
      </c>
      <c r="J1671" t="inlineStr">
        <is>
          <t>AUD</t>
        </is>
      </c>
      <c r="K1671" s="5" t="inlineStr">
        <is>
          <t>01a152b9-6ee2-7577-bddd-382bc3853fde</t>
        </is>
      </c>
      <c r="M1671" t="inlineStr">
        <is>
          <t>UNKNOWN</t>
        </is>
      </c>
      <c r="N1671" t="inlineStr">
        <is>
          <t>DEFAULT</t>
        </is>
      </c>
      <c r="Q1671" t="n">
        <v>0</v>
      </c>
      <c r="R1671" t="inlineStr">
        <is>
          <t>AUD</t>
        </is>
      </c>
      <c r="S1671" t="n">
        <v>0</v>
      </c>
      <c r="T1671" t="inlineStr">
        <is>
          <t>AUD</t>
        </is>
      </c>
      <c r="U1671" t="n">
        <v>0</v>
      </c>
    </row>
    <row r="1672">
      <c r="A1672" s="5" t="inlineStr">
        <is>
          <t>01a152b9-8917-710e-ae94-6f8da6a4da0b</t>
        </is>
      </c>
      <c r="C1672" s="5" t="inlineStr">
        <is>
          <t>01a152b9-6e67-75da-8adb-b03e5d07fd21</t>
        </is>
      </c>
      <c r="D1672" s="4" t="n">
        <v>46314.24598841849</v>
      </c>
      <c r="E1672" s="4" t="n">
        <v>46314.24598841862</v>
      </c>
      <c r="F1672" t="b">
        <v>1</v>
      </c>
      <c r="G1672" t="n">
        <v/>
      </c>
      <c r="H1672" t="inlineStr">
        <is>
          <t>FZR</t>
        </is>
      </c>
      <c r="I1672" t="inlineStr">
        <is>
          <t>Fitzroy River Corporation Ltd</t>
        </is>
      </c>
      <c r="J1672" t="inlineStr">
        <is>
          <t>AUD</t>
        </is>
      </c>
      <c r="K1672" s="5" t="inlineStr">
        <is>
          <t>01a152b9-6ee2-7577-bddd-382bc3853fde</t>
        </is>
      </c>
      <c r="M1672" t="inlineStr">
        <is>
          <t>UNKNOWN</t>
        </is>
      </c>
      <c r="N1672" t="inlineStr">
        <is>
          <t>DEFAULT</t>
        </is>
      </c>
      <c r="Q1672" t="n">
        <v>0</v>
      </c>
      <c r="R1672" t="inlineStr">
        <is>
          <t>AUD</t>
        </is>
      </c>
      <c r="S1672" t="n">
        <v>0</v>
      </c>
      <c r="T1672" t="inlineStr">
        <is>
          <t>AUD</t>
        </is>
      </c>
      <c r="U1672" t="n">
        <v>0</v>
      </c>
    </row>
    <row r="1673">
      <c r="A1673" s="5" t="inlineStr">
        <is>
          <t>01a152b9-891a-72c7-adbc-f69a2ef0bce4</t>
        </is>
      </c>
      <c r="C1673" s="5" t="inlineStr">
        <is>
          <t>01a152b9-6e67-75da-8adb-b03e5d07fd21</t>
        </is>
      </c>
      <c r="D1673" s="4" t="n">
        <v>46314.24598845632</v>
      </c>
      <c r="E1673" s="4" t="n">
        <v>46314.24598845645</v>
      </c>
      <c r="F1673" t="b">
        <v>1</v>
      </c>
      <c r="G1673" t="n">
        <v/>
      </c>
      <c r="H1673" t="inlineStr">
        <is>
          <t>DYM</t>
        </is>
      </c>
      <c r="I1673" t="inlineStr">
        <is>
          <t>Dynamic Metals Ltd</t>
        </is>
      </c>
      <c r="J1673" t="inlineStr">
        <is>
          <t>AUD</t>
        </is>
      </c>
      <c r="K1673" s="5" t="inlineStr">
        <is>
          <t>01a152b9-6ee2-7577-bddd-382bc3853fde</t>
        </is>
      </c>
      <c r="M1673" t="inlineStr">
        <is>
          <t>UNKNOWN</t>
        </is>
      </c>
      <c r="N1673" t="inlineStr">
        <is>
          <t>DEFAULT</t>
        </is>
      </c>
      <c r="Q1673" t="n">
        <v>0</v>
      </c>
      <c r="R1673" t="inlineStr">
        <is>
          <t>AUD</t>
        </is>
      </c>
      <c r="S1673" t="n">
        <v>0</v>
      </c>
      <c r="T1673" t="inlineStr">
        <is>
          <t>AUD</t>
        </is>
      </c>
      <c r="U1673" t="n">
        <v>0</v>
      </c>
    </row>
    <row r="1674">
      <c r="A1674" s="5" t="inlineStr">
        <is>
          <t>01a152b9-891e-708b-95cc-16d4ff035e18</t>
        </is>
      </c>
      <c r="C1674" s="5" t="inlineStr">
        <is>
          <t>01a152b9-6e67-75da-8adb-b03e5d07fd21</t>
        </is>
      </c>
      <c r="D1674" s="4" t="n">
        <v>46314.24598849852</v>
      </c>
      <c r="E1674" s="4" t="n">
        <v>46314.24598849863</v>
      </c>
      <c r="F1674" t="b">
        <v>1</v>
      </c>
      <c r="G1674" t="n">
        <v/>
      </c>
      <c r="H1674" t="inlineStr">
        <is>
          <t>EGY</t>
        </is>
      </c>
      <c r="I1674" t="inlineStr">
        <is>
          <t>Energy Technologies Ltd</t>
        </is>
      </c>
      <c r="J1674" t="inlineStr">
        <is>
          <t>AUD</t>
        </is>
      </c>
      <c r="K1674" s="5" t="inlineStr">
        <is>
          <t>01a152b9-6ee2-7577-bddd-382bc3853fde</t>
        </is>
      </c>
      <c r="M1674" t="inlineStr">
        <is>
          <t>UNKNOWN</t>
        </is>
      </c>
      <c r="N1674" t="inlineStr">
        <is>
          <t>DEFAULT</t>
        </is>
      </c>
      <c r="Q1674" t="n">
        <v>0</v>
      </c>
      <c r="R1674" t="inlineStr">
        <is>
          <t>AUD</t>
        </is>
      </c>
      <c r="S1674" t="n">
        <v>0</v>
      </c>
      <c r="T1674" t="inlineStr">
        <is>
          <t>AUD</t>
        </is>
      </c>
      <c r="U1674" t="n">
        <v>0</v>
      </c>
    </row>
    <row r="1675">
      <c r="A1675" s="5" t="inlineStr">
        <is>
          <t>01a152b9-8921-768f-ac97-ae24be7dcb40</t>
        </is>
      </c>
      <c r="C1675" s="5" t="inlineStr">
        <is>
          <t>01a152b9-6e67-75da-8adb-b03e5d07fd21</t>
        </is>
      </c>
      <c r="D1675" s="4" t="n">
        <v>46314.24598853995</v>
      </c>
      <c r="E1675" s="4" t="n">
        <v>46314.24598854007</v>
      </c>
      <c r="F1675" t="b">
        <v>1</v>
      </c>
      <c r="G1675" t="n">
        <v/>
      </c>
      <c r="H1675" t="inlineStr">
        <is>
          <t>CUF</t>
        </is>
      </c>
      <c r="I1675" t="inlineStr">
        <is>
          <t>Cufe Ltd</t>
        </is>
      </c>
      <c r="J1675" t="inlineStr">
        <is>
          <t>AUD</t>
        </is>
      </c>
      <c r="K1675" s="5" t="inlineStr">
        <is>
          <t>01a152b9-6ee2-7577-bddd-382bc3853fde</t>
        </is>
      </c>
      <c r="M1675" t="inlineStr">
        <is>
          <t>UNKNOWN</t>
        </is>
      </c>
      <c r="N1675" t="inlineStr">
        <is>
          <t>DEFAULT</t>
        </is>
      </c>
      <c r="Q1675" t="n">
        <v>0</v>
      </c>
      <c r="R1675" t="inlineStr">
        <is>
          <t>AUD</t>
        </is>
      </c>
      <c r="S1675" t="n">
        <v>0</v>
      </c>
      <c r="T1675" t="inlineStr">
        <is>
          <t>AUD</t>
        </is>
      </c>
      <c r="U1675" t="n">
        <v>0</v>
      </c>
    </row>
    <row r="1676">
      <c r="A1676" s="5" t="inlineStr">
        <is>
          <t>01a152b9-8925-706f-a044-d251593a7fd5</t>
        </is>
      </c>
      <c r="C1676" s="5" t="inlineStr">
        <is>
          <t>01a152b9-6e67-75da-8adb-b03e5d07fd21</t>
        </is>
      </c>
      <c r="D1676" s="4" t="n">
        <v>46314.24598857847</v>
      </c>
      <c r="E1676" s="4" t="n">
        <v>46314.24598857858</v>
      </c>
      <c r="F1676" t="b">
        <v>1</v>
      </c>
      <c r="G1676" t="n">
        <v/>
      </c>
      <c r="H1676" t="inlineStr">
        <is>
          <t>GLE</t>
        </is>
      </c>
      <c r="I1676" t="inlineStr">
        <is>
          <t>GLG Corp Ltd</t>
        </is>
      </c>
      <c r="J1676" t="inlineStr">
        <is>
          <t>AUD</t>
        </is>
      </c>
      <c r="K1676" s="5" t="inlineStr">
        <is>
          <t>01a152b9-6ee2-7577-bddd-382bc3853fde</t>
        </is>
      </c>
      <c r="M1676" t="inlineStr">
        <is>
          <t>UNKNOWN</t>
        </is>
      </c>
      <c r="N1676" t="inlineStr">
        <is>
          <t>DEFAULT</t>
        </is>
      </c>
      <c r="Q1676" t="n">
        <v>0</v>
      </c>
      <c r="R1676" t="inlineStr">
        <is>
          <t>AUD</t>
        </is>
      </c>
      <c r="S1676" t="n">
        <v>0</v>
      </c>
      <c r="T1676" t="inlineStr">
        <is>
          <t>AUD</t>
        </is>
      </c>
      <c r="U1676" t="n">
        <v>0</v>
      </c>
    </row>
    <row r="1677">
      <c r="A1677" s="5" t="inlineStr">
        <is>
          <t>01a152b9-8928-706f-9ce4-3efe2176a767</t>
        </is>
      </c>
      <c r="C1677" s="5" t="inlineStr">
        <is>
          <t>01a152b9-6e67-75da-8adb-b03e5d07fd21</t>
        </is>
      </c>
      <c r="D1677" s="4" t="n">
        <v>46314.24598861252</v>
      </c>
      <c r="E1677" s="4" t="n">
        <v>46314.24598861272</v>
      </c>
      <c r="F1677" t="b">
        <v>1</v>
      </c>
      <c r="G1677" t="n">
        <v/>
      </c>
      <c r="H1677" t="inlineStr">
        <is>
          <t>1GOV</t>
        </is>
      </c>
      <c r="I1677" t="inlineStr">
        <is>
          <t>Vaneck 1-5 Year Australian Government Bond ETF</t>
        </is>
      </c>
      <c r="J1677" t="inlineStr">
        <is>
          <t>AUD</t>
        </is>
      </c>
      <c r="K1677" s="5" t="inlineStr">
        <is>
          <t>01a152b9-6ee2-7577-bddd-382bc3853fde</t>
        </is>
      </c>
      <c r="M1677" t="inlineStr">
        <is>
          <t>UNKNOWN</t>
        </is>
      </c>
      <c r="N1677" t="inlineStr">
        <is>
          <t>DEFAULT</t>
        </is>
      </c>
      <c r="Q1677" t="n">
        <v>0</v>
      </c>
      <c r="R1677" t="inlineStr">
        <is>
          <t>AUD</t>
        </is>
      </c>
      <c r="S1677" t="n">
        <v>0</v>
      </c>
      <c r="T1677" t="inlineStr">
        <is>
          <t>AUD</t>
        </is>
      </c>
      <c r="U1677" t="n">
        <v>0</v>
      </c>
    </row>
    <row r="1678">
      <c r="A1678" s="5" t="inlineStr">
        <is>
          <t>01a152b9-892b-7273-bf81-9f2a28f2a1c8</t>
        </is>
      </c>
      <c r="C1678" s="5" t="inlineStr">
        <is>
          <t>01a152b9-6e67-75da-8adb-b03e5d07fd21</t>
        </is>
      </c>
      <c r="D1678" s="4" t="n">
        <v>46314.24598865294</v>
      </c>
      <c r="E1678" s="4" t="n">
        <v>46314.24598865303</v>
      </c>
      <c r="F1678" t="b">
        <v>1</v>
      </c>
      <c r="G1678" t="n">
        <v/>
      </c>
      <c r="H1678" t="inlineStr">
        <is>
          <t>AFL</t>
        </is>
      </c>
      <c r="I1678" t="inlineStr">
        <is>
          <t>Af Legal Group Ltd</t>
        </is>
      </c>
      <c r="J1678" t="inlineStr">
        <is>
          <t>AUD</t>
        </is>
      </c>
      <c r="K1678" s="5" t="inlineStr">
        <is>
          <t>01a152b9-6ee2-7577-bddd-382bc3853fde</t>
        </is>
      </c>
      <c r="M1678" t="inlineStr">
        <is>
          <t>UNKNOWN</t>
        </is>
      </c>
      <c r="N1678" t="inlineStr">
        <is>
          <t>DEFAULT</t>
        </is>
      </c>
      <c r="Q1678" t="n">
        <v>0</v>
      </c>
      <c r="R1678" t="inlineStr">
        <is>
          <t>AUD</t>
        </is>
      </c>
      <c r="S1678" t="n">
        <v>0</v>
      </c>
      <c r="T1678" t="inlineStr">
        <is>
          <t>AUD</t>
        </is>
      </c>
      <c r="U1678" t="n">
        <v>0</v>
      </c>
    </row>
    <row r="1679">
      <c r="A1679" s="5" t="inlineStr">
        <is>
          <t>01a152b9-892e-7750-a374-4937adc80d61</t>
        </is>
      </c>
      <c r="C1679" s="5" t="inlineStr">
        <is>
          <t>01a152b9-6e67-75da-8adb-b03e5d07fd21</t>
        </is>
      </c>
      <c r="D1679" s="4" t="n">
        <v>46314.24598869311</v>
      </c>
      <c r="E1679" s="4" t="n">
        <v>46314.2459886932</v>
      </c>
      <c r="F1679" t="b">
        <v>1</v>
      </c>
      <c r="G1679" t="n">
        <v/>
      </c>
      <c r="H1679" t="inlineStr">
        <is>
          <t>QEM</t>
        </is>
      </c>
      <c r="I1679" t="inlineStr">
        <is>
          <t>QEM Ltd</t>
        </is>
      </c>
      <c r="J1679" t="inlineStr">
        <is>
          <t>AUD</t>
        </is>
      </c>
      <c r="K1679" s="5" t="inlineStr">
        <is>
          <t>01a152b9-6ee2-7577-bddd-382bc3853fde</t>
        </is>
      </c>
      <c r="M1679" t="inlineStr">
        <is>
          <t>UNKNOWN</t>
        </is>
      </c>
      <c r="N1679" t="inlineStr">
        <is>
          <t>DEFAULT</t>
        </is>
      </c>
      <c r="Q1679" t="n">
        <v>0</v>
      </c>
      <c r="R1679" t="inlineStr">
        <is>
          <t>AUD</t>
        </is>
      </c>
      <c r="S1679" t="n">
        <v>0</v>
      </c>
      <c r="T1679" t="inlineStr">
        <is>
          <t>AUD</t>
        </is>
      </c>
      <c r="U1679" t="n">
        <v>0</v>
      </c>
    </row>
    <row r="1680">
      <c r="A1680" s="5" t="inlineStr">
        <is>
          <t>01a152b9-8932-74ab-b12d-7123ccc45c45</t>
        </is>
      </c>
      <c r="C1680" s="5" t="inlineStr">
        <is>
          <t>01a152b9-6e67-75da-8adb-b03e5d07fd21</t>
        </is>
      </c>
      <c r="D1680" s="4" t="n">
        <v>46314.24598872941</v>
      </c>
      <c r="E1680" s="4" t="n">
        <v>46314.2459887295</v>
      </c>
      <c r="F1680" t="b">
        <v>1</v>
      </c>
      <c r="G1680" t="n">
        <v/>
      </c>
      <c r="H1680" t="inlineStr">
        <is>
          <t>TYX</t>
        </is>
      </c>
      <c r="I1680" t="inlineStr">
        <is>
          <t>Tyranna Resources Ltd</t>
        </is>
      </c>
      <c r="J1680" t="inlineStr">
        <is>
          <t>AUD</t>
        </is>
      </c>
      <c r="K1680" s="5" t="inlineStr">
        <is>
          <t>01a152b9-6ee2-7577-bddd-382bc3853fde</t>
        </is>
      </c>
      <c r="M1680" t="inlineStr">
        <is>
          <t>UNKNOWN</t>
        </is>
      </c>
      <c r="N1680" t="inlineStr">
        <is>
          <t>DEFAULT</t>
        </is>
      </c>
      <c r="Q1680" t="n">
        <v>0</v>
      </c>
      <c r="R1680" t="inlineStr">
        <is>
          <t>AUD</t>
        </is>
      </c>
      <c r="S1680" t="n">
        <v>0</v>
      </c>
      <c r="T1680" t="inlineStr">
        <is>
          <t>AUD</t>
        </is>
      </c>
      <c r="U1680" t="n">
        <v>0</v>
      </c>
    </row>
    <row r="1681">
      <c r="A1681" s="5" t="inlineStr">
        <is>
          <t>01a152b9-8935-730b-adc8-9b3fbb837191</t>
        </is>
      </c>
      <c r="C1681" s="5" t="inlineStr">
        <is>
          <t>01a152b9-6e67-75da-8adb-b03e5d07fd21</t>
        </is>
      </c>
      <c r="D1681" s="4" t="n">
        <v>46314.24598877133</v>
      </c>
      <c r="E1681" s="4" t="n">
        <v>46314.24598877144</v>
      </c>
      <c r="F1681" t="b">
        <v>1</v>
      </c>
      <c r="G1681" t="n">
        <v/>
      </c>
      <c r="H1681" t="inlineStr">
        <is>
          <t>PGM</t>
        </is>
      </c>
      <c r="I1681" t="inlineStr">
        <is>
          <t>Platina Resources Ltd</t>
        </is>
      </c>
      <c r="J1681" t="inlineStr">
        <is>
          <t>AUD</t>
        </is>
      </c>
      <c r="K1681" s="5" t="inlineStr">
        <is>
          <t>01a152b9-6ee2-7577-bddd-382bc3853fde</t>
        </is>
      </c>
      <c r="M1681" t="inlineStr">
        <is>
          <t>UNKNOWN</t>
        </is>
      </c>
      <c r="N1681" t="inlineStr">
        <is>
          <t>DEFAULT</t>
        </is>
      </c>
      <c r="Q1681" t="n">
        <v>0</v>
      </c>
      <c r="R1681" t="inlineStr">
        <is>
          <t>AUD</t>
        </is>
      </c>
      <c r="S1681" t="n">
        <v>0</v>
      </c>
      <c r="T1681" t="inlineStr">
        <is>
          <t>AUD</t>
        </is>
      </c>
      <c r="U1681" t="n">
        <v>0</v>
      </c>
    </row>
    <row r="1682">
      <c r="A1682" s="5" t="inlineStr">
        <is>
          <t>01a152b9-8938-73e1-a20d-d90d5b088116</t>
        </is>
      </c>
      <c r="C1682" s="5" t="inlineStr">
        <is>
          <t>01a152b9-6e67-75da-8adb-b03e5d07fd21</t>
        </is>
      </c>
      <c r="D1682" s="4" t="n">
        <v>46314.24598880909</v>
      </c>
      <c r="E1682" s="4" t="n">
        <v>46314.24598880921</v>
      </c>
      <c r="F1682" t="b">
        <v>1</v>
      </c>
      <c r="G1682" t="n">
        <v/>
      </c>
      <c r="H1682" t="inlineStr">
        <is>
          <t>IBAL</t>
        </is>
      </c>
      <c r="I1682" t="inlineStr">
        <is>
          <t>Ishares Balanced Esg ETF</t>
        </is>
      </c>
      <c r="J1682" t="inlineStr">
        <is>
          <t>AUD</t>
        </is>
      </c>
      <c r="K1682" s="5" t="inlineStr">
        <is>
          <t>01a152b9-6ee2-7577-bddd-382bc3853fde</t>
        </is>
      </c>
      <c r="M1682" t="inlineStr">
        <is>
          <t>UNKNOWN</t>
        </is>
      </c>
      <c r="N1682" t="inlineStr">
        <is>
          <t>DEFAULT</t>
        </is>
      </c>
      <c r="Q1682" t="n">
        <v>0</v>
      </c>
      <c r="R1682" t="inlineStr">
        <is>
          <t>AUD</t>
        </is>
      </c>
      <c r="S1682" t="n">
        <v>0</v>
      </c>
      <c r="T1682" t="inlineStr">
        <is>
          <t>AUD</t>
        </is>
      </c>
      <c r="U1682" t="n">
        <v>0</v>
      </c>
    </row>
    <row r="1683">
      <c r="A1683" s="5" t="inlineStr">
        <is>
          <t>01a152b9-893c-76c3-8cb1-9c17218eb37a</t>
        </is>
      </c>
      <c r="C1683" s="5" t="inlineStr">
        <is>
          <t>01a152b9-6e67-75da-8adb-b03e5d07fd21</t>
        </is>
      </c>
      <c r="D1683" s="4" t="n">
        <v>46314.24598885331</v>
      </c>
      <c r="E1683" s="4" t="n">
        <v>46314.24598885341</v>
      </c>
      <c r="F1683" t="b">
        <v>1</v>
      </c>
      <c r="G1683" t="n">
        <v/>
      </c>
      <c r="H1683" t="inlineStr">
        <is>
          <t>SPQ</t>
        </is>
      </c>
      <c r="I1683" t="inlineStr">
        <is>
          <t>Superior Resources Ltd</t>
        </is>
      </c>
      <c r="J1683" t="inlineStr">
        <is>
          <t>AUD</t>
        </is>
      </c>
      <c r="K1683" s="5" t="inlineStr">
        <is>
          <t>01a152b9-6ee2-7577-bddd-382bc3853fde</t>
        </is>
      </c>
      <c r="M1683" t="inlineStr">
        <is>
          <t>UNKNOWN</t>
        </is>
      </c>
      <c r="N1683" t="inlineStr">
        <is>
          <t>DEFAULT</t>
        </is>
      </c>
      <c r="Q1683" t="n">
        <v>0</v>
      </c>
      <c r="R1683" t="inlineStr">
        <is>
          <t>AUD</t>
        </is>
      </c>
      <c r="S1683" t="n">
        <v>0</v>
      </c>
      <c r="T1683" t="inlineStr">
        <is>
          <t>AUD</t>
        </is>
      </c>
      <c r="U1683" t="n">
        <v>0</v>
      </c>
    </row>
    <row r="1684">
      <c r="A1684" s="5" t="inlineStr">
        <is>
          <t>01a152b9-8940-7182-a5af-6115be358484</t>
        </is>
      </c>
      <c r="C1684" s="5" t="inlineStr">
        <is>
          <t>01a152b9-6e67-75da-8adb-b03e5d07fd21</t>
        </is>
      </c>
      <c r="D1684" s="4" t="n">
        <v>46314.24598889749</v>
      </c>
      <c r="E1684" s="4" t="n">
        <v>46314.24598889759</v>
      </c>
      <c r="F1684" t="b">
        <v>1</v>
      </c>
      <c r="G1684" t="n">
        <v/>
      </c>
      <c r="H1684" t="inlineStr">
        <is>
          <t>TSI</t>
        </is>
      </c>
      <c r="I1684" t="inlineStr">
        <is>
          <t>Top Shelf International Holdings Ltd</t>
        </is>
      </c>
      <c r="J1684" t="inlineStr">
        <is>
          <t>AUD</t>
        </is>
      </c>
      <c r="K1684" s="5" t="inlineStr">
        <is>
          <t>01a152b9-6ee2-7577-bddd-382bc3853fde</t>
        </is>
      </c>
      <c r="M1684" t="inlineStr">
        <is>
          <t>UNKNOWN</t>
        </is>
      </c>
      <c r="N1684" t="inlineStr">
        <is>
          <t>DEFAULT</t>
        </is>
      </c>
      <c r="Q1684" t="n">
        <v>0</v>
      </c>
      <c r="R1684" t="inlineStr">
        <is>
          <t>AUD</t>
        </is>
      </c>
      <c r="S1684" t="n">
        <v>0</v>
      </c>
      <c r="T1684" t="inlineStr">
        <is>
          <t>AUD</t>
        </is>
      </c>
      <c r="U1684" t="n">
        <v>0</v>
      </c>
    </row>
    <row r="1685">
      <c r="A1685" s="5" t="inlineStr">
        <is>
          <t>01a152b9-8944-7105-b1a7-c54f1e8f16ea</t>
        </is>
      </c>
      <c r="C1685" s="5" t="inlineStr">
        <is>
          <t>01a152b9-6e67-75da-8adb-b03e5d07fd21</t>
        </is>
      </c>
      <c r="D1685" s="4" t="n">
        <v>46314.24598894564</v>
      </c>
      <c r="E1685" s="4" t="n">
        <v>46314.24598894576</v>
      </c>
      <c r="F1685" t="b">
        <v>1</v>
      </c>
      <c r="G1685" t="n">
        <v/>
      </c>
      <c r="H1685" t="inlineStr">
        <is>
          <t>LYN</t>
        </is>
      </c>
      <c r="I1685" t="inlineStr">
        <is>
          <t>Lycaon Resources Ltd</t>
        </is>
      </c>
      <c r="J1685" t="inlineStr">
        <is>
          <t>AUD</t>
        </is>
      </c>
      <c r="K1685" s="5" t="inlineStr">
        <is>
          <t>01a152b9-6ee2-7577-bddd-382bc3853fde</t>
        </is>
      </c>
      <c r="M1685" t="inlineStr">
        <is>
          <t>UNKNOWN</t>
        </is>
      </c>
      <c r="N1685" t="inlineStr">
        <is>
          <t>DEFAULT</t>
        </is>
      </c>
      <c r="Q1685" t="n">
        <v>0</v>
      </c>
      <c r="R1685" t="inlineStr">
        <is>
          <t>AUD</t>
        </is>
      </c>
      <c r="S1685" t="n">
        <v>0</v>
      </c>
      <c r="T1685" t="inlineStr">
        <is>
          <t>AUD</t>
        </is>
      </c>
      <c r="U1685" t="n">
        <v>0</v>
      </c>
    </row>
    <row r="1686">
      <c r="A1686" s="5" t="inlineStr">
        <is>
          <t>01a152b9-8948-760d-a1af-53bde792aa80</t>
        </is>
      </c>
      <c r="C1686" s="5" t="inlineStr">
        <is>
          <t>01a152b9-6e67-75da-8adb-b03e5d07fd21</t>
        </is>
      </c>
      <c r="D1686" s="4" t="n">
        <v>46314.24598899404</v>
      </c>
      <c r="E1686" s="4" t="n">
        <v>46314.24598899421</v>
      </c>
      <c r="F1686" t="b">
        <v>1</v>
      </c>
      <c r="G1686" t="n">
        <v/>
      </c>
      <c r="H1686" t="inlineStr">
        <is>
          <t>MPP</t>
        </is>
      </c>
      <c r="I1686" t="inlineStr">
        <is>
          <t>Metro Performance Glass Ltd</t>
        </is>
      </c>
      <c r="J1686" t="inlineStr">
        <is>
          <t>AUD</t>
        </is>
      </c>
      <c r="K1686" s="5" t="inlineStr">
        <is>
          <t>01a152b9-6ee2-7577-bddd-382bc3853fde</t>
        </is>
      </c>
      <c r="M1686" t="inlineStr">
        <is>
          <t>UNKNOWN</t>
        </is>
      </c>
      <c r="N1686" t="inlineStr">
        <is>
          <t>DEFAULT</t>
        </is>
      </c>
      <c r="Q1686" t="n">
        <v>0</v>
      </c>
      <c r="R1686" t="inlineStr">
        <is>
          <t>AUD</t>
        </is>
      </c>
      <c r="S1686" t="n">
        <v>0</v>
      </c>
      <c r="T1686" t="inlineStr">
        <is>
          <t>AUD</t>
        </is>
      </c>
      <c r="U1686" t="n">
        <v>0</v>
      </c>
    </row>
    <row r="1687">
      <c r="A1687" s="5" t="inlineStr">
        <is>
          <t>01a152b9-894c-741c-b89d-e21eaf32dae2</t>
        </is>
      </c>
      <c r="C1687" s="5" t="inlineStr">
        <is>
          <t>01a152b9-6e67-75da-8adb-b03e5d07fd21</t>
        </is>
      </c>
      <c r="D1687" s="4" t="n">
        <v>46314.24598903905</v>
      </c>
      <c r="E1687" s="4" t="n">
        <v>46314.24598903914</v>
      </c>
      <c r="F1687" t="b">
        <v>1</v>
      </c>
      <c r="G1687" t="n">
        <v/>
      </c>
      <c r="H1687" t="inlineStr">
        <is>
          <t>1CG</t>
        </is>
      </c>
      <c r="I1687" t="inlineStr">
        <is>
          <t>One Click Group Ltd</t>
        </is>
      </c>
      <c r="J1687" t="inlineStr">
        <is>
          <t>AUD</t>
        </is>
      </c>
      <c r="K1687" s="5" t="inlineStr">
        <is>
          <t>01a152b9-6ee2-7577-bddd-382bc3853fde</t>
        </is>
      </c>
      <c r="M1687" t="inlineStr">
        <is>
          <t>UNKNOWN</t>
        </is>
      </c>
      <c r="N1687" t="inlineStr">
        <is>
          <t>DEFAULT</t>
        </is>
      </c>
      <c r="Q1687" t="n">
        <v>0</v>
      </c>
      <c r="R1687" t="inlineStr">
        <is>
          <t>AUD</t>
        </is>
      </c>
      <c r="S1687" t="n">
        <v>0</v>
      </c>
      <c r="T1687" t="inlineStr">
        <is>
          <t>AUD</t>
        </is>
      </c>
      <c r="U1687" t="n">
        <v>0</v>
      </c>
    </row>
    <row r="1688">
      <c r="A1688" s="5" t="inlineStr">
        <is>
          <t>01a152b9-8950-7769-a23e-df8c34477994</t>
        </is>
      </c>
      <c r="C1688" s="5" t="inlineStr">
        <is>
          <t>01a152b9-6e67-75da-8adb-b03e5d07fd21</t>
        </is>
      </c>
      <c r="D1688" s="4" t="n">
        <v>46314.24598908288</v>
      </c>
      <c r="E1688" s="4" t="n">
        <v>46314.245989083</v>
      </c>
      <c r="F1688" t="b">
        <v>1</v>
      </c>
      <c r="G1688" t="n">
        <v/>
      </c>
      <c r="H1688" t="inlineStr">
        <is>
          <t>INF</t>
        </is>
      </c>
      <c r="I1688" t="inlineStr">
        <is>
          <t>Infinity Lithium Corporation Ltd</t>
        </is>
      </c>
      <c r="J1688" t="inlineStr">
        <is>
          <t>AUD</t>
        </is>
      </c>
      <c r="K1688" s="5" t="inlineStr">
        <is>
          <t>01a152b9-6ee2-7577-bddd-382bc3853fde</t>
        </is>
      </c>
      <c r="M1688" t="inlineStr">
        <is>
          <t>UNKNOWN</t>
        </is>
      </c>
      <c r="N1688" t="inlineStr">
        <is>
          <t>DEFAULT</t>
        </is>
      </c>
      <c r="Q1688" t="n">
        <v>0</v>
      </c>
      <c r="R1688" t="inlineStr">
        <is>
          <t>AUD</t>
        </is>
      </c>
      <c r="S1688" t="n">
        <v>0</v>
      </c>
      <c r="T1688" t="inlineStr">
        <is>
          <t>AUD</t>
        </is>
      </c>
      <c r="U1688" t="n">
        <v>0</v>
      </c>
    </row>
    <row r="1689">
      <c r="A1689" s="5" t="inlineStr">
        <is>
          <t>01a152b9-8954-76da-ba36-1349514f464e</t>
        </is>
      </c>
      <c r="C1689" s="5" t="inlineStr">
        <is>
          <t>01a152b9-6e67-75da-8adb-b03e5d07fd21</t>
        </is>
      </c>
      <c r="D1689" s="4" t="n">
        <v>46314.2459891312</v>
      </c>
      <c r="E1689" s="4" t="n">
        <v>46314.24598913133</v>
      </c>
      <c r="F1689" t="b">
        <v>1</v>
      </c>
      <c r="G1689" t="n">
        <v/>
      </c>
      <c r="H1689" t="inlineStr">
        <is>
          <t>ASO</t>
        </is>
      </c>
      <c r="I1689" t="inlineStr">
        <is>
          <t>Aston Minerals Ltd</t>
        </is>
      </c>
      <c r="J1689" t="inlineStr">
        <is>
          <t>AUD</t>
        </is>
      </c>
      <c r="K1689" s="5" t="inlineStr">
        <is>
          <t>01a152b9-6ee2-7577-bddd-382bc3853fde</t>
        </is>
      </c>
      <c r="M1689" t="inlineStr">
        <is>
          <t>UNKNOWN</t>
        </is>
      </c>
      <c r="N1689" t="inlineStr">
        <is>
          <t>DEFAULT</t>
        </is>
      </c>
      <c r="Q1689" t="n">
        <v>0</v>
      </c>
      <c r="R1689" t="inlineStr">
        <is>
          <t>AUD</t>
        </is>
      </c>
      <c r="S1689" t="n">
        <v>0</v>
      </c>
      <c r="T1689" t="inlineStr">
        <is>
          <t>AUD</t>
        </is>
      </c>
      <c r="U1689" t="n">
        <v>0</v>
      </c>
    </row>
    <row r="1690">
      <c r="A1690" s="5" t="inlineStr">
        <is>
          <t>01a152b9-8958-7653-86b2-c4c7ebce5554</t>
        </is>
      </c>
      <c r="C1690" s="5" t="inlineStr">
        <is>
          <t>01a152b9-6e67-75da-8adb-b03e5d07fd21</t>
        </is>
      </c>
      <c r="D1690" s="4" t="n">
        <v>46314.24598917816</v>
      </c>
      <c r="E1690" s="4" t="n">
        <v>46314.24598917825</v>
      </c>
      <c r="F1690" t="b">
        <v>1</v>
      </c>
      <c r="G1690" t="n">
        <v/>
      </c>
      <c r="H1690" t="inlineStr">
        <is>
          <t>NOR</t>
        </is>
      </c>
      <c r="I1690" t="inlineStr">
        <is>
          <t>Norwood Systems Ltd</t>
        </is>
      </c>
      <c r="J1690" t="inlineStr">
        <is>
          <t>AUD</t>
        </is>
      </c>
      <c r="K1690" s="5" t="inlineStr">
        <is>
          <t>01a152b9-6ee2-7577-bddd-382bc3853fde</t>
        </is>
      </c>
      <c r="M1690" t="inlineStr">
        <is>
          <t>UNKNOWN</t>
        </is>
      </c>
      <c r="N1690" t="inlineStr">
        <is>
          <t>DEFAULT</t>
        </is>
      </c>
      <c r="Q1690" t="n">
        <v>0</v>
      </c>
      <c r="R1690" t="inlineStr">
        <is>
          <t>AUD</t>
        </is>
      </c>
      <c r="S1690" t="n">
        <v>0</v>
      </c>
      <c r="T1690" t="inlineStr">
        <is>
          <t>AUD</t>
        </is>
      </c>
      <c r="U1690" t="n">
        <v>0</v>
      </c>
    </row>
    <row r="1691">
      <c r="A1691" s="5" t="inlineStr">
        <is>
          <t>01a152b9-895c-7522-be0f-81a020c1ccce</t>
        </is>
      </c>
      <c r="C1691" s="5" t="inlineStr">
        <is>
          <t>01a152b9-6e67-75da-8adb-b03e5d07fd21</t>
        </is>
      </c>
      <c r="D1691" s="4" t="n">
        <v>46314.24598922107</v>
      </c>
      <c r="E1691" s="4" t="n">
        <v>46314.24598922117</v>
      </c>
      <c r="F1691" t="b">
        <v>1</v>
      </c>
      <c r="G1691" t="n">
        <v/>
      </c>
      <c r="H1691" t="inlineStr">
        <is>
          <t>WSI</t>
        </is>
      </c>
      <c r="I1691" t="inlineStr">
        <is>
          <t>Weststar Industrial Ltd</t>
        </is>
      </c>
      <c r="J1691" t="inlineStr">
        <is>
          <t>AUD</t>
        </is>
      </c>
      <c r="K1691" s="5" t="inlineStr">
        <is>
          <t>01a152b9-6ee2-7577-bddd-382bc3853fde</t>
        </is>
      </c>
      <c r="M1691" t="inlineStr">
        <is>
          <t>UNKNOWN</t>
        </is>
      </c>
      <c r="N1691" t="inlineStr">
        <is>
          <t>DEFAULT</t>
        </is>
      </c>
      <c r="Q1691" t="n">
        <v>0</v>
      </c>
      <c r="R1691" t="inlineStr">
        <is>
          <t>AUD</t>
        </is>
      </c>
      <c r="S1691" t="n">
        <v>0</v>
      </c>
      <c r="T1691" t="inlineStr">
        <is>
          <t>AUD</t>
        </is>
      </c>
      <c r="U1691" t="n">
        <v>0</v>
      </c>
    </row>
    <row r="1692">
      <c r="A1692" s="5" t="inlineStr">
        <is>
          <t>01a152b9-895f-75d8-8878-80989f2a311b</t>
        </is>
      </c>
      <c r="C1692" s="5" t="inlineStr">
        <is>
          <t>01a152b9-6e67-75da-8adb-b03e5d07fd21</t>
        </is>
      </c>
      <c r="D1692" s="4" t="n">
        <v>46314.24598925938</v>
      </c>
      <c r="E1692" s="4" t="n">
        <v>46314.24598925948</v>
      </c>
      <c r="F1692" t="b">
        <v>1</v>
      </c>
      <c r="G1692" t="n">
        <v/>
      </c>
      <c r="H1692" t="inlineStr">
        <is>
          <t>ZGL</t>
        </is>
      </c>
      <c r="I1692" t="inlineStr">
        <is>
          <t>ZICOM Group Ltd</t>
        </is>
      </c>
      <c r="J1692" t="inlineStr">
        <is>
          <t>AUD</t>
        </is>
      </c>
      <c r="K1692" s="5" t="inlineStr">
        <is>
          <t>01a152b9-6ee2-7577-bddd-382bc3853fde</t>
        </is>
      </c>
      <c r="M1692" t="inlineStr">
        <is>
          <t>UNKNOWN</t>
        </is>
      </c>
      <c r="N1692" t="inlineStr">
        <is>
          <t>DEFAULT</t>
        </is>
      </c>
      <c r="Q1692" t="n">
        <v>0</v>
      </c>
      <c r="R1692" t="inlineStr">
        <is>
          <t>AUD</t>
        </is>
      </c>
      <c r="S1692" t="n">
        <v>0</v>
      </c>
      <c r="T1692" t="inlineStr">
        <is>
          <t>AUD</t>
        </is>
      </c>
      <c r="U1692" t="n">
        <v>0</v>
      </c>
    </row>
    <row r="1693">
      <c r="A1693" s="5" t="inlineStr">
        <is>
          <t>01a152b9-8963-7351-9093-9d87a8240d77</t>
        </is>
      </c>
      <c r="C1693" s="5" t="inlineStr">
        <is>
          <t>01a152b9-6e67-75da-8adb-b03e5d07fd21</t>
        </is>
      </c>
      <c r="D1693" s="4" t="n">
        <v>46314.24598930025</v>
      </c>
      <c r="E1693" s="4" t="n">
        <v>46314.24598930033</v>
      </c>
      <c r="F1693" t="b">
        <v>1</v>
      </c>
      <c r="G1693" t="n">
        <v/>
      </c>
      <c r="H1693" t="inlineStr">
        <is>
          <t>ACR</t>
        </is>
      </c>
      <c r="I1693" t="inlineStr">
        <is>
          <t>ACRUX Ltd</t>
        </is>
      </c>
      <c r="J1693" t="inlineStr">
        <is>
          <t>AUD</t>
        </is>
      </c>
      <c r="K1693" s="5" t="inlineStr">
        <is>
          <t>01a152b9-6ee2-7577-bddd-382bc3853fde</t>
        </is>
      </c>
      <c r="M1693" t="inlineStr">
        <is>
          <t>UNKNOWN</t>
        </is>
      </c>
      <c r="N1693" t="inlineStr">
        <is>
          <t>DEFAULT</t>
        </is>
      </c>
      <c r="Q1693" t="n">
        <v>0</v>
      </c>
      <c r="R1693" t="inlineStr">
        <is>
          <t>AUD</t>
        </is>
      </c>
      <c r="S1693" t="n">
        <v>0</v>
      </c>
      <c r="T1693" t="inlineStr">
        <is>
          <t>AUD</t>
        </is>
      </c>
      <c r="U1693" t="n">
        <v>0</v>
      </c>
    </row>
    <row r="1694">
      <c r="A1694" s="5" t="inlineStr">
        <is>
          <t>01a152b9-8966-7711-95e7-11622d95d99c</t>
        </is>
      </c>
      <c r="C1694" s="5" t="inlineStr">
        <is>
          <t>01a152b9-6e67-75da-8adb-b03e5d07fd21</t>
        </is>
      </c>
      <c r="D1694" s="4" t="n">
        <v>46314.24598934061</v>
      </c>
      <c r="E1694" s="4" t="n">
        <v>46314.24598934071</v>
      </c>
      <c r="F1694" t="b">
        <v>1</v>
      </c>
      <c r="G1694" t="n">
        <v/>
      </c>
      <c r="H1694" t="inlineStr">
        <is>
          <t>DKM</t>
        </is>
      </c>
      <c r="I1694" t="inlineStr">
        <is>
          <t>Duketon Mining Ltd</t>
        </is>
      </c>
      <c r="J1694" t="inlineStr">
        <is>
          <t>AUD</t>
        </is>
      </c>
      <c r="K1694" s="5" t="inlineStr">
        <is>
          <t>01a152b9-6ee2-7577-bddd-382bc3853fde</t>
        </is>
      </c>
      <c r="M1694" t="inlineStr">
        <is>
          <t>UNKNOWN</t>
        </is>
      </c>
      <c r="N1694" t="inlineStr">
        <is>
          <t>DEFAULT</t>
        </is>
      </c>
      <c r="Q1694" t="n">
        <v>0</v>
      </c>
      <c r="R1694" t="inlineStr">
        <is>
          <t>AUD</t>
        </is>
      </c>
      <c r="S1694" t="n">
        <v>0</v>
      </c>
      <c r="T1694" t="inlineStr">
        <is>
          <t>AUD</t>
        </is>
      </c>
      <c r="U1694" t="n">
        <v>0</v>
      </c>
    </row>
    <row r="1695">
      <c r="A1695" s="5" t="inlineStr">
        <is>
          <t>01a152b9-896a-7699-afeb-54a83f99cb41</t>
        </is>
      </c>
      <c r="C1695" s="5" t="inlineStr">
        <is>
          <t>01a152b9-6e67-75da-8adb-b03e5d07fd21</t>
        </is>
      </c>
      <c r="D1695" s="4" t="n">
        <v>46314.24598937846</v>
      </c>
      <c r="E1695" s="4" t="n">
        <v>46314.24598937856</v>
      </c>
      <c r="F1695" t="b">
        <v>1</v>
      </c>
      <c r="G1695" t="n">
        <v/>
      </c>
      <c r="H1695" t="inlineStr">
        <is>
          <t>NAG</t>
        </is>
      </c>
      <c r="I1695" t="inlineStr">
        <is>
          <t>Nagambie Resources Ltd</t>
        </is>
      </c>
      <c r="J1695" t="inlineStr">
        <is>
          <t>AUD</t>
        </is>
      </c>
      <c r="K1695" s="5" t="inlineStr">
        <is>
          <t>01a152b9-6ee2-7577-bddd-382bc3853fde</t>
        </is>
      </c>
      <c r="M1695" t="inlineStr">
        <is>
          <t>UNKNOWN</t>
        </is>
      </c>
      <c r="N1695" t="inlineStr">
        <is>
          <t>DEFAULT</t>
        </is>
      </c>
      <c r="Q1695" t="n">
        <v>0</v>
      </c>
      <c r="R1695" t="inlineStr">
        <is>
          <t>AUD</t>
        </is>
      </c>
      <c r="S1695" t="n">
        <v>0</v>
      </c>
      <c r="T1695" t="inlineStr">
        <is>
          <t>AUD</t>
        </is>
      </c>
      <c r="U1695" t="n">
        <v>0</v>
      </c>
    </row>
    <row r="1696">
      <c r="A1696" s="5" t="inlineStr">
        <is>
          <t>01a152b9-896d-76bc-97f7-dfea6bc7eb23</t>
        </is>
      </c>
      <c r="C1696" s="5" t="inlineStr">
        <is>
          <t>01a152b9-6e67-75da-8adb-b03e5d07fd21</t>
        </is>
      </c>
      <c r="D1696" s="4" t="n">
        <v>46314.24598941387</v>
      </c>
      <c r="E1696" s="4" t="n">
        <v>46314.24598941398</v>
      </c>
      <c r="F1696" t="b">
        <v>1</v>
      </c>
      <c r="G1696" t="n">
        <v/>
      </c>
      <c r="H1696" t="inlineStr">
        <is>
          <t>SHN</t>
        </is>
      </c>
      <c r="I1696" t="inlineStr">
        <is>
          <t>Sunshine Metals Ltd</t>
        </is>
      </c>
      <c r="J1696" t="inlineStr">
        <is>
          <t>AUD</t>
        </is>
      </c>
      <c r="K1696" s="5" t="inlineStr">
        <is>
          <t>01a152b9-6ee2-7577-bddd-382bc3853fde</t>
        </is>
      </c>
      <c r="M1696" t="inlineStr">
        <is>
          <t>UNKNOWN</t>
        </is>
      </c>
      <c r="N1696" t="inlineStr">
        <is>
          <t>DEFAULT</t>
        </is>
      </c>
      <c r="Q1696" t="n">
        <v>0</v>
      </c>
      <c r="R1696" t="inlineStr">
        <is>
          <t>AUD</t>
        </is>
      </c>
      <c r="S1696" t="n">
        <v>0</v>
      </c>
      <c r="T1696" t="inlineStr">
        <is>
          <t>AUD</t>
        </is>
      </c>
      <c r="U1696" t="n">
        <v>0</v>
      </c>
    </row>
    <row r="1697">
      <c r="A1697" s="5" t="inlineStr">
        <is>
          <t>01a152b9-8970-7061-aa6a-f24a1b4cb4ea</t>
        </is>
      </c>
      <c r="C1697" s="5" t="inlineStr">
        <is>
          <t>01a152b9-6e67-75da-8adb-b03e5d07fd21</t>
        </is>
      </c>
      <c r="D1697" s="4" t="n">
        <v>46314.24598945025</v>
      </c>
      <c r="E1697" s="4" t="n">
        <v>46314.24598945036</v>
      </c>
      <c r="F1697" t="b">
        <v>1</v>
      </c>
      <c r="G1697" t="n">
        <v/>
      </c>
      <c r="H1697" t="inlineStr">
        <is>
          <t>TEE</t>
        </is>
      </c>
      <c r="I1697" t="inlineStr">
        <is>
          <t>Top End Energy Ltd</t>
        </is>
      </c>
      <c r="J1697" t="inlineStr">
        <is>
          <t>AUD</t>
        </is>
      </c>
      <c r="K1697" s="5" t="inlineStr">
        <is>
          <t>01a152b9-6ee2-7577-bddd-382bc3853fde</t>
        </is>
      </c>
      <c r="M1697" t="inlineStr">
        <is>
          <t>UNKNOWN</t>
        </is>
      </c>
      <c r="N1697" t="inlineStr">
        <is>
          <t>DEFAULT</t>
        </is>
      </c>
      <c r="Q1697" t="n">
        <v>0</v>
      </c>
      <c r="R1697" t="inlineStr">
        <is>
          <t>AUD</t>
        </is>
      </c>
      <c r="S1697" t="n">
        <v>0</v>
      </c>
      <c r="T1697" t="inlineStr">
        <is>
          <t>AUD</t>
        </is>
      </c>
      <c r="U1697" t="n">
        <v>0</v>
      </c>
    </row>
    <row r="1698">
      <c r="A1698" s="5" t="inlineStr">
        <is>
          <t>01a152b9-8973-77a3-87bf-08794b1e43b7</t>
        </is>
      </c>
      <c r="C1698" s="5" t="inlineStr">
        <is>
          <t>01a152b9-6e67-75da-8adb-b03e5d07fd21</t>
        </is>
      </c>
      <c r="D1698" s="4" t="n">
        <v>46314.24598948901</v>
      </c>
      <c r="E1698" s="4" t="n">
        <v>46314.24598948912</v>
      </c>
      <c r="F1698" t="b">
        <v>1</v>
      </c>
      <c r="G1698" t="n">
        <v/>
      </c>
      <c r="H1698" t="inlineStr">
        <is>
          <t>MGT</t>
        </is>
      </c>
      <c r="I1698" t="inlineStr">
        <is>
          <t>Magnetite Mines Ltd</t>
        </is>
      </c>
      <c r="J1698" t="inlineStr">
        <is>
          <t>AUD</t>
        </is>
      </c>
      <c r="K1698" s="5" t="inlineStr">
        <is>
          <t>01a152b9-6ee2-7577-bddd-382bc3853fde</t>
        </is>
      </c>
      <c r="M1698" t="inlineStr">
        <is>
          <t>UNKNOWN</t>
        </is>
      </c>
      <c r="N1698" t="inlineStr">
        <is>
          <t>DEFAULT</t>
        </is>
      </c>
      <c r="Q1698" t="n">
        <v>0</v>
      </c>
      <c r="R1698" t="inlineStr">
        <is>
          <t>AUD</t>
        </is>
      </c>
      <c r="S1698" t="n">
        <v>0</v>
      </c>
      <c r="T1698" t="inlineStr">
        <is>
          <t>AUD</t>
        </is>
      </c>
      <c r="U1698" t="n">
        <v>0</v>
      </c>
    </row>
    <row r="1699">
      <c r="A1699" s="5" t="inlineStr">
        <is>
          <t>01a152b9-8977-7663-8e30-60745d8367d6</t>
        </is>
      </c>
      <c r="C1699" s="5" t="inlineStr">
        <is>
          <t>01a152b9-6e67-75da-8adb-b03e5d07fd21</t>
        </is>
      </c>
      <c r="D1699" s="4" t="n">
        <v>46314.24598953626</v>
      </c>
      <c r="E1699" s="4" t="n">
        <v>46314.24598953636</v>
      </c>
      <c r="F1699" t="b">
        <v>1</v>
      </c>
      <c r="G1699" t="n">
        <v/>
      </c>
      <c r="H1699" t="inlineStr">
        <is>
          <t>HJZP</t>
        </is>
      </c>
      <c r="I1699" t="inlineStr">
        <is>
          <t>HEJAZ Property Fund (Managed Fund)</t>
        </is>
      </c>
      <c r="J1699" t="inlineStr">
        <is>
          <t>AUD</t>
        </is>
      </c>
      <c r="K1699" s="5" t="inlineStr">
        <is>
          <t>01a152b9-6ee2-7577-bddd-382bc3853fde</t>
        </is>
      </c>
      <c r="M1699" t="inlineStr">
        <is>
          <t>UNKNOWN</t>
        </is>
      </c>
      <c r="N1699" t="inlineStr">
        <is>
          <t>DEFAULT</t>
        </is>
      </c>
      <c r="Q1699" t="n">
        <v>0</v>
      </c>
      <c r="R1699" t="inlineStr">
        <is>
          <t>AUD</t>
        </is>
      </c>
      <c r="S1699" t="n">
        <v>0</v>
      </c>
      <c r="T1699" t="inlineStr">
        <is>
          <t>AUD</t>
        </is>
      </c>
      <c r="U1699" t="n">
        <v>0</v>
      </c>
    </row>
    <row r="1700">
      <c r="A1700" s="5" t="inlineStr">
        <is>
          <t>01a152b9-897a-7661-bb5d-1b51df86fea6</t>
        </is>
      </c>
      <c r="C1700" s="5" t="inlineStr">
        <is>
          <t>01a152b9-6e67-75da-8adb-b03e5d07fd21</t>
        </is>
      </c>
      <c r="D1700" s="4" t="n">
        <v>46314.24598957281</v>
      </c>
      <c r="E1700" s="4" t="n">
        <v>46314.2459895729</v>
      </c>
      <c r="F1700" t="b">
        <v>1</v>
      </c>
      <c r="G1700" t="n">
        <v/>
      </c>
      <c r="H1700" t="inlineStr">
        <is>
          <t>EQE</t>
        </is>
      </c>
      <c r="I1700" t="inlineStr">
        <is>
          <t>EQUUS Mining Ltd</t>
        </is>
      </c>
      <c r="J1700" t="inlineStr">
        <is>
          <t>AUD</t>
        </is>
      </c>
      <c r="K1700" s="5" t="inlineStr">
        <is>
          <t>01a152b9-6ee2-7577-bddd-382bc3853fde</t>
        </is>
      </c>
      <c r="M1700" t="inlineStr">
        <is>
          <t>UNKNOWN</t>
        </is>
      </c>
      <c r="N1700" t="inlineStr">
        <is>
          <t>DEFAULT</t>
        </is>
      </c>
      <c r="Q1700" t="n">
        <v>0</v>
      </c>
      <c r="R1700" t="inlineStr">
        <is>
          <t>AUD</t>
        </is>
      </c>
      <c r="S1700" t="n">
        <v>0</v>
      </c>
      <c r="T1700" t="inlineStr">
        <is>
          <t>AUD</t>
        </is>
      </c>
      <c r="U1700" t="n">
        <v>0</v>
      </c>
    </row>
    <row r="1701">
      <c r="A1701" s="5" t="inlineStr">
        <is>
          <t>01a152b9-897e-7577-83eb-7fc3795102c7</t>
        </is>
      </c>
      <c r="C1701" s="5" t="inlineStr">
        <is>
          <t>01a152b9-6e67-75da-8adb-b03e5d07fd21</t>
        </is>
      </c>
      <c r="D1701" s="4" t="n">
        <v>46314.24598960784</v>
      </c>
      <c r="E1701" s="4" t="n">
        <v>46314.24598960793</v>
      </c>
      <c r="F1701" t="b">
        <v>1</v>
      </c>
      <c r="G1701" t="n">
        <v/>
      </c>
      <c r="H1701" t="inlineStr">
        <is>
          <t>WMG</t>
        </is>
      </c>
      <c r="I1701" t="inlineStr">
        <is>
          <t>Western Mines Group Ltd</t>
        </is>
      </c>
      <c r="J1701" t="inlineStr">
        <is>
          <t>AUD</t>
        </is>
      </c>
      <c r="K1701" s="5" t="inlineStr">
        <is>
          <t>01a152b9-6ee2-7577-bddd-382bc3853fde</t>
        </is>
      </c>
      <c r="M1701" t="inlineStr">
        <is>
          <t>UNKNOWN</t>
        </is>
      </c>
      <c r="N1701" t="inlineStr">
        <is>
          <t>DEFAULT</t>
        </is>
      </c>
      <c r="Q1701" t="n">
        <v>0</v>
      </c>
      <c r="R1701" t="inlineStr">
        <is>
          <t>AUD</t>
        </is>
      </c>
      <c r="S1701" t="n">
        <v>0</v>
      </c>
      <c r="T1701" t="inlineStr">
        <is>
          <t>AUD</t>
        </is>
      </c>
      <c r="U1701" t="n">
        <v>0</v>
      </c>
    </row>
    <row r="1702">
      <c r="A1702" s="5" t="inlineStr">
        <is>
          <t>01a152b9-8981-71f7-a011-d59e07b4d48a</t>
        </is>
      </c>
      <c r="C1702" s="5" t="inlineStr">
        <is>
          <t>01a152b9-6e67-75da-8adb-b03e5d07fd21</t>
        </is>
      </c>
      <c r="D1702" s="4" t="n">
        <v>46314.24598964427</v>
      </c>
      <c r="E1702" s="4" t="n">
        <v>46314.24598964436</v>
      </c>
      <c r="F1702" t="b">
        <v>1</v>
      </c>
      <c r="G1702" t="n">
        <v/>
      </c>
      <c r="H1702" t="inlineStr">
        <is>
          <t>CR1</t>
        </is>
      </c>
      <c r="I1702" t="inlineStr">
        <is>
          <t>Constellation Resources Ltd</t>
        </is>
      </c>
      <c r="J1702" t="inlineStr">
        <is>
          <t>AUD</t>
        </is>
      </c>
      <c r="K1702" s="5" t="inlineStr">
        <is>
          <t>01a152b9-6ee2-7577-bddd-382bc3853fde</t>
        </is>
      </c>
      <c r="M1702" t="inlineStr">
        <is>
          <t>UNKNOWN</t>
        </is>
      </c>
      <c r="N1702" t="inlineStr">
        <is>
          <t>DEFAULT</t>
        </is>
      </c>
      <c r="Q1702" t="n">
        <v>0</v>
      </c>
      <c r="R1702" t="inlineStr">
        <is>
          <t>AUD</t>
        </is>
      </c>
      <c r="S1702" t="n">
        <v>0</v>
      </c>
      <c r="T1702" t="inlineStr">
        <is>
          <t>AUD</t>
        </is>
      </c>
      <c r="U1702" t="n">
        <v>0</v>
      </c>
    </row>
    <row r="1703">
      <c r="A1703" s="5" t="inlineStr">
        <is>
          <t>01a152b9-8984-73f0-8bf3-b5fe631f0b8c</t>
        </is>
      </c>
      <c r="C1703" s="5" t="inlineStr">
        <is>
          <t>01a152b9-6e67-75da-8adb-b03e5d07fd21</t>
        </is>
      </c>
      <c r="D1703" s="4" t="n">
        <v>46314.24598967935</v>
      </c>
      <c r="E1703" s="4" t="n">
        <v>46314.24598967945</v>
      </c>
      <c r="F1703" t="b">
        <v>1</v>
      </c>
      <c r="G1703" t="n">
        <v/>
      </c>
      <c r="H1703" t="inlineStr">
        <is>
          <t>IG6</t>
        </is>
      </c>
      <c r="I1703" t="inlineStr">
        <is>
          <t>International Graphite Ltd</t>
        </is>
      </c>
      <c r="J1703" t="inlineStr">
        <is>
          <t>AUD</t>
        </is>
      </c>
      <c r="K1703" s="5" t="inlineStr">
        <is>
          <t>01a152b9-6ee2-7577-bddd-382bc3853fde</t>
        </is>
      </c>
      <c r="M1703" t="inlineStr">
        <is>
          <t>UNKNOWN</t>
        </is>
      </c>
      <c r="N1703" t="inlineStr">
        <is>
          <t>DEFAULT</t>
        </is>
      </c>
      <c r="Q1703" t="n">
        <v>0</v>
      </c>
      <c r="R1703" t="inlineStr">
        <is>
          <t>AUD</t>
        </is>
      </c>
      <c r="S1703" t="n">
        <v>0</v>
      </c>
      <c r="T1703" t="inlineStr">
        <is>
          <t>AUD</t>
        </is>
      </c>
      <c r="U1703" t="n">
        <v>0</v>
      </c>
    </row>
    <row r="1704">
      <c r="A1704" s="5" t="inlineStr">
        <is>
          <t>01a152b9-8987-7768-8dcc-364771451fda</t>
        </is>
      </c>
      <c r="C1704" s="5" t="inlineStr">
        <is>
          <t>01a152b9-6e67-75da-8adb-b03e5d07fd21</t>
        </is>
      </c>
      <c r="D1704" s="4" t="n">
        <v>46314.24598971861</v>
      </c>
      <c r="E1704" s="4" t="n">
        <v>46314.24598971871</v>
      </c>
      <c r="F1704" t="b">
        <v>1</v>
      </c>
      <c r="G1704" t="n">
        <v/>
      </c>
      <c r="H1704" t="inlineStr">
        <is>
          <t>TON</t>
        </is>
      </c>
      <c r="I1704" t="inlineStr">
        <is>
          <t>Triton Minerals Ltd</t>
        </is>
      </c>
      <c r="J1704" t="inlineStr">
        <is>
          <t>AUD</t>
        </is>
      </c>
      <c r="K1704" s="5" t="inlineStr">
        <is>
          <t>01a152b9-6ee2-7577-bddd-382bc3853fde</t>
        </is>
      </c>
      <c r="M1704" t="inlineStr">
        <is>
          <t>UNKNOWN</t>
        </is>
      </c>
      <c r="N1704" t="inlineStr">
        <is>
          <t>DEFAULT</t>
        </is>
      </c>
      <c r="Q1704" t="n">
        <v>0</v>
      </c>
      <c r="R1704" t="inlineStr">
        <is>
          <t>AUD</t>
        </is>
      </c>
      <c r="S1704" t="n">
        <v>0</v>
      </c>
      <c r="T1704" t="inlineStr">
        <is>
          <t>AUD</t>
        </is>
      </c>
      <c r="U1704" t="n">
        <v>0</v>
      </c>
    </row>
    <row r="1705">
      <c r="A1705" s="5" t="inlineStr">
        <is>
          <t>01a152b9-898a-72c5-9c5f-98d7ee765963</t>
        </is>
      </c>
      <c r="C1705" s="5" t="inlineStr">
        <is>
          <t>01a152b9-6e67-75da-8adb-b03e5d07fd21</t>
        </is>
      </c>
      <c r="D1705" s="4" t="n">
        <v>46314.24598975545</v>
      </c>
      <c r="E1705" s="4" t="n">
        <v>46314.24598975555</v>
      </c>
      <c r="F1705" t="b">
        <v>1</v>
      </c>
      <c r="G1705" t="n">
        <v/>
      </c>
      <c r="H1705" t="inlineStr">
        <is>
          <t>BPP</t>
        </is>
      </c>
      <c r="I1705" t="inlineStr">
        <is>
          <t>Babylon Pump &amp; Power Ltd</t>
        </is>
      </c>
      <c r="J1705" t="inlineStr">
        <is>
          <t>AUD</t>
        </is>
      </c>
      <c r="K1705" s="5" t="inlineStr">
        <is>
          <t>01a152b9-6ee2-7577-bddd-382bc3853fde</t>
        </is>
      </c>
      <c r="M1705" t="inlineStr">
        <is>
          <t>UNKNOWN</t>
        </is>
      </c>
      <c r="N1705" t="inlineStr">
        <is>
          <t>DEFAULT</t>
        </is>
      </c>
      <c r="Q1705" t="n">
        <v>0</v>
      </c>
      <c r="R1705" t="inlineStr">
        <is>
          <t>AUD</t>
        </is>
      </c>
      <c r="S1705" t="n">
        <v>0</v>
      </c>
      <c r="T1705" t="inlineStr">
        <is>
          <t>AUD</t>
        </is>
      </c>
      <c r="U1705" t="n">
        <v>0</v>
      </c>
    </row>
    <row r="1706">
      <c r="A1706" s="5" t="inlineStr">
        <is>
          <t>01a152b9-898d-7658-8d8f-eb25c0a40719</t>
        </is>
      </c>
      <c r="C1706" s="5" t="inlineStr">
        <is>
          <t>01a152b9-6e67-75da-8adb-b03e5d07fd21</t>
        </is>
      </c>
      <c r="D1706" s="4" t="n">
        <v>46314.24598979141</v>
      </c>
      <c r="E1706" s="4" t="n">
        <v>46314.2459897915</v>
      </c>
      <c r="F1706" t="b">
        <v>1</v>
      </c>
      <c r="G1706" t="n">
        <v/>
      </c>
      <c r="H1706" t="inlineStr">
        <is>
          <t>SKK</t>
        </is>
      </c>
      <c r="I1706" t="inlineStr">
        <is>
          <t>Stakk Ltd</t>
        </is>
      </c>
      <c r="J1706" t="inlineStr">
        <is>
          <t>AUD</t>
        </is>
      </c>
      <c r="K1706" s="5" t="inlineStr">
        <is>
          <t>01a152b9-6ee2-7577-bddd-382bc3853fde</t>
        </is>
      </c>
      <c r="M1706" t="inlineStr">
        <is>
          <t>UNKNOWN</t>
        </is>
      </c>
      <c r="N1706" t="inlineStr">
        <is>
          <t>DEFAULT</t>
        </is>
      </c>
      <c r="Q1706" t="n">
        <v>0</v>
      </c>
      <c r="R1706" t="inlineStr">
        <is>
          <t>AUD</t>
        </is>
      </c>
      <c r="S1706" t="n">
        <v>0</v>
      </c>
      <c r="T1706" t="inlineStr">
        <is>
          <t>AUD</t>
        </is>
      </c>
      <c r="U1706" t="n">
        <v>0</v>
      </c>
    </row>
    <row r="1707">
      <c r="A1707" s="5" t="inlineStr">
        <is>
          <t>01a152b9-8990-71d7-8eb7-fbaf31463c95</t>
        </is>
      </c>
      <c r="C1707" s="5" t="inlineStr">
        <is>
          <t>01a152b9-6e67-75da-8adb-b03e5d07fd21</t>
        </is>
      </c>
      <c r="D1707" s="4" t="n">
        <v>46314.24598982603</v>
      </c>
      <c r="E1707" s="4" t="n">
        <v>46314.24598982612</v>
      </c>
      <c r="F1707" t="b">
        <v>1</v>
      </c>
      <c r="G1707" t="n">
        <v/>
      </c>
      <c r="H1707" t="inlineStr">
        <is>
          <t>RFT</t>
        </is>
      </c>
      <c r="I1707" t="inlineStr">
        <is>
          <t>Rectifier Technologies Ltd</t>
        </is>
      </c>
      <c r="J1707" t="inlineStr">
        <is>
          <t>AUD</t>
        </is>
      </c>
      <c r="K1707" s="5" t="inlineStr">
        <is>
          <t>01a152b9-6ee2-7577-bddd-382bc3853fde</t>
        </is>
      </c>
      <c r="M1707" t="inlineStr">
        <is>
          <t>UNKNOWN</t>
        </is>
      </c>
      <c r="N1707" t="inlineStr">
        <is>
          <t>DEFAULT</t>
        </is>
      </c>
      <c r="Q1707" t="n">
        <v>0</v>
      </c>
      <c r="R1707" t="inlineStr">
        <is>
          <t>AUD</t>
        </is>
      </c>
      <c r="S1707" t="n">
        <v>0</v>
      </c>
      <c r="T1707" t="inlineStr">
        <is>
          <t>AUD</t>
        </is>
      </c>
      <c r="U1707" t="n">
        <v>0</v>
      </c>
    </row>
    <row r="1708">
      <c r="A1708" s="5" t="inlineStr">
        <is>
          <t>01a152b9-8994-720d-881a-1761df4e21de</t>
        </is>
      </c>
      <c r="C1708" s="5" t="inlineStr">
        <is>
          <t>01a152b9-6e67-75da-8adb-b03e5d07fd21</t>
        </is>
      </c>
      <c r="D1708" s="4" t="n">
        <v>46314.24598986799</v>
      </c>
      <c r="E1708" s="4" t="n">
        <v>46314.24598986809</v>
      </c>
      <c r="F1708" t="b">
        <v>1</v>
      </c>
      <c r="G1708" t="n">
        <v/>
      </c>
      <c r="H1708" t="inlineStr">
        <is>
          <t>PEC</t>
        </is>
      </c>
      <c r="I1708" t="inlineStr">
        <is>
          <t>Perpetual Resources Ltd</t>
        </is>
      </c>
      <c r="J1708" t="inlineStr">
        <is>
          <t>AUD</t>
        </is>
      </c>
      <c r="K1708" s="5" t="inlineStr">
        <is>
          <t>01a152b9-6ee2-7577-bddd-382bc3853fde</t>
        </is>
      </c>
      <c r="M1708" t="inlineStr">
        <is>
          <t>UNKNOWN</t>
        </is>
      </c>
      <c r="N1708" t="inlineStr">
        <is>
          <t>DEFAULT</t>
        </is>
      </c>
      <c r="Q1708" t="n">
        <v>0</v>
      </c>
      <c r="R1708" t="inlineStr">
        <is>
          <t>AUD</t>
        </is>
      </c>
      <c r="S1708" t="n">
        <v>0</v>
      </c>
      <c r="T1708" t="inlineStr">
        <is>
          <t>AUD</t>
        </is>
      </c>
      <c r="U1708" t="n">
        <v>0</v>
      </c>
    </row>
    <row r="1709">
      <c r="A1709" s="5" t="inlineStr">
        <is>
          <t>01a152b9-8997-72b7-ac0b-7423aa545497</t>
        </is>
      </c>
      <c r="C1709" s="5" t="inlineStr">
        <is>
          <t>01a152b9-6e67-75da-8adb-b03e5d07fd21</t>
        </is>
      </c>
      <c r="D1709" s="4" t="n">
        <v>46314.24598990387</v>
      </c>
      <c r="E1709" s="4" t="n">
        <v>46314.24598990396</v>
      </c>
      <c r="F1709" t="b">
        <v>1</v>
      </c>
      <c r="G1709" t="n">
        <v/>
      </c>
      <c r="H1709" t="inlineStr">
        <is>
          <t>AJL</t>
        </is>
      </c>
      <c r="I1709" t="inlineStr">
        <is>
          <t>AJ Lucas Group Ltd</t>
        </is>
      </c>
      <c r="J1709" t="inlineStr">
        <is>
          <t>AUD</t>
        </is>
      </c>
      <c r="K1709" s="5" t="inlineStr">
        <is>
          <t>01a152b9-6ee2-7577-bddd-382bc3853fde</t>
        </is>
      </c>
      <c r="M1709" t="inlineStr">
        <is>
          <t>UNKNOWN</t>
        </is>
      </c>
      <c r="N1709" t="inlineStr">
        <is>
          <t>DEFAULT</t>
        </is>
      </c>
      <c r="Q1709" t="n">
        <v>0</v>
      </c>
      <c r="R1709" t="inlineStr">
        <is>
          <t>AUD</t>
        </is>
      </c>
      <c r="S1709" t="n">
        <v>0</v>
      </c>
      <c r="T1709" t="inlineStr">
        <is>
          <t>AUD</t>
        </is>
      </c>
      <c r="U1709" t="n">
        <v>0</v>
      </c>
    </row>
    <row r="1710">
      <c r="A1710" s="5" t="inlineStr">
        <is>
          <t>01a152b9-899a-7710-a24c-95060fdf8aa2</t>
        </is>
      </c>
      <c r="C1710" s="5" t="inlineStr">
        <is>
          <t>01a152b9-6e67-75da-8adb-b03e5d07fd21</t>
        </is>
      </c>
      <c r="D1710" s="4" t="n">
        <v>46314.24598994095</v>
      </c>
      <c r="E1710" s="4" t="n">
        <v>46314.24598994104</v>
      </c>
      <c r="F1710" t="b">
        <v>1</v>
      </c>
      <c r="G1710" t="n">
        <v/>
      </c>
      <c r="H1710" t="inlineStr">
        <is>
          <t>DRIV</t>
        </is>
      </c>
      <c r="I1710" t="inlineStr">
        <is>
          <t>Betashares Electric Vehicles and FTR Mobility ETF</t>
        </is>
      </c>
      <c r="J1710" t="inlineStr">
        <is>
          <t>AUD</t>
        </is>
      </c>
      <c r="K1710" s="5" t="inlineStr">
        <is>
          <t>01a152b9-6ee2-7577-bddd-382bc3853fde</t>
        </is>
      </c>
      <c r="M1710" t="inlineStr">
        <is>
          <t>UNKNOWN</t>
        </is>
      </c>
      <c r="N1710" t="inlineStr">
        <is>
          <t>DEFAULT</t>
        </is>
      </c>
      <c r="Q1710" t="n">
        <v>0</v>
      </c>
      <c r="R1710" t="inlineStr">
        <is>
          <t>AUD</t>
        </is>
      </c>
      <c r="S1710" t="n">
        <v>0</v>
      </c>
      <c r="T1710" t="inlineStr">
        <is>
          <t>AUD</t>
        </is>
      </c>
      <c r="U1710" t="n">
        <v>0</v>
      </c>
    </row>
    <row r="1711">
      <c r="A1711" s="5" t="inlineStr">
        <is>
          <t>01a152b9-899e-7348-9379-ebf1bf5fc14f</t>
        </is>
      </c>
      <c r="C1711" s="5" t="inlineStr">
        <is>
          <t>01a152b9-6e67-75da-8adb-b03e5d07fd21</t>
        </is>
      </c>
      <c r="D1711" s="4" t="n">
        <v>46314.24598998026</v>
      </c>
      <c r="E1711" s="4" t="n">
        <v>46314.24598998037</v>
      </c>
      <c r="F1711" t="b">
        <v>1</v>
      </c>
      <c r="G1711" t="n">
        <v/>
      </c>
      <c r="H1711" t="inlineStr">
        <is>
          <t>VMC</t>
        </is>
      </c>
      <c r="I1711" t="inlineStr">
        <is>
          <t>Venus Metals Corporation Ltd</t>
        </is>
      </c>
      <c r="J1711" t="inlineStr">
        <is>
          <t>AUD</t>
        </is>
      </c>
      <c r="K1711" s="5" t="inlineStr">
        <is>
          <t>01a152b9-6ee2-7577-bddd-382bc3853fde</t>
        </is>
      </c>
      <c r="M1711" t="inlineStr">
        <is>
          <t>UNKNOWN</t>
        </is>
      </c>
      <c r="N1711" t="inlineStr">
        <is>
          <t>DEFAULT</t>
        </is>
      </c>
      <c r="Q1711" t="n">
        <v>0</v>
      </c>
      <c r="R1711" t="inlineStr">
        <is>
          <t>AUD</t>
        </is>
      </c>
      <c r="S1711" t="n">
        <v>0</v>
      </c>
      <c r="T1711" t="inlineStr">
        <is>
          <t>AUD</t>
        </is>
      </c>
      <c r="U1711" t="n">
        <v>0</v>
      </c>
    </row>
    <row r="1712">
      <c r="A1712" s="5" t="inlineStr">
        <is>
          <t>01a152b9-89a1-75fe-a4bb-01ef76424027</t>
        </is>
      </c>
      <c r="C1712" s="5" t="inlineStr">
        <is>
          <t>01a152b9-6e67-75da-8adb-b03e5d07fd21</t>
        </is>
      </c>
      <c r="D1712" s="4" t="n">
        <v>46314.24599002428</v>
      </c>
      <c r="E1712" s="4" t="n">
        <v>46314.24599002442</v>
      </c>
      <c r="F1712" t="b">
        <v>1</v>
      </c>
      <c r="G1712" t="n">
        <v/>
      </c>
      <c r="H1712" t="inlineStr">
        <is>
          <t>ASP</t>
        </is>
      </c>
      <c r="I1712" t="inlineStr">
        <is>
          <t>Aspermont Ltd</t>
        </is>
      </c>
      <c r="J1712" t="inlineStr">
        <is>
          <t>AUD</t>
        </is>
      </c>
      <c r="K1712" s="5" t="inlineStr">
        <is>
          <t>01a152b9-6ee2-7577-bddd-382bc3853fde</t>
        </is>
      </c>
      <c r="M1712" t="inlineStr">
        <is>
          <t>UNKNOWN</t>
        </is>
      </c>
      <c r="N1712" t="inlineStr">
        <is>
          <t>DEFAULT</t>
        </is>
      </c>
      <c r="Q1712" t="n">
        <v>0</v>
      </c>
      <c r="R1712" t="inlineStr">
        <is>
          <t>AUD</t>
        </is>
      </c>
      <c r="S1712" t="n">
        <v>0</v>
      </c>
      <c r="T1712" t="inlineStr">
        <is>
          <t>AUD</t>
        </is>
      </c>
      <c r="U1712" t="n">
        <v>0</v>
      </c>
    </row>
    <row r="1713">
      <c r="A1713" s="5" t="inlineStr">
        <is>
          <t>01a152b9-89a5-7396-a82c-77553a399506</t>
        </is>
      </c>
      <c r="C1713" s="5" t="inlineStr">
        <is>
          <t>01a152b9-6e67-75da-8adb-b03e5d07fd21</t>
        </is>
      </c>
      <c r="D1713" s="4" t="n">
        <v>46314.2459900691</v>
      </c>
      <c r="E1713" s="4" t="n">
        <v>46314.2459900692</v>
      </c>
      <c r="F1713" t="b">
        <v>1</v>
      </c>
      <c r="G1713" t="n">
        <v/>
      </c>
      <c r="H1713" t="inlineStr">
        <is>
          <t>IGRO</t>
        </is>
      </c>
      <c r="I1713" t="inlineStr">
        <is>
          <t>Ishares High Growth Esg ETF</t>
        </is>
      </c>
      <c r="J1713" t="inlineStr">
        <is>
          <t>AUD</t>
        </is>
      </c>
      <c r="K1713" s="5" t="inlineStr">
        <is>
          <t>01a152b9-6ee2-7577-bddd-382bc3853fde</t>
        </is>
      </c>
      <c r="M1713" t="inlineStr">
        <is>
          <t>UNKNOWN</t>
        </is>
      </c>
      <c r="N1713" t="inlineStr">
        <is>
          <t>DEFAULT</t>
        </is>
      </c>
      <c r="Q1713" t="n">
        <v>0</v>
      </c>
      <c r="R1713" t="inlineStr">
        <is>
          <t>AUD</t>
        </is>
      </c>
      <c r="S1713" t="n">
        <v>0</v>
      </c>
      <c r="T1713" t="inlineStr">
        <is>
          <t>AUD</t>
        </is>
      </c>
      <c r="U1713" t="n">
        <v>0</v>
      </c>
    </row>
    <row r="1714">
      <c r="A1714" s="5" t="inlineStr">
        <is>
          <t>01a152b9-89a9-7233-b1d3-b5b8867c8cc6</t>
        </is>
      </c>
      <c r="C1714" s="5" t="inlineStr">
        <is>
          <t>01a152b9-6e67-75da-8adb-b03e5d07fd21</t>
        </is>
      </c>
      <c r="D1714" s="4" t="n">
        <v>46314.24599010599</v>
      </c>
      <c r="E1714" s="4" t="n">
        <v>46314.2459901061</v>
      </c>
      <c r="F1714" t="b">
        <v>1</v>
      </c>
      <c r="G1714" t="n">
        <v/>
      </c>
      <c r="H1714" t="inlineStr">
        <is>
          <t>JNDQ</t>
        </is>
      </c>
      <c r="I1714" t="inlineStr">
        <is>
          <t>Betashares Nasdaq Next Gen 100 ETF</t>
        </is>
      </c>
      <c r="J1714" t="inlineStr">
        <is>
          <t>AUD</t>
        </is>
      </c>
      <c r="K1714" s="5" t="inlineStr">
        <is>
          <t>01a152b9-6ee2-7577-bddd-382bc3853fde</t>
        </is>
      </c>
      <c r="M1714" t="inlineStr">
        <is>
          <t>UNKNOWN</t>
        </is>
      </c>
      <c r="N1714" t="inlineStr">
        <is>
          <t>DEFAULT</t>
        </is>
      </c>
      <c r="Q1714" t="n">
        <v>0</v>
      </c>
      <c r="R1714" t="inlineStr">
        <is>
          <t>AUD</t>
        </is>
      </c>
      <c r="S1714" t="n">
        <v>0</v>
      </c>
      <c r="T1714" t="inlineStr">
        <is>
          <t>AUD</t>
        </is>
      </c>
      <c r="U1714" t="n">
        <v>0</v>
      </c>
    </row>
    <row r="1715">
      <c r="A1715" s="5" t="inlineStr">
        <is>
          <t>01a152b9-89ac-76df-966e-e9326f356e08</t>
        </is>
      </c>
      <c r="C1715" s="5" t="inlineStr">
        <is>
          <t>01a152b9-6e67-75da-8adb-b03e5d07fd21</t>
        </is>
      </c>
      <c r="D1715" s="4" t="n">
        <v>46314.24599014273</v>
      </c>
      <c r="E1715" s="4" t="n">
        <v>46314.24599014284</v>
      </c>
      <c r="F1715" t="b">
        <v>1</v>
      </c>
      <c r="G1715" t="n">
        <v/>
      </c>
      <c r="H1715" t="inlineStr">
        <is>
          <t>GUL</t>
        </is>
      </c>
      <c r="I1715" t="inlineStr">
        <is>
          <t>Gullewa Ltd</t>
        </is>
      </c>
      <c r="J1715" t="inlineStr">
        <is>
          <t>AUD</t>
        </is>
      </c>
      <c r="K1715" s="5" t="inlineStr">
        <is>
          <t>01a152b9-6ee2-7577-bddd-382bc3853fde</t>
        </is>
      </c>
      <c r="M1715" t="inlineStr">
        <is>
          <t>UNKNOWN</t>
        </is>
      </c>
      <c r="N1715" t="inlineStr">
        <is>
          <t>DEFAULT</t>
        </is>
      </c>
      <c r="Q1715" t="n">
        <v>0</v>
      </c>
      <c r="R1715" t="inlineStr">
        <is>
          <t>AUD</t>
        </is>
      </c>
      <c r="S1715" t="n">
        <v>0</v>
      </c>
      <c r="T1715" t="inlineStr">
        <is>
          <t>AUD</t>
        </is>
      </c>
      <c r="U1715" t="n">
        <v>0</v>
      </c>
    </row>
    <row r="1716">
      <c r="A1716" s="5" t="inlineStr">
        <is>
          <t>01a152b9-89af-7417-9669-a445fb73c416</t>
        </is>
      </c>
      <c r="C1716" s="5" t="inlineStr">
        <is>
          <t>01a152b9-6e67-75da-8adb-b03e5d07fd21</t>
        </is>
      </c>
      <c r="D1716" s="4" t="n">
        <v>46314.24599018141</v>
      </c>
      <c r="E1716" s="4" t="n">
        <v>46314.2459901815</v>
      </c>
      <c r="F1716" t="b">
        <v>1</v>
      </c>
      <c r="G1716" t="n">
        <v/>
      </c>
      <c r="H1716" t="inlineStr">
        <is>
          <t>CMD</t>
        </is>
      </c>
      <c r="I1716" t="inlineStr">
        <is>
          <t>Cassius Mining Ltd</t>
        </is>
      </c>
      <c r="J1716" t="inlineStr">
        <is>
          <t>AUD</t>
        </is>
      </c>
      <c r="K1716" s="5" t="inlineStr">
        <is>
          <t>01a152b9-6ee2-7577-bddd-382bc3853fde</t>
        </is>
      </c>
      <c r="M1716" t="inlineStr">
        <is>
          <t>UNKNOWN</t>
        </is>
      </c>
      <c r="N1716" t="inlineStr">
        <is>
          <t>DEFAULT</t>
        </is>
      </c>
      <c r="Q1716" t="n">
        <v>0</v>
      </c>
      <c r="R1716" t="inlineStr">
        <is>
          <t>AUD</t>
        </is>
      </c>
      <c r="S1716" t="n">
        <v>0</v>
      </c>
      <c r="T1716" t="inlineStr">
        <is>
          <t>AUD</t>
        </is>
      </c>
      <c r="U1716" t="n">
        <v>0</v>
      </c>
    </row>
    <row r="1717">
      <c r="A1717" s="5" t="inlineStr">
        <is>
          <t>01a152b9-89b3-7145-839f-0d8b377715e0</t>
        </is>
      </c>
      <c r="C1717" s="5" t="inlineStr">
        <is>
          <t>01a152b9-6e67-75da-8adb-b03e5d07fd21</t>
        </is>
      </c>
      <c r="D1717" s="4" t="n">
        <v>46314.24599022249</v>
      </c>
      <c r="E1717" s="4" t="n">
        <v>46314.24599022258</v>
      </c>
      <c r="F1717" t="b">
        <v>1</v>
      </c>
      <c r="G1717" t="n">
        <v/>
      </c>
      <c r="H1717" t="inlineStr">
        <is>
          <t>BPH</t>
        </is>
      </c>
      <c r="I1717" t="inlineStr">
        <is>
          <t>BPH Energy Ltd</t>
        </is>
      </c>
      <c r="J1717" t="inlineStr">
        <is>
          <t>AUD</t>
        </is>
      </c>
      <c r="K1717" s="5" t="inlineStr">
        <is>
          <t>01a152b9-6ee2-7577-bddd-382bc3853fde</t>
        </is>
      </c>
      <c r="M1717" t="inlineStr">
        <is>
          <t>UNKNOWN</t>
        </is>
      </c>
      <c r="N1717" t="inlineStr">
        <is>
          <t>DEFAULT</t>
        </is>
      </c>
      <c r="Q1717" t="n">
        <v>0</v>
      </c>
      <c r="R1717" t="inlineStr">
        <is>
          <t>AUD</t>
        </is>
      </c>
      <c r="S1717" t="n">
        <v>0</v>
      </c>
      <c r="T1717" t="inlineStr">
        <is>
          <t>AUD</t>
        </is>
      </c>
      <c r="U1717" t="n">
        <v>0</v>
      </c>
    </row>
    <row r="1718">
      <c r="A1718" s="5" t="inlineStr">
        <is>
          <t>01a152b9-89b6-74dd-9df9-5971a5afa556</t>
        </is>
      </c>
      <c r="C1718" s="5" t="inlineStr">
        <is>
          <t>01a152b9-6e67-75da-8adb-b03e5d07fd21</t>
        </is>
      </c>
      <c r="D1718" s="4" t="n">
        <v>46314.24599026719</v>
      </c>
      <c r="E1718" s="4" t="n">
        <v>46314.24599026734</v>
      </c>
      <c r="F1718" t="b">
        <v>1</v>
      </c>
      <c r="G1718" t="n">
        <v/>
      </c>
      <c r="H1718" t="inlineStr">
        <is>
          <t>CRR</t>
        </is>
      </c>
      <c r="I1718" t="inlineStr">
        <is>
          <t>Critical Resources Ltd</t>
        </is>
      </c>
      <c r="J1718" t="inlineStr">
        <is>
          <t>AUD</t>
        </is>
      </c>
      <c r="K1718" s="5" t="inlineStr">
        <is>
          <t>01a152b9-6ee2-7577-bddd-382bc3853fde</t>
        </is>
      </c>
      <c r="M1718" t="inlineStr">
        <is>
          <t>UNKNOWN</t>
        </is>
      </c>
      <c r="N1718" t="inlineStr">
        <is>
          <t>DEFAULT</t>
        </is>
      </c>
      <c r="Q1718" t="n">
        <v>0</v>
      </c>
      <c r="R1718" t="inlineStr">
        <is>
          <t>AUD</t>
        </is>
      </c>
      <c r="S1718" t="n">
        <v>0</v>
      </c>
      <c r="T1718" t="inlineStr">
        <is>
          <t>AUD</t>
        </is>
      </c>
      <c r="U1718" t="n">
        <v>0</v>
      </c>
    </row>
    <row r="1719">
      <c r="A1719" s="5" t="inlineStr">
        <is>
          <t>01a152b9-89ba-7251-81f8-0b7176733276</t>
        </is>
      </c>
      <c r="C1719" s="5" t="inlineStr">
        <is>
          <t>01a152b9-6e67-75da-8adb-b03e5d07fd21</t>
        </is>
      </c>
      <c r="D1719" s="4" t="n">
        <v>46314.24599030905</v>
      </c>
      <c r="E1719" s="4" t="n">
        <v>46314.24599030917</v>
      </c>
      <c r="F1719" t="b">
        <v>1</v>
      </c>
      <c r="G1719" t="n">
        <v/>
      </c>
      <c r="H1719" t="inlineStr">
        <is>
          <t>AT1</t>
        </is>
      </c>
      <c r="I1719" t="inlineStr">
        <is>
          <t>Atomo Diagnostics Ltd</t>
        </is>
      </c>
      <c r="J1719" t="inlineStr">
        <is>
          <t>AUD</t>
        </is>
      </c>
      <c r="K1719" s="5" t="inlineStr">
        <is>
          <t>01a152b9-6ee2-7577-bddd-382bc3853fde</t>
        </is>
      </c>
      <c r="M1719" t="inlineStr">
        <is>
          <t>UNKNOWN</t>
        </is>
      </c>
      <c r="N1719" t="inlineStr">
        <is>
          <t>DEFAULT</t>
        </is>
      </c>
      <c r="Q1719" t="n">
        <v>0</v>
      </c>
      <c r="R1719" t="inlineStr">
        <is>
          <t>AUD</t>
        </is>
      </c>
      <c r="S1719" t="n">
        <v>0</v>
      </c>
      <c r="T1719" t="inlineStr">
        <is>
          <t>AUD</t>
        </is>
      </c>
      <c r="U1719" t="n">
        <v>0</v>
      </c>
    </row>
    <row r="1720">
      <c r="A1720" s="5" t="inlineStr">
        <is>
          <t>01a152b9-89be-707e-a210-90f6b2909a07</t>
        </is>
      </c>
      <c r="C1720" s="5" t="inlineStr">
        <is>
          <t>01a152b9-6e67-75da-8adb-b03e5d07fd21</t>
        </is>
      </c>
      <c r="D1720" s="4" t="n">
        <v>46314.24599035191</v>
      </c>
      <c r="E1720" s="4" t="n">
        <v>46314.24599035203</v>
      </c>
      <c r="F1720" t="b">
        <v>1</v>
      </c>
      <c r="G1720" t="n">
        <v/>
      </c>
      <c r="H1720" t="inlineStr">
        <is>
          <t>BNL</t>
        </is>
      </c>
      <c r="I1720" t="inlineStr">
        <is>
          <t>Blue Star Helium Ltd</t>
        </is>
      </c>
      <c r="J1720" t="inlineStr">
        <is>
          <t>AUD</t>
        </is>
      </c>
      <c r="K1720" s="5" t="inlineStr">
        <is>
          <t>01a152b9-6ee2-7577-bddd-382bc3853fde</t>
        </is>
      </c>
      <c r="M1720" t="inlineStr">
        <is>
          <t>UNKNOWN</t>
        </is>
      </c>
      <c r="N1720" t="inlineStr">
        <is>
          <t>DEFAULT</t>
        </is>
      </c>
      <c r="Q1720" t="n">
        <v>0</v>
      </c>
      <c r="R1720" t="inlineStr">
        <is>
          <t>AUD</t>
        </is>
      </c>
      <c r="S1720" t="n">
        <v>0</v>
      </c>
      <c r="T1720" t="inlineStr">
        <is>
          <t>AUD</t>
        </is>
      </c>
      <c r="U1720" t="n">
        <v>0</v>
      </c>
    </row>
    <row r="1721">
      <c r="A1721" s="5" t="inlineStr">
        <is>
          <t>01a152b9-89c1-7098-a9fe-26ab387894ac</t>
        </is>
      </c>
      <c r="C1721" s="5" t="inlineStr">
        <is>
          <t>01a152b9-6e67-75da-8adb-b03e5d07fd21</t>
        </is>
      </c>
      <c r="D1721" s="4" t="n">
        <v>46314.24599038964</v>
      </c>
      <c r="E1721" s="4" t="n">
        <v>46314.24599038977</v>
      </c>
      <c r="F1721" t="b">
        <v>1</v>
      </c>
      <c r="G1721" t="n">
        <v/>
      </c>
      <c r="H1721" t="inlineStr">
        <is>
          <t>WIN</t>
        </is>
      </c>
      <c r="I1721" t="inlineStr">
        <is>
          <t>WIN Metals Ltd</t>
        </is>
      </c>
      <c r="J1721" t="inlineStr">
        <is>
          <t>AUD</t>
        </is>
      </c>
      <c r="K1721" s="5" t="inlineStr">
        <is>
          <t>01a152b9-6ee2-7577-bddd-382bc3853fde</t>
        </is>
      </c>
      <c r="M1721" t="inlineStr">
        <is>
          <t>UNKNOWN</t>
        </is>
      </c>
      <c r="N1721" t="inlineStr">
        <is>
          <t>DEFAULT</t>
        </is>
      </c>
      <c r="Q1721" t="n">
        <v>0</v>
      </c>
      <c r="R1721" t="inlineStr">
        <is>
          <t>AUD</t>
        </is>
      </c>
      <c r="S1721" t="n">
        <v>0</v>
      </c>
      <c r="T1721" t="inlineStr">
        <is>
          <t>AUD</t>
        </is>
      </c>
      <c r="U1721" t="n">
        <v>0</v>
      </c>
    </row>
    <row r="1722">
      <c r="A1722" s="5" t="inlineStr">
        <is>
          <t>01a152b9-89c5-77f6-8fb0-a4dba247d89b</t>
        </is>
      </c>
      <c r="C1722" s="5" t="inlineStr">
        <is>
          <t>01a152b9-6e67-75da-8adb-b03e5d07fd21</t>
        </is>
      </c>
      <c r="D1722" s="4" t="n">
        <v>46314.24599043246</v>
      </c>
      <c r="E1722" s="4" t="n">
        <v>46314.24599043262</v>
      </c>
      <c r="F1722" t="b">
        <v>1</v>
      </c>
      <c r="G1722" t="n">
        <v/>
      </c>
      <c r="H1722" t="inlineStr">
        <is>
          <t>AZ9</t>
        </is>
      </c>
      <c r="I1722" t="inlineStr">
        <is>
          <t>Asian Battery Metals Plc</t>
        </is>
      </c>
      <c r="J1722" t="inlineStr">
        <is>
          <t>AUD</t>
        </is>
      </c>
      <c r="K1722" s="5" t="inlineStr">
        <is>
          <t>01a152b9-6ee2-7577-bddd-382bc3853fde</t>
        </is>
      </c>
      <c r="M1722" t="inlineStr">
        <is>
          <t>UNKNOWN</t>
        </is>
      </c>
      <c r="N1722" t="inlineStr">
        <is>
          <t>DEFAULT</t>
        </is>
      </c>
      <c r="Q1722" t="n">
        <v>0</v>
      </c>
      <c r="R1722" t="inlineStr">
        <is>
          <t>AUD</t>
        </is>
      </c>
      <c r="S1722" t="n">
        <v>0</v>
      </c>
      <c r="T1722" t="inlineStr">
        <is>
          <t>AUD</t>
        </is>
      </c>
      <c r="U1722" t="n">
        <v>0</v>
      </c>
    </row>
    <row r="1723">
      <c r="A1723" s="5" t="inlineStr">
        <is>
          <t>01a152b9-89c8-73fe-b6d0-05f155d4e2e6</t>
        </is>
      </c>
      <c r="C1723" s="5" t="inlineStr">
        <is>
          <t>01a152b9-6e67-75da-8adb-b03e5d07fd21</t>
        </is>
      </c>
      <c r="D1723" s="4" t="n">
        <v>46314.24599047427</v>
      </c>
      <c r="E1723" s="4" t="n">
        <v>46314.2459904744</v>
      </c>
      <c r="F1723" t="b">
        <v>1</v>
      </c>
      <c r="G1723" t="n">
        <v/>
      </c>
      <c r="H1723" t="inlineStr">
        <is>
          <t>RLF</t>
        </is>
      </c>
      <c r="I1723" t="inlineStr">
        <is>
          <t>RLF Agtech Ltd</t>
        </is>
      </c>
      <c r="J1723" t="inlineStr">
        <is>
          <t>AUD</t>
        </is>
      </c>
      <c r="K1723" s="5" t="inlineStr">
        <is>
          <t>01a152b9-6ee2-7577-bddd-382bc3853fde</t>
        </is>
      </c>
      <c r="M1723" t="inlineStr">
        <is>
          <t>UNKNOWN</t>
        </is>
      </c>
      <c r="N1723" t="inlineStr">
        <is>
          <t>DEFAULT</t>
        </is>
      </c>
      <c r="Q1723" t="n">
        <v>0</v>
      </c>
      <c r="R1723" t="inlineStr">
        <is>
          <t>AUD</t>
        </is>
      </c>
      <c r="S1723" t="n">
        <v>0</v>
      </c>
      <c r="T1723" t="inlineStr">
        <is>
          <t>AUD</t>
        </is>
      </c>
      <c r="U1723" t="n">
        <v>0</v>
      </c>
    </row>
    <row r="1724">
      <c r="A1724" s="5" t="inlineStr">
        <is>
          <t>01a152b9-89cc-75a8-b296-6d8d59782669</t>
        </is>
      </c>
      <c r="C1724" s="5" t="inlineStr">
        <is>
          <t>01a152b9-6e67-75da-8adb-b03e5d07fd21</t>
        </is>
      </c>
      <c r="D1724" s="4" t="n">
        <v>46314.24599051268</v>
      </c>
      <c r="E1724" s="4" t="n">
        <v>46314.2459905128</v>
      </c>
      <c r="F1724" t="b">
        <v>1</v>
      </c>
      <c r="G1724" t="n">
        <v/>
      </c>
      <c r="H1724" t="inlineStr">
        <is>
          <t>HVY</t>
        </is>
      </c>
      <c r="I1724" t="inlineStr">
        <is>
          <t>Heavy Minerals Ltd</t>
        </is>
      </c>
      <c r="J1724" t="inlineStr">
        <is>
          <t>AUD</t>
        </is>
      </c>
      <c r="K1724" s="5" t="inlineStr">
        <is>
          <t>01a152b9-6ee2-7577-bddd-382bc3853fde</t>
        </is>
      </c>
      <c r="M1724" t="inlineStr">
        <is>
          <t>UNKNOWN</t>
        </is>
      </c>
      <c r="N1724" t="inlineStr">
        <is>
          <t>DEFAULT</t>
        </is>
      </c>
      <c r="Q1724" t="n">
        <v>0</v>
      </c>
      <c r="R1724" t="inlineStr">
        <is>
          <t>AUD</t>
        </is>
      </c>
      <c r="S1724" t="n">
        <v>0</v>
      </c>
      <c r="T1724" t="inlineStr">
        <is>
          <t>AUD</t>
        </is>
      </c>
      <c r="U1724" t="n">
        <v>0</v>
      </c>
    </row>
    <row r="1725">
      <c r="A1725" s="5" t="inlineStr">
        <is>
          <t>01a152b9-89cf-770f-b0f6-a65bcf1106e4</t>
        </is>
      </c>
      <c r="C1725" s="5" t="inlineStr">
        <is>
          <t>01a152b9-6e67-75da-8adb-b03e5d07fd21</t>
        </is>
      </c>
      <c r="D1725" s="4" t="n">
        <v>46314.24599055103</v>
      </c>
      <c r="E1725" s="4" t="n">
        <v>46314.24599055117</v>
      </c>
      <c r="F1725" t="b">
        <v>1</v>
      </c>
      <c r="G1725" t="n">
        <v/>
      </c>
      <c r="H1725" t="inlineStr">
        <is>
          <t>SNG</t>
        </is>
      </c>
      <c r="I1725" t="inlineStr">
        <is>
          <t>Siren Gold Ltd</t>
        </is>
      </c>
      <c r="J1725" t="inlineStr">
        <is>
          <t>AUD</t>
        </is>
      </c>
      <c r="K1725" s="5" t="inlineStr">
        <is>
          <t>01a152b9-6ee2-7577-bddd-382bc3853fde</t>
        </is>
      </c>
      <c r="M1725" t="inlineStr">
        <is>
          <t>UNKNOWN</t>
        </is>
      </c>
      <c r="N1725" t="inlineStr">
        <is>
          <t>DEFAULT</t>
        </is>
      </c>
      <c r="Q1725" t="n">
        <v>0</v>
      </c>
      <c r="R1725" t="inlineStr">
        <is>
          <t>AUD</t>
        </is>
      </c>
      <c r="S1725" t="n">
        <v>0</v>
      </c>
      <c r="T1725" t="inlineStr">
        <is>
          <t>AUD</t>
        </is>
      </c>
      <c r="U1725" t="n">
        <v>0</v>
      </c>
    </row>
    <row r="1726">
      <c r="A1726" s="5" t="inlineStr">
        <is>
          <t>01a152b9-89d3-71a9-b4e4-6d0c246aaa27</t>
        </is>
      </c>
      <c r="C1726" s="5" t="inlineStr">
        <is>
          <t>01a152b9-6e67-75da-8adb-b03e5d07fd21</t>
        </is>
      </c>
      <c r="D1726" s="4" t="n">
        <v>46314.24599059904</v>
      </c>
      <c r="E1726" s="4" t="n">
        <v>46314.24599059919</v>
      </c>
      <c r="F1726" t="b">
        <v>1</v>
      </c>
      <c r="G1726" t="n">
        <v/>
      </c>
      <c r="H1726" t="inlineStr">
        <is>
          <t>ABX</t>
        </is>
      </c>
      <c r="I1726" t="inlineStr">
        <is>
          <t>ABX Group Ltd</t>
        </is>
      </c>
      <c r="J1726" t="inlineStr">
        <is>
          <t>AUD</t>
        </is>
      </c>
      <c r="K1726" s="5" t="inlineStr">
        <is>
          <t>01a152b9-6ee2-7577-bddd-382bc3853fde</t>
        </is>
      </c>
      <c r="M1726" t="inlineStr">
        <is>
          <t>UNKNOWN</t>
        </is>
      </c>
      <c r="N1726" t="inlineStr">
        <is>
          <t>DEFAULT</t>
        </is>
      </c>
      <c r="Q1726" t="n">
        <v>0</v>
      </c>
      <c r="R1726" t="inlineStr">
        <is>
          <t>AUD</t>
        </is>
      </c>
      <c r="S1726" t="n">
        <v>0</v>
      </c>
      <c r="T1726" t="inlineStr">
        <is>
          <t>AUD</t>
        </is>
      </c>
      <c r="U1726" t="n">
        <v>0</v>
      </c>
    </row>
    <row r="1727">
      <c r="A1727" s="5" t="inlineStr">
        <is>
          <t>01a152b9-89d8-72b1-a2f3-de589b38b47a</t>
        </is>
      </c>
      <c r="C1727" s="5" t="inlineStr">
        <is>
          <t>01a152b9-6e67-75da-8adb-b03e5d07fd21</t>
        </is>
      </c>
      <c r="D1727" s="4" t="n">
        <v>46314.24599065096</v>
      </c>
      <c r="E1727" s="4" t="n">
        <v>46314.24599065108</v>
      </c>
      <c r="F1727" t="b">
        <v>1</v>
      </c>
      <c r="G1727" t="n">
        <v/>
      </c>
      <c r="H1727" t="inlineStr">
        <is>
          <t>NME</t>
        </is>
      </c>
      <c r="I1727" t="inlineStr">
        <is>
          <t>NEX Metals Exploration Ltd</t>
        </is>
      </c>
      <c r="J1727" t="inlineStr">
        <is>
          <t>AUD</t>
        </is>
      </c>
      <c r="K1727" s="5" t="inlineStr">
        <is>
          <t>01a152b9-6ee2-7577-bddd-382bc3853fde</t>
        </is>
      </c>
      <c r="M1727" t="inlineStr">
        <is>
          <t>UNKNOWN</t>
        </is>
      </c>
      <c r="N1727" t="inlineStr">
        <is>
          <t>DEFAULT</t>
        </is>
      </c>
      <c r="Q1727" t="n">
        <v>0</v>
      </c>
      <c r="R1727" t="inlineStr">
        <is>
          <t>AUD</t>
        </is>
      </c>
      <c r="S1727" t="n">
        <v>0</v>
      </c>
      <c r="T1727" t="inlineStr">
        <is>
          <t>AUD</t>
        </is>
      </c>
      <c r="U1727" t="n">
        <v>0</v>
      </c>
    </row>
    <row r="1728">
      <c r="A1728" s="5" t="inlineStr">
        <is>
          <t>01a152b9-89dc-772e-b23e-b3132ba92402</t>
        </is>
      </c>
      <c r="C1728" s="5" t="inlineStr">
        <is>
          <t>01a152b9-6e67-75da-8adb-b03e5d07fd21</t>
        </is>
      </c>
      <c r="D1728" s="4" t="n">
        <v>46314.24599069812</v>
      </c>
      <c r="E1728" s="4" t="n">
        <v>46314.24599069825</v>
      </c>
      <c r="F1728" t="b">
        <v>1</v>
      </c>
      <c r="G1728" t="n">
        <v/>
      </c>
      <c r="H1728" t="inlineStr">
        <is>
          <t>TKM</t>
        </is>
      </c>
      <c r="I1728" t="inlineStr">
        <is>
          <t>Trek Metals Ltd</t>
        </is>
      </c>
      <c r="J1728" t="inlineStr">
        <is>
          <t>AUD</t>
        </is>
      </c>
      <c r="K1728" s="5" t="inlineStr">
        <is>
          <t>01a152b9-6ee2-7577-bddd-382bc3853fde</t>
        </is>
      </c>
      <c r="M1728" t="inlineStr">
        <is>
          <t>UNKNOWN</t>
        </is>
      </c>
      <c r="N1728" t="inlineStr">
        <is>
          <t>DEFAULT</t>
        </is>
      </c>
      <c r="Q1728" t="n">
        <v>0</v>
      </c>
      <c r="R1728" t="inlineStr">
        <is>
          <t>AUD</t>
        </is>
      </c>
      <c r="S1728" t="n">
        <v>0</v>
      </c>
      <c r="T1728" t="inlineStr">
        <is>
          <t>AUD</t>
        </is>
      </c>
      <c r="U1728" t="n">
        <v>0</v>
      </c>
    </row>
    <row r="1729">
      <c r="A1729" s="5" t="inlineStr">
        <is>
          <t>01a152b9-89df-778a-9bc8-5c9360f62edf</t>
        </is>
      </c>
      <c r="C1729" s="5" t="inlineStr">
        <is>
          <t>01a152b9-6e67-75da-8adb-b03e5d07fd21</t>
        </is>
      </c>
      <c r="D1729" s="4" t="n">
        <v>46314.24599073854</v>
      </c>
      <c r="E1729" s="4" t="n">
        <v>46314.24599073866</v>
      </c>
      <c r="F1729" t="b">
        <v>1</v>
      </c>
      <c r="G1729" t="n">
        <v/>
      </c>
      <c r="H1729" t="inlineStr">
        <is>
          <t>VKA</t>
        </is>
      </c>
      <c r="I1729" t="inlineStr">
        <is>
          <t>Viking Mines Ltd</t>
        </is>
      </c>
      <c r="J1729" t="inlineStr">
        <is>
          <t>AUD</t>
        </is>
      </c>
      <c r="K1729" s="5" t="inlineStr">
        <is>
          <t>01a152b9-6ee2-7577-bddd-382bc3853fde</t>
        </is>
      </c>
      <c r="M1729" t="inlineStr">
        <is>
          <t>UNKNOWN</t>
        </is>
      </c>
      <c r="N1729" t="inlineStr">
        <is>
          <t>DEFAULT</t>
        </is>
      </c>
      <c r="Q1729" t="n">
        <v>0</v>
      </c>
      <c r="R1729" t="inlineStr">
        <is>
          <t>AUD</t>
        </is>
      </c>
      <c r="S1729" t="n">
        <v>0</v>
      </c>
      <c r="T1729" t="inlineStr">
        <is>
          <t>AUD</t>
        </is>
      </c>
      <c r="U1729" t="n">
        <v>0</v>
      </c>
    </row>
    <row r="1730">
      <c r="A1730" s="5" t="inlineStr">
        <is>
          <t>01a152b9-89e2-77c7-af85-ddceb70b5f06</t>
        </is>
      </c>
      <c r="C1730" s="5" t="inlineStr">
        <is>
          <t>01a152b9-6e67-75da-8adb-b03e5d07fd21</t>
        </is>
      </c>
      <c r="D1730" s="4" t="n">
        <v>46314.24599077516</v>
      </c>
      <c r="E1730" s="4" t="n">
        <v>46314.24599077528</v>
      </c>
      <c r="F1730" t="b">
        <v>1</v>
      </c>
      <c r="G1730" t="n">
        <v/>
      </c>
      <c r="H1730" t="inlineStr">
        <is>
          <t>AKG</t>
        </is>
      </c>
      <c r="I1730" t="inlineStr">
        <is>
          <t>Academies Australasia Group Ltd</t>
        </is>
      </c>
      <c r="J1730" t="inlineStr">
        <is>
          <t>AUD</t>
        </is>
      </c>
      <c r="K1730" s="5" t="inlineStr">
        <is>
          <t>01a152b9-6ee2-7577-bddd-382bc3853fde</t>
        </is>
      </c>
      <c r="M1730" t="inlineStr">
        <is>
          <t>UNKNOWN</t>
        </is>
      </c>
      <c r="N1730" t="inlineStr">
        <is>
          <t>DEFAULT</t>
        </is>
      </c>
      <c r="Q1730" t="n">
        <v>0</v>
      </c>
      <c r="R1730" t="inlineStr">
        <is>
          <t>AUD</t>
        </is>
      </c>
      <c r="S1730" t="n">
        <v>0</v>
      </c>
      <c r="T1730" t="inlineStr">
        <is>
          <t>AUD</t>
        </is>
      </c>
      <c r="U1730" t="n">
        <v>0</v>
      </c>
    </row>
    <row r="1731">
      <c r="A1731" s="5" t="inlineStr">
        <is>
          <t>01a152b9-89e6-7521-9552-997c96688565</t>
        </is>
      </c>
      <c r="C1731" s="5" t="inlineStr">
        <is>
          <t>01a152b9-6e67-75da-8adb-b03e5d07fd21</t>
        </is>
      </c>
      <c r="D1731" s="4" t="n">
        <v>46314.24599082171</v>
      </c>
      <c r="E1731" s="4" t="n">
        <v>46314.24599082184</v>
      </c>
      <c r="F1731" t="b">
        <v>1</v>
      </c>
      <c r="G1731" t="n">
        <v/>
      </c>
      <c r="H1731" t="inlineStr">
        <is>
          <t>CMG</t>
        </is>
      </c>
      <c r="I1731" t="inlineStr">
        <is>
          <t>Critical Minerals Group Ltd</t>
        </is>
      </c>
      <c r="J1731" t="inlineStr">
        <is>
          <t>AUD</t>
        </is>
      </c>
      <c r="K1731" s="5" t="inlineStr">
        <is>
          <t>01a152b9-6ee2-7577-bddd-382bc3853fde</t>
        </is>
      </c>
      <c r="M1731" t="inlineStr">
        <is>
          <t>UNKNOWN</t>
        </is>
      </c>
      <c r="N1731" t="inlineStr">
        <is>
          <t>DEFAULT</t>
        </is>
      </c>
      <c r="Q1731" t="n">
        <v>0</v>
      </c>
      <c r="R1731" t="inlineStr">
        <is>
          <t>AUD</t>
        </is>
      </c>
      <c r="S1731" t="n">
        <v>0</v>
      </c>
      <c r="T1731" t="inlineStr">
        <is>
          <t>AUD</t>
        </is>
      </c>
      <c r="U1731" t="n">
        <v>0</v>
      </c>
    </row>
    <row r="1732">
      <c r="A1732" s="5" t="inlineStr">
        <is>
          <t>01a152b9-89ea-7346-affd-3518c4c1ef97</t>
        </is>
      </c>
      <c r="C1732" s="5" t="inlineStr">
        <is>
          <t>01a152b9-6e67-75da-8adb-b03e5d07fd21</t>
        </is>
      </c>
      <c r="D1732" s="4" t="n">
        <v>46314.24599086494</v>
      </c>
      <c r="E1732" s="4" t="n">
        <v>46314.24599086506</v>
      </c>
      <c r="F1732" t="b">
        <v>1</v>
      </c>
      <c r="G1732" t="n">
        <v/>
      </c>
      <c r="H1732" t="inlineStr">
        <is>
          <t>1AI</t>
        </is>
      </c>
      <c r="I1732" t="inlineStr">
        <is>
          <t>Algorae Pharmaceuticals Ltd</t>
        </is>
      </c>
      <c r="J1732" t="inlineStr">
        <is>
          <t>AUD</t>
        </is>
      </c>
      <c r="K1732" s="5" t="inlineStr">
        <is>
          <t>01a152b9-6ee2-7577-bddd-382bc3853fde</t>
        </is>
      </c>
      <c r="M1732" t="inlineStr">
        <is>
          <t>UNKNOWN</t>
        </is>
      </c>
      <c r="N1732" t="inlineStr">
        <is>
          <t>DEFAULT</t>
        </is>
      </c>
      <c r="Q1732" t="n">
        <v>0</v>
      </c>
      <c r="R1732" t="inlineStr">
        <is>
          <t>AUD</t>
        </is>
      </c>
      <c r="S1732" t="n">
        <v>0</v>
      </c>
      <c r="T1732" t="inlineStr">
        <is>
          <t>AUD</t>
        </is>
      </c>
      <c r="U1732" t="n">
        <v>0</v>
      </c>
    </row>
    <row r="1733">
      <c r="A1733" s="5" t="inlineStr">
        <is>
          <t>01a152b9-89ee-77b4-8275-a2d11eab42cb</t>
        </is>
      </c>
      <c r="C1733" s="5" t="inlineStr">
        <is>
          <t>01a152b9-6e67-75da-8adb-b03e5d07fd21</t>
        </is>
      </c>
      <c r="D1733" s="4" t="n">
        <v>46314.24599090651</v>
      </c>
      <c r="E1733" s="4" t="n">
        <v>46314.24599090661</v>
      </c>
      <c r="F1733" t="b">
        <v>1</v>
      </c>
      <c r="G1733" t="n">
        <v/>
      </c>
      <c r="H1733" t="inlineStr">
        <is>
          <t>KOB</t>
        </is>
      </c>
      <c r="I1733" t="inlineStr">
        <is>
          <t>Koba Resources Ltd</t>
        </is>
      </c>
      <c r="J1733" t="inlineStr">
        <is>
          <t>AUD</t>
        </is>
      </c>
      <c r="K1733" s="5" t="inlineStr">
        <is>
          <t>01a152b9-6ee2-7577-bddd-382bc3853fde</t>
        </is>
      </c>
      <c r="M1733" t="inlineStr">
        <is>
          <t>UNKNOWN</t>
        </is>
      </c>
      <c r="N1733" t="inlineStr">
        <is>
          <t>DEFAULT</t>
        </is>
      </c>
      <c r="Q1733" t="n">
        <v>0</v>
      </c>
      <c r="R1733" t="inlineStr">
        <is>
          <t>AUD</t>
        </is>
      </c>
      <c r="S1733" t="n">
        <v>0</v>
      </c>
      <c r="T1733" t="inlineStr">
        <is>
          <t>AUD</t>
        </is>
      </c>
      <c r="U1733" t="n">
        <v>0</v>
      </c>
    </row>
    <row r="1734">
      <c r="A1734" s="5" t="inlineStr">
        <is>
          <t>01a152b9-89f1-71c8-918e-ef0066acd059</t>
        </is>
      </c>
      <c r="C1734" s="5" t="inlineStr">
        <is>
          <t>01a152b9-6e67-75da-8adb-b03e5d07fd21</t>
        </is>
      </c>
      <c r="D1734" s="4" t="n">
        <v>46314.24599094423</v>
      </c>
      <c r="E1734" s="4" t="n">
        <v>46314.24599094434</v>
      </c>
      <c r="F1734" t="b">
        <v>1</v>
      </c>
      <c r="G1734" t="n">
        <v/>
      </c>
      <c r="H1734" t="inlineStr">
        <is>
          <t>OLH</t>
        </is>
      </c>
      <c r="I1734" t="inlineStr">
        <is>
          <t>Oldfields Holdings Ltd</t>
        </is>
      </c>
      <c r="J1734" t="inlineStr">
        <is>
          <t>AUD</t>
        </is>
      </c>
      <c r="K1734" s="5" t="inlineStr">
        <is>
          <t>01a152b9-6ee2-7577-bddd-382bc3853fde</t>
        </is>
      </c>
      <c r="M1734" t="inlineStr">
        <is>
          <t>UNKNOWN</t>
        </is>
      </c>
      <c r="N1734" t="inlineStr">
        <is>
          <t>DEFAULT</t>
        </is>
      </c>
      <c r="Q1734" t="n">
        <v>0</v>
      </c>
      <c r="R1734" t="inlineStr">
        <is>
          <t>AUD</t>
        </is>
      </c>
      <c r="S1734" t="n">
        <v>0</v>
      </c>
      <c r="T1734" t="inlineStr">
        <is>
          <t>AUD</t>
        </is>
      </c>
      <c r="U1734" t="n">
        <v>0</v>
      </c>
    </row>
    <row r="1735">
      <c r="A1735" s="5" t="inlineStr">
        <is>
          <t>01a152b9-89f5-73ba-9889-a11346458b2c</t>
        </is>
      </c>
      <c r="C1735" s="5" t="inlineStr">
        <is>
          <t>01a152b9-6e67-75da-8adb-b03e5d07fd21</t>
        </is>
      </c>
      <c r="D1735" s="4" t="n">
        <v>46314.24599098694</v>
      </c>
      <c r="E1735" s="4" t="n">
        <v>46314.24599098705</v>
      </c>
      <c r="F1735" t="b">
        <v>1</v>
      </c>
      <c r="G1735" t="n">
        <v/>
      </c>
      <c r="H1735" t="inlineStr">
        <is>
          <t>AXP</t>
        </is>
      </c>
      <c r="I1735" t="inlineStr">
        <is>
          <t>AXP Energy Ltd</t>
        </is>
      </c>
      <c r="J1735" t="inlineStr">
        <is>
          <t>AUD</t>
        </is>
      </c>
      <c r="K1735" s="5" t="inlineStr">
        <is>
          <t>01a152b9-6ee2-7577-bddd-382bc3853fde</t>
        </is>
      </c>
      <c r="M1735" t="inlineStr">
        <is>
          <t>UNKNOWN</t>
        </is>
      </c>
      <c r="N1735" t="inlineStr">
        <is>
          <t>DEFAULT</t>
        </is>
      </c>
      <c r="Q1735" t="n">
        <v>0</v>
      </c>
      <c r="R1735" t="inlineStr">
        <is>
          <t>AUD</t>
        </is>
      </c>
      <c r="S1735" t="n">
        <v>0</v>
      </c>
      <c r="T1735" t="inlineStr">
        <is>
          <t>AUD</t>
        </is>
      </c>
      <c r="U1735" t="n">
        <v>0</v>
      </c>
    </row>
    <row r="1736">
      <c r="A1736" s="5" t="inlineStr">
        <is>
          <t>01a152b9-89f8-70d5-ab25-eb6cda499b5f</t>
        </is>
      </c>
      <c r="C1736" s="5" t="inlineStr">
        <is>
          <t>01a152b9-6e67-75da-8adb-b03e5d07fd21</t>
        </is>
      </c>
      <c r="D1736" s="4" t="n">
        <v>46314.24599102726</v>
      </c>
      <c r="E1736" s="4" t="n">
        <v>46314.24599102736</v>
      </c>
      <c r="F1736" t="b">
        <v>1</v>
      </c>
      <c r="G1736" t="n">
        <v/>
      </c>
      <c r="H1736" t="inlineStr">
        <is>
          <t>NET</t>
        </is>
      </c>
      <c r="I1736" t="inlineStr">
        <is>
          <t>Netlinkz Ltd</t>
        </is>
      </c>
      <c r="J1736" t="inlineStr">
        <is>
          <t>AUD</t>
        </is>
      </c>
      <c r="K1736" s="5" t="inlineStr">
        <is>
          <t>01a152b9-6ee2-7577-bddd-382bc3853fde</t>
        </is>
      </c>
      <c r="M1736" t="inlineStr">
        <is>
          <t>UNKNOWN</t>
        </is>
      </c>
      <c r="N1736" t="inlineStr">
        <is>
          <t>DEFAULT</t>
        </is>
      </c>
      <c r="Q1736" t="n">
        <v>0</v>
      </c>
      <c r="R1736" t="inlineStr">
        <is>
          <t>AUD</t>
        </is>
      </c>
      <c r="S1736" t="n">
        <v>0</v>
      </c>
      <c r="T1736" t="inlineStr">
        <is>
          <t>AUD</t>
        </is>
      </c>
      <c r="U1736" t="n">
        <v>0</v>
      </c>
    </row>
    <row r="1737">
      <c r="A1737" s="5" t="inlineStr">
        <is>
          <t>01a152b9-89fc-70e9-af8c-cccb9756da02</t>
        </is>
      </c>
      <c r="C1737" s="5" t="inlineStr">
        <is>
          <t>01a152b9-6e67-75da-8adb-b03e5d07fd21</t>
        </is>
      </c>
      <c r="D1737" s="4" t="n">
        <v>46314.24599106819</v>
      </c>
      <c r="E1737" s="4" t="n">
        <v>46314.2459910683</v>
      </c>
      <c r="F1737" t="b">
        <v>1</v>
      </c>
      <c r="G1737" t="n">
        <v/>
      </c>
      <c r="H1737" t="inlineStr">
        <is>
          <t>ATS</t>
        </is>
      </c>
      <c r="I1737" t="inlineStr">
        <is>
          <t>Australis Oil &amp; Gas Ltd</t>
        </is>
      </c>
      <c r="J1737" t="inlineStr">
        <is>
          <t>AUD</t>
        </is>
      </c>
      <c r="K1737" s="5" t="inlineStr">
        <is>
          <t>01a152b9-6ee2-7577-bddd-382bc3853fde</t>
        </is>
      </c>
      <c r="M1737" t="inlineStr">
        <is>
          <t>UNKNOWN</t>
        </is>
      </c>
      <c r="N1737" t="inlineStr">
        <is>
          <t>DEFAULT</t>
        </is>
      </c>
      <c r="Q1737" t="n">
        <v>0</v>
      </c>
      <c r="R1737" t="inlineStr">
        <is>
          <t>AUD</t>
        </is>
      </c>
      <c r="S1737" t="n">
        <v>0</v>
      </c>
      <c r="T1737" t="inlineStr">
        <is>
          <t>AUD</t>
        </is>
      </c>
      <c r="U1737" t="n">
        <v>0</v>
      </c>
    </row>
    <row r="1738">
      <c r="A1738" s="5" t="inlineStr">
        <is>
          <t>01a152b9-89ff-76f7-8d77-820c1a67e9df</t>
        </is>
      </c>
      <c r="C1738" s="5" t="inlineStr">
        <is>
          <t>01a152b9-6e67-75da-8adb-b03e5d07fd21</t>
        </is>
      </c>
      <c r="D1738" s="4" t="n">
        <v>46314.24599110815</v>
      </c>
      <c r="E1738" s="4" t="n">
        <v>46314.24599110824</v>
      </c>
      <c r="F1738" t="b">
        <v>1</v>
      </c>
      <c r="G1738" t="n">
        <v/>
      </c>
      <c r="H1738" t="inlineStr">
        <is>
          <t>SHP</t>
        </is>
      </c>
      <c r="I1738" t="inlineStr">
        <is>
          <t>South HARZ Potash Ltd</t>
        </is>
      </c>
      <c r="J1738" t="inlineStr">
        <is>
          <t>AUD</t>
        </is>
      </c>
      <c r="K1738" s="5" t="inlineStr">
        <is>
          <t>01a152b9-6ee2-7577-bddd-382bc3853fde</t>
        </is>
      </c>
      <c r="M1738" t="inlineStr">
        <is>
          <t>UNKNOWN</t>
        </is>
      </c>
      <c r="N1738" t="inlineStr">
        <is>
          <t>DEFAULT</t>
        </is>
      </c>
      <c r="Q1738" t="n">
        <v>0</v>
      </c>
      <c r="R1738" t="inlineStr">
        <is>
          <t>AUD</t>
        </is>
      </c>
      <c r="S1738" t="n">
        <v>0</v>
      </c>
      <c r="T1738" t="inlineStr">
        <is>
          <t>AUD</t>
        </is>
      </c>
      <c r="U1738" t="n">
        <v>0</v>
      </c>
    </row>
    <row r="1739">
      <c r="A1739" s="5" t="inlineStr">
        <is>
          <t>01a152b9-8a03-7180-9f7f-b2545142d00c</t>
        </is>
      </c>
      <c r="C1739" s="5" t="inlineStr">
        <is>
          <t>01a152b9-6e67-75da-8adb-b03e5d07fd21</t>
        </is>
      </c>
      <c r="D1739" s="4" t="n">
        <v>46314.24599114862</v>
      </c>
      <c r="E1739" s="4" t="n">
        <v>46314.24599114872</v>
      </c>
      <c r="F1739" t="b">
        <v>1</v>
      </c>
      <c r="G1739" t="n">
        <v/>
      </c>
      <c r="H1739" t="inlineStr">
        <is>
          <t>GFLGA</t>
        </is>
      </c>
      <c r="I1739" t="inlineStr">
        <is>
          <t>Global Masters Fund Ltd</t>
        </is>
      </c>
      <c r="J1739" t="inlineStr">
        <is>
          <t>AUD</t>
        </is>
      </c>
      <c r="K1739" s="5" t="inlineStr">
        <is>
          <t>01a152b9-6ee2-7577-bddd-382bc3853fde</t>
        </is>
      </c>
      <c r="M1739" t="inlineStr">
        <is>
          <t>UNKNOWN</t>
        </is>
      </c>
      <c r="N1739" t="inlineStr">
        <is>
          <t>DEFAULT</t>
        </is>
      </c>
      <c r="Q1739" t="n">
        <v>0</v>
      </c>
      <c r="R1739" t="inlineStr">
        <is>
          <t>AUD</t>
        </is>
      </c>
      <c r="S1739" t="n">
        <v>0</v>
      </c>
      <c r="T1739" t="inlineStr">
        <is>
          <t>AUD</t>
        </is>
      </c>
      <c r="U1739" t="n">
        <v>0</v>
      </c>
    </row>
    <row r="1740">
      <c r="A1740" s="5" t="inlineStr">
        <is>
          <t>01a152b9-8a06-775c-a8eb-47bd1c5e18de</t>
        </is>
      </c>
      <c r="C1740" s="5" t="inlineStr">
        <is>
          <t>01a152b9-6e67-75da-8adb-b03e5d07fd21</t>
        </is>
      </c>
      <c r="D1740" s="4" t="n">
        <v>46314.24599118875</v>
      </c>
      <c r="E1740" s="4" t="n">
        <v>46314.24599118885</v>
      </c>
      <c r="F1740" t="b">
        <v>1</v>
      </c>
      <c r="G1740" t="n">
        <v/>
      </c>
      <c r="H1740" t="inlineStr">
        <is>
          <t>ROYL</t>
        </is>
      </c>
      <c r="I1740" t="inlineStr">
        <is>
          <t>Betashares Global Royalties ETF</t>
        </is>
      </c>
      <c r="J1740" t="inlineStr">
        <is>
          <t>AUD</t>
        </is>
      </c>
      <c r="K1740" s="5" t="inlineStr">
        <is>
          <t>01a152b9-6ee2-7577-bddd-382bc3853fde</t>
        </is>
      </c>
      <c r="M1740" t="inlineStr">
        <is>
          <t>UNKNOWN</t>
        </is>
      </c>
      <c r="N1740" t="inlineStr">
        <is>
          <t>DEFAULT</t>
        </is>
      </c>
      <c r="Q1740" t="n">
        <v>0</v>
      </c>
      <c r="R1740" t="inlineStr">
        <is>
          <t>AUD</t>
        </is>
      </c>
      <c r="S1740" t="n">
        <v>0</v>
      </c>
      <c r="T1740" t="inlineStr">
        <is>
          <t>AUD</t>
        </is>
      </c>
      <c r="U1740" t="n">
        <v>0</v>
      </c>
    </row>
    <row r="1741">
      <c r="A1741" s="5" t="inlineStr">
        <is>
          <t>01a152b9-8a0a-764a-b607-0672f58850ab</t>
        </is>
      </c>
      <c r="C1741" s="5" t="inlineStr">
        <is>
          <t>01a152b9-6e67-75da-8adb-b03e5d07fd21</t>
        </is>
      </c>
      <c r="D1741" s="4" t="n">
        <v>46314.24599122981</v>
      </c>
      <c r="E1741" s="4" t="n">
        <v>46314.24599122992</v>
      </c>
      <c r="F1741" t="b">
        <v>1</v>
      </c>
      <c r="G1741" t="n">
        <v/>
      </c>
      <c r="H1741" t="inlineStr">
        <is>
          <t>ORD</t>
        </is>
      </c>
      <c r="I1741" t="inlineStr">
        <is>
          <t>Ordell Minerals Ltd</t>
        </is>
      </c>
      <c r="J1741" t="inlineStr">
        <is>
          <t>AUD</t>
        </is>
      </c>
      <c r="K1741" s="5" t="inlineStr">
        <is>
          <t>01a152b9-6ee2-7577-bddd-382bc3853fde</t>
        </is>
      </c>
      <c r="M1741" t="inlineStr">
        <is>
          <t>UNKNOWN</t>
        </is>
      </c>
      <c r="N1741" t="inlineStr">
        <is>
          <t>DEFAULT</t>
        </is>
      </c>
      <c r="Q1741" t="n">
        <v>0</v>
      </c>
      <c r="R1741" t="inlineStr">
        <is>
          <t>AUD</t>
        </is>
      </c>
      <c r="S1741" t="n">
        <v>0</v>
      </c>
      <c r="T1741" t="inlineStr">
        <is>
          <t>AUD</t>
        </is>
      </c>
      <c r="U1741" t="n">
        <v>0</v>
      </c>
    </row>
    <row r="1742">
      <c r="A1742" s="5" t="inlineStr">
        <is>
          <t>01a152b9-8a0d-71fb-8ea6-dc8bb3bc9648</t>
        </is>
      </c>
      <c r="C1742" s="5" t="inlineStr">
        <is>
          <t>01a152b9-6e67-75da-8adb-b03e5d07fd21</t>
        </is>
      </c>
      <c r="D1742" s="4" t="n">
        <v>46314.24599126741</v>
      </c>
      <c r="E1742" s="4" t="n">
        <v>46314.24599126753</v>
      </c>
      <c r="F1742" t="b">
        <v>1</v>
      </c>
      <c r="G1742" t="n">
        <v/>
      </c>
      <c r="H1742" t="inlineStr">
        <is>
          <t>QYLD</t>
        </is>
      </c>
      <c r="I1742" t="inlineStr">
        <is>
          <t>Global X Nasdaq 100 Covered Call ETF</t>
        </is>
      </c>
      <c r="J1742" t="inlineStr">
        <is>
          <t>AUD</t>
        </is>
      </c>
      <c r="K1742" s="5" t="inlineStr">
        <is>
          <t>01a152b9-6ee2-7577-bddd-382bc3853fde</t>
        </is>
      </c>
      <c r="M1742" t="inlineStr">
        <is>
          <t>UNKNOWN</t>
        </is>
      </c>
      <c r="N1742" t="inlineStr">
        <is>
          <t>DEFAULT</t>
        </is>
      </c>
      <c r="Q1742" t="n">
        <v>0</v>
      </c>
      <c r="R1742" t="inlineStr">
        <is>
          <t>AUD</t>
        </is>
      </c>
      <c r="S1742" t="n">
        <v>0</v>
      </c>
      <c r="T1742" t="inlineStr">
        <is>
          <t>AUD</t>
        </is>
      </c>
      <c r="U1742" t="n">
        <v>0</v>
      </c>
    </row>
    <row r="1743">
      <c r="A1743" s="5" t="inlineStr">
        <is>
          <t>01a152b9-8a11-7078-95a8-1c450ee07848</t>
        </is>
      </c>
      <c r="C1743" s="5" t="inlineStr">
        <is>
          <t>01a152b9-6e67-75da-8adb-b03e5d07fd21</t>
        </is>
      </c>
      <c r="D1743" s="4" t="n">
        <v>46314.2459913096</v>
      </c>
      <c r="E1743" s="4" t="n">
        <v>46314.2459913097</v>
      </c>
      <c r="F1743" t="b">
        <v>1</v>
      </c>
      <c r="G1743" t="n">
        <v/>
      </c>
      <c r="H1743" t="inlineStr">
        <is>
          <t>MXO</t>
        </is>
      </c>
      <c r="I1743" t="inlineStr">
        <is>
          <t>Motio Ltd</t>
        </is>
      </c>
      <c r="J1743" t="inlineStr">
        <is>
          <t>AUD</t>
        </is>
      </c>
      <c r="K1743" s="5" t="inlineStr">
        <is>
          <t>01a152b9-6ee2-7577-bddd-382bc3853fde</t>
        </is>
      </c>
      <c r="M1743" t="inlineStr">
        <is>
          <t>UNKNOWN</t>
        </is>
      </c>
      <c r="N1743" t="inlineStr">
        <is>
          <t>DEFAULT</t>
        </is>
      </c>
      <c r="Q1743" t="n">
        <v>0</v>
      </c>
      <c r="R1743" t="inlineStr">
        <is>
          <t>AUD</t>
        </is>
      </c>
      <c r="S1743" t="n">
        <v>0</v>
      </c>
      <c r="T1743" t="inlineStr">
        <is>
          <t>AUD</t>
        </is>
      </c>
      <c r="U1743" t="n">
        <v>0</v>
      </c>
    </row>
    <row r="1744">
      <c r="A1744" s="5" t="inlineStr">
        <is>
          <t>01a152b9-8a14-750e-892c-f680b88d04c0</t>
        </is>
      </c>
      <c r="C1744" s="5" t="inlineStr">
        <is>
          <t>01a152b9-6e67-75da-8adb-b03e5d07fd21</t>
        </is>
      </c>
      <c r="D1744" s="4" t="n">
        <v>46314.24599134643</v>
      </c>
      <c r="E1744" s="4" t="n">
        <v>46314.24599134651</v>
      </c>
      <c r="F1744" t="b">
        <v>1</v>
      </c>
      <c r="G1744" t="n">
        <v/>
      </c>
      <c r="H1744" t="inlineStr">
        <is>
          <t>MNC</t>
        </is>
      </c>
      <c r="I1744" t="inlineStr">
        <is>
          <t>Merino &amp; Co. Ltd</t>
        </is>
      </c>
      <c r="J1744" t="inlineStr">
        <is>
          <t>AUD</t>
        </is>
      </c>
      <c r="K1744" s="5" t="inlineStr">
        <is>
          <t>01a152b9-6ee2-7577-bddd-382bc3853fde</t>
        </is>
      </c>
      <c r="M1744" t="inlineStr">
        <is>
          <t>UNKNOWN</t>
        </is>
      </c>
      <c r="N1744" t="inlineStr">
        <is>
          <t>DEFAULT</t>
        </is>
      </c>
      <c r="Q1744" t="n">
        <v>0</v>
      </c>
      <c r="R1744" t="inlineStr">
        <is>
          <t>AUD</t>
        </is>
      </c>
      <c r="S1744" t="n">
        <v>0</v>
      </c>
      <c r="T1744" t="inlineStr">
        <is>
          <t>AUD</t>
        </is>
      </c>
      <c r="U1744" t="n">
        <v>0</v>
      </c>
    </row>
    <row r="1745">
      <c r="A1745" s="5" t="inlineStr">
        <is>
          <t>01a152b9-8a17-719b-bb8b-df5e265ffffb</t>
        </is>
      </c>
      <c r="C1745" s="5" t="inlineStr">
        <is>
          <t>01a152b9-6e67-75da-8adb-b03e5d07fd21</t>
        </is>
      </c>
      <c r="D1745" s="4" t="n">
        <v>46314.24599138305</v>
      </c>
      <c r="E1745" s="4" t="n">
        <v>46314.24599138313</v>
      </c>
      <c r="F1745" t="b">
        <v>1</v>
      </c>
      <c r="G1745" t="n">
        <v/>
      </c>
      <c r="H1745" t="inlineStr">
        <is>
          <t>ADR</t>
        </is>
      </c>
      <c r="I1745" t="inlineStr">
        <is>
          <t>Adherium Ltd</t>
        </is>
      </c>
      <c r="J1745" t="inlineStr">
        <is>
          <t>AUD</t>
        </is>
      </c>
      <c r="K1745" s="5" t="inlineStr">
        <is>
          <t>01a152b9-6ee2-7577-bddd-382bc3853fde</t>
        </is>
      </c>
      <c r="M1745" t="inlineStr">
        <is>
          <t>UNKNOWN</t>
        </is>
      </c>
      <c r="N1745" t="inlineStr">
        <is>
          <t>DEFAULT</t>
        </is>
      </c>
      <c r="Q1745" t="n">
        <v>0</v>
      </c>
      <c r="R1745" t="inlineStr">
        <is>
          <t>AUD</t>
        </is>
      </c>
      <c r="S1745" t="n">
        <v>0</v>
      </c>
      <c r="T1745" t="inlineStr">
        <is>
          <t>AUD</t>
        </is>
      </c>
      <c r="U1745" t="n">
        <v>0</v>
      </c>
    </row>
    <row r="1746">
      <c r="A1746" s="5" t="inlineStr">
        <is>
          <t>01a152b9-8a1b-7508-969f-60eab7f79d19</t>
        </is>
      </c>
      <c r="C1746" s="5" t="inlineStr">
        <is>
          <t>01a152b9-6e67-75da-8adb-b03e5d07fd21</t>
        </is>
      </c>
      <c r="D1746" s="4" t="n">
        <v>46314.24599142589</v>
      </c>
      <c r="E1746" s="4" t="n">
        <v>46314.245991426</v>
      </c>
      <c r="F1746" t="b">
        <v>1</v>
      </c>
      <c r="G1746" t="n">
        <v/>
      </c>
      <c r="H1746" t="inlineStr">
        <is>
          <t>EOF</t>
        </is>
      </c>
      <c r="I1746" t="inlineStr">
        <is>
          <t>Ecofibre Ltd</t>
        </is>
      </c>
      <c r="J1746" t="inlineStr">
        <is>
          <t>AUD</t>
        </is>
      </c>
      <c r="K1746" s="5" t="inlineStr">
        <is>
          <t>01a152b9-6ee2-7577-bddd-382bc3853fde</t>
        </is>
      </c>
      <c r="M1746" t="inlineStr">
        <is>
          <t>UNKNOWN</t>
        </is>
      </c>
      <c r="N1746" t="inlineStr">
        <is>
          <t>DEFAULT</t>
        </is>
      </c>
      <c r="Q1746" t="n">
        <v>0</v>
      </c>
      <c r="R1746" t="inlineStr">
        <is>
          <t>AUD</t>
        </is>
      </c>
      <c r="S1746" t="n">
        <v>0</v>
      </c>
      <c r="T1746" t="inlineStr">
        <is>
          <t>AUD</t>
        </is>
      </c>
      <c r="U1746" t="n">
        <v>0</v>
      </c>
    </row>
    <row r="1747">
      <c r="A1747" s="5" t="inlineStr">
        <is>
          <t>01a152b9-8a1e-7519-bffe-af328d224fa0</t>
        </is>
      </c>
      <c r="C1747" s="5" t="inlineStr">
        <is>
          <t>01a152b9-6e67-75da-8adb-b03e5d07fd21</t>
        </is>
      </c>
      <c r="D1747" s="4" t="n">
        <v>46314.24599146464</v>
      </c>
      <c r="E1747" s="4" t="n">
        <v>46314.24599146475</v>
      </c>
      <c r="F1747" t="b">
        <v>1</v>
      </c>
      <c r="G1747" t="n">
        <v/>
      </c>
      <c r="H1747" t="inlineStr">
        <is>
          <t>MCO</t>
        </is>
      </c>
      <c r="I1747" t="inlineStr">
        <is>
          <t>Myeco Group Ltd</t>
        </is>
      </c>
      <c r="J1747" t="inlineStr">
        <is>
          <t>AUD</t>
        </is>
      </c>
      <c r="K1747" s="5" t="inlineStr">
        <is>
          <t>01a152b9-6ee2-7577-bddd-382bc3853fde</t>
        </is>
      </c>
      <c r="M1747" t="inlineStr">
        <is>
          <t>UNKNOWN</t>
        </is>
      </c>
      <c r="N1747" t="inlineStr">
        <is>
          <t>DEFAULT</t>
        </is>
      </c>
      <c r="Q1747" t="n">
        <v>0</v>
      </c>
      <c r="R1747" t="inlineStr">
        <is>
          <t>AUD</t>
        </is>
      </c>
      <c r="S1747" t="n">
        <v>0</v>
      </c>
      <c r="T1747" t="inlineStr">
        <is>
          <t>AUD</t>
        </is>
      </c>
      <c r="U1747" t="n">
        <v>0</v>
      </c>
    </row>
    <row r="1748">
      <c r="A1748" s="5" t="inlineStr">
        <is>
          <t>01a152b9-8a21-76bd-9dc5-d4e99e7de07f</t>
        </is>
      </c>
      <c r="C1748" s="5" t="inlineStr">
        <is>
          <t>01a152b9-6e67-75da-8adb-b03e5d07fd21</t>
        </is>
      </c>
      <c r="D1748" s="4" t="n">
        <v>46314.24599150151</v>
      </c>
      <c r="E1748" s="4" t="n">
        <v>46314.24599150162</v>
      </c>
      <c r="F1748" t="b">
        <v>1</v>
      </c>
      <c r="G1748" t="n">
        <v/>
      </c>
      <c r="H1748" t="inlineStr">
        <is>
          <t>VMIN</t>
        </is>
      </c>
      <c r="I1748" t="inlineStr">
        <is>
          <t>Vanguard Global Minimum Volatility Active ETF</t>
        </is>
      </c>
      <c r="J1748" t="inlineStr">
        <is>
          <t>AUD</t>
        </is>
      </c>
      <c r="K1748" s="5" t="inlineStr">
        <is>
          <t>01a152b9-6ee2-7577-bddd-382bc3853fde</t>
        </is>
      </c>
      <c r="M1748" t="inlineStr">
        <is>
          <t>UNIT_TRUST</t>
        </is>
      </c>
      <c r="N1748" t="inlineStr">
        <is>
          <t>SUGGESTED</t>
        </is>
      </c>
      <c r="Q1748" t="n">
        <v>0</v>
      </c>
      <c r="R1748" t="inlineStr">
        <is>
          <t>AUD</t>
        </is>
      </c>
      <c r="S1748" t="n">
        <v>0</v>
      </c>
      <c r="T1748" t="inlineStr">
        <is>
          <t>AUD</t>
        </is>
      </c>
      <c r="U1748" t="n">
        <v>0</v>
      </c>
    </row>
    <row r="1749">
      <c r="A1749" s="5" t="inlineStr">
        <is>
          <t>01a152b9-8a25-72f7-bbe1-e2215dae691f</t>
        </is>
      </c>
      <c r="C1749" s="5" t="inlineStr">
        <is>
          <t>01a152b9-6e67-75da-8adb-b03e5d07fd21</t>
        </is>
      </c>
      <c r="D1749" s="4" t="n">
        <v>46314.24599154826</v>
      </c>
      <c r="E1749" s="4" t="n">
        <v>46314.24599154836</v>
      </c>
      <c r="F1749" t="b">
        <v>1</v>
      </c>
      <c r="G1749" t="n">
        <v/>
      </c>
      <c r="H1749" t="inlineStr">
        <is>
          <t>FTZ</t>
        </is>
      </c>
      <c r="I1749" t="inlineStr">
        <is>
          <t>Fertoz Ltd</t>
        </is>
      </c>
      <c r="J1749" t="inlineStr">
        <is>
          <t>AUD</t>
        </is>
      </c>
      <c r="K1749" s="5" t="inlineStr">
        <is>
          <t>01a152b9-6ee2-7577-bddd-382bc3853fde</t>
        </is>
      </c>
      <c r="M1749" t="inlineStr">
        <is>
          <t>UNKNOWN</t>
        </is>
      </c>
      <c r="N1749" t="inlineStr">
        <is>
          <t>DEFAULT</t>
        </is>
      </c>
      <c r="Q1749" t="n">
        <v>0</v>
      </c>
      <c r="R1749" t="inlineStr">
        <is>
          <t>AUD</t>
        </is>
      </c>
      <c r="S1749" t="n">
        <v>0</v>
      </c>
      <c r="T1749" t="inlineStr">
        <is>
          <t>AUD</t>
        </is>
      </c>
      <c r="U1749" t="n">
        <v>0</v>
      </c>
    </row>
    <row r="1750">
      <c r="A1750" s="5" t="inlineStr">
        <is>
          <t>01a152b9-8a29-7047-b5f9-c49841adee70</t>
        </is>
      </c>
      <c r="C1750" s="5" t="inlineStr">
        <is>
          <t>01a152b9-6e67-75da-8adb-b03e5d07fd21</t>
        </is>
      </c>
      <c r="D1750" s="4" t="n">
        <v>46314.2459915913</v>
      </c>
      <c r="E1750" s="4" t="n">
        <v>46314.24599159178</v>
      </c>
      <c r="F1750" t="b">
        <v>1</v>
      </c>
      <c r="G1750" t="n">
        <v/>
      </c>
      <c r="H1750" t="inlineStr">
        <is>
          <t>RGT</t>
        </is>
      </c>
      <c r="I1750" t="inlineStr">
        <is>
          <t>Argent Biopharma Ltd</t>
        </is>
      </c>
      <c r="J1750" t="inlineStr">
        <is>
          <t>AUD</t>
        </is>
      </c>
      <c r="K1750" s="5" t="inlineStr">
        <is>
          <t>01a152b9-6ee2-7577-bddd-382bc3853fde</t>
        </is>
      </c>
      <c r="M1750" t="inlineStr">
        <is>
          <t>UNKNOWN</t>
        </is>
      </c>
      <c r="N1750" t="inlineStr">
        <is>
          <t>DEFAULT</t>
        </is>
      </c>
      <c r="Q1750" t="n">
        <v>0</v>
      </c>
      <c r="R1750" t="inlineStr">
        <is>
          <t>AUD</t>
        </is>
      </c>
      <c r="S1750" t="n">
        <v>0</v>
      </c>
      <c r="T1750" t="inlineStr">
        <is>
          <t>AUD</t>
        </is>
      </c>
      <c r="U1750" t="n">
        <v>0</v>
      </c>
    </row>
    <row r="1751">
      <c r="A1751" s="5" t="inlineStr">
        <is>
          <t>01a152b9-8a2d-7756-9c85-c58ac0b3cb5c</t>
        </is>
      </c>
      <c r="C1751" s="5" t="inlineStr">
        <is>
          <t>01a152b9-6e67-75da-8adb-b03e5d07fd21</t>
        </is>
      </c>
      <c r="D1751" s="4" t="n">
        <v>46314.24599163757</v>
      </c>
      <c r="E1751" s="4" t="n">
        <v>46314.24599163766</v>
      </c>
      <c r="F1751" t="b">
        <v>1</v>
      </c>
      <c r="G1751" t="n">
        <v/>
      </c>
      <c r="H1751" t="inlineStr">
        <is>
          <t>TM1</t>
        </is>
      </c>
      <c r="I1751" t="inlineStr">
        <is>
          <t>Terra Metals Ltd</t>
        </is>
      </c>
      <c r="J1751" t="inlineStr">
        <is>
          <t>AUD</t>
        </is>
      </c>
      <c r="K1751" s="5" t="inlineStr">
        <is>
          <t>01a152b9-6ee2-7577-bddd-382bc3853fde</t>
        </is>
      </c>
      <c r="M1751" t="inlineStr">
        <is>
          <t>UNKNOWN</t>
        </is>
      </c>
      <c r="N1751" t="inlineStr">
        <is>
          <t>DEFAULT</t>
        </is>
      </c>
      <c r="Q1751" t="n">
        <v>0</v>
      </c>
      <c r="R1751" t="inlineStr">
        <is>
          <t>AUD</t>
        </is>
      </c>
      <c r="S1751" t="n">
        <v>0</v>
      </c>
      <c r="T1751" t="inlineStr">
        <is>
          <t>AUD</t>
        </is>
      </c>
      <c r="U1751" t="n">
        <v>0</v>
      </c>
    </row>
    <row r="1752">
      <c r="A1752" s="5" t="inlineStr">
        <is>
          <t>01a152b9-8a31-75dc-8e13-ed4141ce8449</t>
        </is>
      </c>
      <c r="C1752" s="5" t="inlineStr">
        <is>
          <t>01a152b9-6e67-75da-8adb-b03e5d07fd21</t>
        </is>
      </c>
      <c r="D1752" s="4" t="n">
        <v>46314.2459916855</v>
      </c>
      <c r="E1752" s="4" t="n">
        <v>46314.2459916856</v>
      </c>
      <c r="F1752" t="b">
        <v>1</v>
      </c>
      <c r="G1752" t="n">
        <v/>
      </c>
      <c r="H1752" t="inlineStr">
        <is>
          <t>EAX</t>
        </is>
      </c>
      <c r="I1752" t="inlineStr">
        <is>
          <t>Energy Action Ltd</t>
        </is>
      </c>
      <c r="J1752" t="inlineStr">
        <is>
          <t>AUD</t>
        </is>
      </c>
      <c r="K1752" s="5" t="inlineStr">
        <is>
          <t>01a152b9-6ee2-7577-bddd-382bc3853fde</t>
        </is>
      </c>
      <c r="M1752" t="inlineStr">
        <is>
          <t>UNKNOWN</t>
        </is>
      </c>
      <c r="N1752" t="inlineStr">
        <is>
          <t>DEFAULT</t>
        </is>
      </c>
      <c r="Q1752" t="n">
        <v>0</v>
      </c>
      <c r="R1752" t="inlineStr">
        <is>
          <t>AUD</t>
        </is>
      </c>
      <c r="S1752" t="n">
        <v>0</v>
      </c>
      <c r="T1752" t="inlineStr">
        <is>
          <t>AUD</t>
        </is>
      </c>
      <c r="U1752" t="n">
        <v>0</v>
      </c>
    </row>
    <row r="1753">
      <c r="A1753" s="5" t="inlineStr">
        <is>
          <t>01a152b9-8a34-7341-b697-e9cf5e248054</t>
        </is>
      </c>
      <c r="C1753" s="5" t="inlineStr">
        <is>
          <t>01a152b9-6e67-75da-8adb-b03e5d07fd21</t>
        </is>
      </c>
      <c r="D1753" s="4" t="n">
        <v>46314.2459917234</v>
      </c>
      <c r="E1753" s="4" t="n">
        <v>46314.24599172351</v>
      </c>
      <c r="F1753" t="b">
        <v>1</v>
      </c>
      <c r="G1753" t="n">
        <v/>
      </c>
      <c r="H1753" t="inlineStr">
        <is>
          <t>ANR</t>
        </is>
      </c>
      <c r="I1753" t="inlineStr">
        <is>
          <t>Anatara Lifesciences Ltd</t>
        </is>
      </c>
      <c r="J1753" t="inlineStr">
        <is>
          <t>AUD</t>
        </is>
      </c>
      <c r="K1753" s="5" t="inlineStr">
        <is>
          <t>01a152b9-6ee2-7577-bddd-382bc3853fde</t>
        </is>
      </c>
      <c r="M1753" t="inlineStr">
        <is>
          <t>UNKNOWN</t>
        </is>
      </c>
      <c r="N1753" t="inlineStr">
        <is>
          <t>DEFAULT</t>
        </is>
      </c>
      <c r="Q1753" t="n">
        <v>0</v>
      </c>
      <c r="R1753" t="inlineStr">
        <is>
          <t>AUD</t>
        </is>
      </c>
      <c r="S1753" t="n">
        <v>0</v>
      </c>
      <c r="T1753" t="inlineStr">
        <is>
          <t>AUD</t>
        </is>
      </c>
      <c r="U1753" t="n">
        <v>0</v>
      </c>
    </row>
    <row r="1754">
      <c r="A1754" s="5" t="inlineStr">
        <is>
          <t>01a152b9-8a37-737a-aec4-729d5b8fd02e</t>
        </is>
      </c>
      <c r="C1754" s="5" t="inlineStr">
        <is>
          <t>01a152b9-6e67-75da-8adb-b03e5d07fd21</t>
        </is>
      </c>
      <c r="D1754" s="4" t="n">
        <v>46314.24599176086</v>
      </c>
      <c r="E1754" s="4" t="n">
        <v>46314.24599176096</v>
      </c>
      <c r="F1754" t="b">
        <v>1</v>
      </c>
      <c r="G1754" t="n">
        <v/>
      </c>
      <c r="H1754" t="inlineStr">
        <is>
          <t>RCL</t>
        </is>
      </c>
      <c r="I1754" t="inlineStr">
        <is>
          <t>Readcloud Ltd</t>
        </is>
      </c>
      <c r="J1754" t="inlineStr">
        <is>
          <t>AUD</t>
        </is>
      </c>
      <c r="K1754" s="5" t="inlineStr">
        <is>
          <t>01a152b9-6ee2-7577-bddd-382bc3853fde</t>
        </is>
      </c>
      <c r="M1754" t="inlineStr">
        <is>
          <t>UNKNOWN</t>
        </is>
      </c>
      <c r="N1754" t="inlineStr">
        <is>
          <t>DEFAULT</t>
        </is>
      </c>
      <c r="Q1754" t="n">
        <v>0</v>
      </c>
      <c r="R1754" t="inlineStr">
        <is>
          <t>AUD</t>
        </is>
      </c>
      <c r="S1754" t="n">
        <v>0</v>
      </c>
      <c r="T1754" t="inlineStr">
        <is>
          <t>AUD</t>
        </is>
      </c>
      <c r="U1754" t="n">
        <v>0</v>
      </c>
    </row>
    <row r="1755">
      <c r="A1755" s="5" t="inlineStr">
        <is>
          <t>01a152b9-8a3b-7249-bf80-fcc2dcfb6912</t>
        </is>
      </c>
      <c r="C1755" s="5" t="inlineStr">
        <is>
          <t>01a152b9-6e67-75da-8adb-b03e5d07fd21</t>
        </is>
      </c>
      <c r="D1755" s="4" t="n">
        <v>46314.24599180199</v>
      </c>
      <c r="E1755" s="4" t="n">
        <v>46314.24599180212</v>
      </c>
      <c r="F1755" t="b">
        <v>1</v>
      </c>
      <c r="G1755" t="n">
        <v/>
      </c>
      <c r="H1755" t="inlineStr">
        <is>
          <t>TSL</t>
        </is>
      </c>
      <c r="I1755" t="inlineStr">
        <is>
          <t>Titanium Sands Ltd</t>
        </is>
      </c>
      <c r="J1755" t="inlineStr">
        <is>
          <t>AUD</t>
        </is>
      </c>
      <c r="K1755" s="5" t="inlineStr">
        <is>
          <t>01a152b9-6ee2-7577-bddd-382bc3853fde</t>
        </is>
      </c>
      <c r="M1755" t="inlineStr">
        <is>
          <t>UNKNOWN</t>
        </is>
      </c>
      <c r="N1755" t="inlineStr">
        <is>
          <t>DEFAULT</t>
        </is>
      </c>
      <c r="Q1755" t="n">
        <v>0</v>
      </c>
      <c r="R1755" t="inlineStr">
        <is>
          <t>AUD</t>
        </is>
      </c>
      <c r="S1755" t="n">
        <v>0</v>
      </c>
      <c r="T1755" t="inlineStr">
        <is>
          <t>AUD</t>
        </is>
      </c>
      <c r="U1755" t="n">
        <v>0</v>
      </c>
    </row>
    <row r="1756">
      <c r="A1756" s="5" t="inlineStr">
        <is>
          <t>01a152b9-8a3e-7506-9621-a13d27695b23</t>
        </is>
      </c>
      <c r="C1756" s="5" t="inlineStr">
        <is>
          <t>01a152b9-6e67-75da-8adb-b03e5d07fd21</t>
        </is>
      </c>
      <c r="D1756" s="4" t="n">
        <v>46314.24599183977</v>
      </c>
      <c r="E1756" s="4" t="n">
        <v>46314.24599183987</v>
      </c>
      <c r="F1756" t="b">
        <v>1</v>
      </c>
      <c r="G1756" t="n">
        <v/>
      </c>
      <c r="H1756" t="inlineStr">
        <is>
          <t>TMS</t>
        </is>
      </c>
      <c r="I1756" t="inlineStr">
        <is>
          <t>Tennant Minerals Ltd</t>
        </is>
      </c>
      <c r="J1756" t="inlineStr">
        <is>
          <t>AUD</t>
        </is>
      </c>
      <c r="K1756" s="5" t="inlineStr">
        <is>
          <t>01a152b9-6ee2-7577-bddd-382bc3853fde</t>
        </is>
      </c>
      <c r="M1756" t="inlineStr">
        <is>
          <t>UNKNOWN</t>
        </is>
      </c>
      <c r="N1756" t="inlineStr">
        <is>
          <t>DEFAULT</t>
        </is>
      </c>
      <c r="Q1756" t="n">
        <v>0</v>
      </c>
      <c r="R1756" t="inlineStr">
        <is>
          <t>AUD</t>
        </is>
      </c>
      <c r="S1756" t="n">
        <v>0</v>
      </c>
      <c r="T1756" t="inlineStr">
        <is>
          <t>AUD</t>
        </is>
      </c>
      <c r="U1756" t="n">
        <v>0</v>
      </c>
    </row>
    <row r="1757">
      <c r="A1757" s="5" t="inlineStr">
        <is>
          <t>01a152b9-8a42-745e-abdb-e2d314c97902</t>
        </is>
      </c>
      <c r="C1757" s="5" t="inlineStr">
        <is>
          <t>01a152b9-6e67-75da-8adb-b03e5d07fd21</t>
        </is>
      </c>
      <c r="D1757" s="4" t="n">
        <v>46314.24599187807</v>
      </c>
      <c r="E1757" s="4" t="n">
        <v>46314.24599187816</v>
      </c>
      <c r="F1757" t="b">
        <v>1</v>
      </c>
      <c r="G1757" t="n">
        <v/>
      </c>
      <c r="H1757" t="inlineStr">
        <is>
          <t>TNY</t>
        </is>
      </c>
      <c r="I1757" t="inlineStr">
        <is>
          <t>Tinybeans Group Ltd</t>
        </is>
      </c>
      <c r="J1757" t="inlineStr">
        <is>
          <t>AUD</t>
        </is>
      </c>
      <c r="K1757" s="5" t="inlineStr">
        <is>
          <t>01a152b9-6ee2-7577-bddd-382bc3853fde</t>
        </is>
      </c>
      <c r="M1757" t="inlineStr">
        <is>
          <t>UNKNOWN</t>
        </is>
      </c>
      <c r="N1757" t="inlineStr">
        <is>
          <t>DEFAULT</t>
        </is>
      </c>
      <c r="Q1757" t="n">
        <v>0</v>
      </c>
      <c r="R1757" t="inlineStr">
        <is>
          <t>AUD</t>
        </is>
      </c>
      <c r="S1757" t="n">
        <v>0</v>
      </c>
      <c r="T1757" t="inlineStr">
        <is>
          <t>AUD</t>
        </is>
      </c>
      <c r="U1757" t="n">
        <v>0</v>
      </c>
    </row>
    <row r="1758">
      <c r="A1758" s="5" t="inlineStr">
        <is>
          <t>01a152b9-8a45-764e-a626-339547525453</t>
        </is>
      </c>
      <c r="C1758" s="5" t="inlineStr">
        <is>
          <t>01a152b9-6e67-75da-8adb-b03e5d07fd21</t>
        </is>
      </c>
      <c r="D1758" s="4" t="n">
        <v>46314.24599192203</v>
      </c>
      <c r="E1758" s="4" t="n">
        <v>46314.24599192215</v>
      </c>
      <c r="F1758" t="b">
        <v>1</v>
      </c>
      <c r="G1758" t="n">
        <v/>
      </c>
      <c r="H1758" t="inlineStr">
        <is>
          <t>1AE</t>
        </is>
      </c>
      <c r="I1758" t="inlineStr">
        <is>
          <t>Aurora Energy Metals Ltd</t>
        </is>
      </c>
      <c r="J1758" t="inlineStr">
        <is>
          <t>AUD</t>
        </is>
      </c>
      <c r="K1758" s="5" t="inlineStr">
        <is>
          <t>01a152b9-6ee2-7577-bddd-382bc3853fde</t>
        </is>
      </c>
      <c r="M1758" t="inlineStr">
        <is>
          <t>UNKNOWN</t>
        </is>
      </c>
      <c r="N1758" t="inlineStr">
        <is>
          <t>DEFAULT</t>
        </is>
      </c>
      <c r="Q1758" t="n">
        <v>0</v>
      </c>
      <c r="R1758" t="inlineStr">
        <is>
          <t>AUD</t>
        </is>
      </c>
      <c r="S1758" t="n">
        <v>0</v>
      </c>
      <c r="T1758" t="inlineStr">
        <is>
          <t>AUD</t>
        </is>
      </c>
      <c r="U1758" t="n">
        <v>0</v>
      </c>
    </row>
    <row r="1759">
      <c r="A1759" s="5" t="inlineStr">
        <is>
          <t>01a152b9-8a49-716d-a0ed-39b2f4c58e15</t>
        </is>
      </c>
      <c r="C1759" s="5" t="inlineStr">
        <is>
          <t>01a152b9-6e67-75da-8adb-b03e5d07fd21</t>
        </is>
      </c>
      <c r="D1759" s="4" t="n">
        <v>46314.24599195873</v>
      </c>
      <c r="E1759" s="4" t="n">
        <v>46314.24599195883</v>
      </c>
      <c r="F1759" t="b">
        <v>1</v>
      </c>
      <c r="G1759" t="n">
        <v/>
      </c>
      <c r="H1759" t="inlineStr">
        <is>
          <t>NYM</t>
        </is>
      </c>
      <c r="I1759" t="inlineStr">
        <is>
          <t>Narryer Metals Ltd</t>
        </is>
      </c>
      <c r="J1759" t="inlineStr">
        <is>
          <t>AUD</t>
        </is>
      </c>
      <c r="K1759" s="5" t="inlineStr">
        <is>
          <t>01a152b9-6ee2-7577-bddd-382bc3853fde</t>
        </is>
      </c>
      <c r="M1759" t="inlineStr">
        <is>
          <t>UNKNOWN</t>
        </is>
      </c>
      <c r="N1759" t="inlineStr">
        <is>
          <t>DEFAULT</t>
        </is>
      </c>
      <c r="Q1759" t="n">
        <v>0</v>
      </c>
      <c r="R1759" t="inlineStr">
        <is>
          <t>AUD</t>
        </is>
      </c>
      <c r="S1759" t="n">
        <v>0</v>
      </c>
      <c r="T1759" t="inlineStr">
        <is>
          <t>AUD</t>
        </is>
      </c>
      <c r="U1759" t="n">
        <v>0</v>
      </c>
    </row>
    <row r="1760">
      <c r="A1760" s="5" t="inlineStr">
        <is>
          <t>01a152b9-8a4c-734f-90e0-58752436625f</t>
        </is>
      </c>
      <c r="C1760" s="5" t="inlineStr">
        <is>
          <t>01a152b9-6e67-75da-8adb-b03e5d07fd21</t>
        </is>
      </c>
      <c r="D1760" s="4" t="n">
        <v>46314.24599199888</v>
      </c>
      <c r="E1760" s="4" t="n">
        <v>46314.24599199901</v>
      </c>
      <c r="F1760" t="b">
        <v>1</v>
      </c>
      <c r="G1760" t="n">
        <v/>
      </c>
      <c r="H1760" t="inlineStr">
        <is>
          <t>MRQ</t>
        </is>
      </c>
      <c r="I1760" t="inlineStr">
        <is>
          <t>MRG Metals Ltd</t>
        </is>
      </c>
      <c r="J1760" t="inlineStr">
        <is>
          <t>AUD</t>
        </is>
      </c>
      <c r="K1760" s="5" t="inlineStr">
        <is>
          <t>01a152b9-6ee2-7577-bddd-382bc3853fde</t>
        </is>
      </c>
      <c r="M1760" t="inlineStr">
        <is>
          <t>UNKNOWN</t>
        </is>
      </c>
      <c r="N1760" t="inlineStr">
        <is>
          <t>DEFAULT</t>
        </is>
      </c>
      <c r="Q1760" t="n">
        <v>0</v>
      </c>
      <c r="R1760" t="inlineStr">
        <is>
          <t>AUD</t>
        </is>
      </c>
      <c r="S1760" t="n">
        <v>0</v>
      </c>
      <c r="T1760" t="inlineStr">
        <is>
          <t>AUD</t>
        </is>
      </c>
      <c r="U1760" t="n">
        <v>0</v>
      </c>
    </row>
    <row r="1761">
      <c r="A1761" s="5" t="inlineStr">
        <is>
          <t>01a152b9-8a4f-71a3-a3f8-e2d3b9f683e2</t>
        </is>
      </c>
      <c r="C1761" s="5" t="inlineStr">
        <is>
          <t>01a152b9-6e67-75da-8adb-b03e5d07fd21</t>
        </is>
      </c>
      <c r="D1761" s="4" t="n">
        <v>46314.24599203559</v>
      </c>
      <c r="E1761" s="4" t="n">
        <v>46314.24599203569</v>
      </c>
      <c r="F1761" t="b">
        <v>1</v>
      </c>
      <c r="G1761" t="n">
        <v/>
      </c>
      <c r="H1761" t="inlineStr">
        <is>
          <t>SUM</t>
        </is>
      </c>
      <c r="I1761" t="inlineStr">
        <is>
          <t>Summit Minerals Ltd</t>
        </is>
      </c>
      <c r="J1761" t="inlineStr">
        <is>
          <t>AUD</t>
        </is>
      </c>
      <c r="K1761" s="5" t="inlineStr">
        <is>
          <t>01a152b9-6ee2-7577-bddd-382bc3853fde</t>
        </is>
      </c>
      <c r="M1761" t="inlineStr">
        <is>
          <t>UNKNOWN</t>
        </is>
      </c>
      <c r="N1761" t="inlineStr">
        <is>
          <t>DEFAULT</t>
        </is>
      </c>
      <c r="Q1761" t="n">
        <v>0</v>
      </c>
      <c r="R1761" t="inlineStr">
        <is>
          <t>AUD</t>
        </is>
      </c>
      <c r="S1761" t="n">
        <v>0</v>
      </c>
      <c r="T1761" t="inlineStr">
        <is>
          <t>AUD</t>
        </is>
      </c>
      <c r="U1761" t="n">
        <v>0</v>
      </c>
    </row>
    <row r="1762">
      <c r="A1762" s="5" t="inlineStr">
        <is>
          <t>01a152b9-8a53-7475-8045-45acaa187a62</t>
        </is>
      </c>
      <c r="C1762" s="5" t="inlineStr">
        <is>
          <t>01a152b9-6e67-75da-8adb-b03e5d07fd21</t>
        </is>
      </c>
      <c r="D1762" s="4" t="n">
        <v>46314.24599207532</v>
      </c>
      <c r="E1762" s="4" t="n">
        <v>46314.24599207542</v>
      </c>
      <c r="F1762" t="b">
        <v>1</v>
      </c>
      <c r="G1762" t="n">
        <v/>
      </c>
      <c r="H1762" t="inlineStr">
        <is>
          <t>UWC</t>
        </is>
      </c>
      <c r="I1762" t="inlineStr">
        <is>
          <t>Underwood Capital Ltd</t>
        </is>
      </c>
      <c r="J1762" t="inlineStr">
        <is>
          <t>AUD</t>
        </is>
      </c>
      <c r="K1762" s="5" t="inlineStr">
        <is>
          <t>01a152b9-6ee2-7577-bddd-382bc3853fde</t>
        </is>
      </c>
      <c r="M1762" t="inlineStr">
        <is>
          <t>UNKNOWN</t>
        </is>
      </c>
      <c r="N1762" t="inlineStr">
        <is>
          <t>DEFAULT</t>
        </is>
      </c>
      <c r="Q1762" t="n">
        <v>0</v>
      </c>
      <c r="R1762" t="inlineStr">
        <is>
          <t>AUD</t>
        </is>
      </c>
      <c r="S1762" t="n">
        <v>0</v>
      </c>
      <c r="T1762" t="inlineStr">
        <is>
          <t>AUD</t>
        </is>
      </c>
      <c r="U1762" t="n">
        <v>0</v>
      </c>
    </row>
    <row r="1763">
      <c r="A1763" s="5" t="inlineStr">
        <is>
          <t>01a152b9-8a56-70e5-8232-f81a970f1d59</t>
        </is>
      </c>
      <c r="C1763" s="5" t="inlineStr">
        <is>
          <t>01a152b9-6e67-75da-8adb-b03e5d07fd21</t>
        </is>
      </c>
      <c r="D1763" s="4" t="n">
        <v>46314.24599211118</v>
      </c>
      <c r="E1763" s="4" t="n">
        <v>46314.24599211127</v>
      </c>
      <c r="F1763" t="b">
        <v>1</v>
      </c>
      <c r="G1763" t="n">
        <v/>
      </c>
      <c r="H1763" t="inlineStr">
        <is>
          <t>ID8</t>
        </is>
      </c>
      <c r="I1763" t="inlineStr">
        <is>
          <t>Identitii Ltd</t>
        </is>
      </c>
      <c r="J1763" t="inlineStr">
        <is>
          <t>AUD</t>
        </is>
      </c>
      <c r="K1763" s="5" t="inlineStr">
        <is>
          <t>01a152b9-6ee2-7577-bddd-382bc3853fde</t>
        </is>
      </c>
      <c r="M1763" t="inlineStr">
        <is>
          <t>UNKNOWN</t>
        </is>
      </c>
      <c r="N1763" t="inlineStr">
        <is>
          <t>DEFAULT</t>
        </is>
      </c>
      <c r="Q1763" t="n">
        <v>0</v>
      </c>
      <c r="R1763" t="inlineStr">
        <is>
          <t>AUD</t>
        </is>
      </c>
      <c r="S1763" t="n">
        <v>0</v>
      </c>
      <c r="T1763" t="inlineStr">
        <is>
          <t>AUD</t>
        </is>
      </c>
      <c r="U1763" t="n">
        <v>0</v>
      </c>
    </row>
    <row r="1764">
      <c r="A1764" s="5" t="inlineStr">
        <is>
          <t>01a152b9-8a5a-72c3-844c-8ed9802f0d4d</t>
        </is>
      </c>
      <c r="C1764" s="5" t="inlineStr">
        <is>
          <t>01a152b9-6e67-75da-8adb-b03e5d07fd21</t>
        </is>
      </c>
      <c r="D1764" s="4" t="n">
        <v>46314.24599215607</v>
      </c>
      <c r="E1764" s="4" t="n">
        <v>46314.2459921562</v>
      </c>
      <c r="F1764" t="b">
        <v>1</v>
      </c>
      <c r="G1764" t="n">
        <v/>
      </c>
      <c r="H1764" t="inlineStr">
        <is>
          <t>GARP</t>
        </is>
      </c>
      <c r="I1764" t="inlineStr">
        <is>
          <t>Global X S&amp;P World Ex Australia Garp ETF</t>
        </is>
      </c>
      <c r="J1764" t="inlineStr">
        <is>
          <t>AUD</t>
        </is>
      </c>
      <c r="K1764" s="5" t="inlineStr">
        <is>
          <t>01a152b9-6ee2-7577-bddd-382bc3853fde</t>
        </is>
      </c>
      <c r="M1764" t="inlineStr">
        <is>
          <t>UNKNOWN</t>
        </is>
      </c>
      <c r="N1764" t="inlineStr">
        <is>
          <t>DEFAULT</t>
        </is>
      </c>
      <c r="Q1764" t="n">
        <v>0</v>
      </c>
      <c r="R1764" t="inlineStr">
        <is>
          <t>AUD</t>
        </is>
      </c>
      <c r="S1764" t="n">
        <v>0</v>
      </c>
      <c r="T1764" t="inlineStr">
        <is>
          <t>AUD</t>
        </is>
      </c>
      <c r="U1764" t="n">
        <v>0</v>
      </c>
    </row>
    <row r="1765">
      <c r="A1765" s="5" t="inlineStr">
        <is>
          <t>01a152b9-8a5d-7371-862f-ae683d226d3a</t>
        </is>
      </c>
      <c r="C1765" s="5" t="inlineStr">
        <is>
          <t>01a152b9-6e67-75da-8adb-b03e5d07fd21</t>
        </is>
      </c>
      <c r="D1765" s="4" t="n">
        <v>46314.24599219705</v>
      </c>
      <c r="E1765" s="4" t="n">
        <v>46314.24599219714</v>
      </c>
      <c r="F1765" t="b">
        <v>1</v>
      </c>
      <c r="G1765" t="n">
        <v/>
      </c>
      <c r="H1765" t="inlineStr">
        <is>
          <t>PIL</t>
        </is>
      </c>
      <c r="I1765" t="inlineStr">
        <is>
          <t>Peppermint Innovation Ltd</t>
        </is>
      </c>
      <c r="J1765" t="inlineStr">
        <is>
          <t>AUD</t>
        </is>
      </c>
      <c r="K1765" s="5" t="inlineStr">
        <is>
          <t>01a152b9-6ee2-7577-bddd-382bc3853fde</t>
        </is>
      </c>
      <c r="M1765" t="inlineStr">
        <is>
          <t>UNKNOWN</t>
        </is>
      </c>
      <c r="N1765" t="inlineStr">
        <is>
          <t>DEFAULT</t>
        </is>
      </c>
      <c r="Q1765" t="n">
        <v>0</v>
      </c>
      <c r="R1765" t="inlineStr">
        <is>
          <t>AUD</t>
        </is>
      </c>
      <c r="S1765" t="n">
        <v>0</v>
      </c>
      <c r="T1765" t="inlineStr">
        <is>
          <t>AUD</t>
        </is>
      </c>
      <c r="U1765" t="n">
        <v>0</v>
      </c>
    </row>
    <row r="1766">
      <c r="A1766" s="5" t="inlineStr">
        <is>
          <t>01a152b9-8a60-720e-a4aa-6981f796972d</t>
        </is>
      </c>
      <c r="C1766" s="5" t="inlineStr">
        <is>
          <t>01a152b9-6e67-75da-8adb-b03e5d07fd21</t>
        </is>
      </c>
      <c r="D1766" s="4" t="n">
        <v>46314.24599223211</v>
      </c>
      <c r="E1766" s="4" t="n">
        <v>46314.24599223221</v>
      </c>
      <c r="F1766" t="b">
        <v>1</v>
      </c>
      <c r="G1766" t="n">
        <v/>
      </c>
      <c r="H1766" t="inlineStr">
        <is>
          <t>FHS</t>
        </is>
      </c>
      <c r="I1766" t="inlineStr">
        <is>
          <t>Freehill Mining Ltd</t>
        </is>
      </c>
      <c r="J1766" t="inlineStr">
        <is>
          <t>AUD</t>
        </is>
      </c>
      <c r="K1766" s="5" t="inlineStr">
        <is>
          <t>01a152b9-6ee2-7577-bddd-382bc3853fde</t>
        </is>
      </c>
      <c r="M1766" t="inlineStr">
        <is>
          <t>UNKNOWN</t>
        </is>
      </c>
      <c r="N1766" t="inlineStr">
        <is>
          <t>DEFAULT</t>
        </is>
      </c>
      <c r="Q1766" t="n">
        <v>0</v>
      </c>
      <c r="R1766" t="inlineStr">
        <is>
          <t>AUD</t>
        </is>
      </c>
      <c r="S1766" t="n">
        <v>0</v>
      </c>
      <c r="T1766" t="inlineStr">
        <is>
          <t>AUD</t>
        </is>
      </c>
      <c r="U1766" t="n">
        <v>0</v>
      </c>
    </row>
    <row r="1767">
      <c r="A1767" s="5" t="inlineStr">
        <is>
          <t>01a152b9-8a63-7542-b12c-8dab80d3d6e7</t>
        </is>
      </c>
      <c r="C1767" s="5" t="inlineStr">
        <is>
          <t>01a152b9-6e67-75da-8adb-b03e5d07fd21</t>
        </is>
      </c>
      <c r="D1767" s="4" t="n">
        <v>46314.24599226886</v>
      </c>
      <c r="E1767" s="4" t="n">
        <v>46314.24599226897</v>
      </c>
      <c r="F1767" t="b">
        <v>1</v>
      </c>
      <c r="G1767" t="n">
        <v/>
      </c>
      <c r="H1767" t="inlineStr">
        <is>
          <t>LCL</t>
        </is>
      </c>
      <c r="I1767" t="inlineStr">
        <is>
          <t>LCL Resources Ltd</t>
        </is>
      </c>
      <c r="J1767" t="inlineStr">
        <is>
          <t>AUD</t>
        </is>
      </c>
      <c r="K1767" s="5" t="inlineStr">
        <is>
          <t>01a152b9-6ee2-7577-bddd-382bc3853fde</t>
        </is>
      </c>
      <c r="M1767" t="inlineStr">
        <is>
          <t>UNKNOWN</t>
        </is>
      </c>
      <c r="N1767" t="inlineStr">
        <is>
          <t>DEFAULT</t>
        </is>
      </c>
      <c r="Q1767" t="n">
        <v>0</v>
      </c>
      <c r="R1767" t="inlineStr">
        <is>
          <t>AUD</t>
        </is>
      </c>
      <c r="S1767" t="n">
        <v>0</v>
      </c>
      <c r="T1767" t="inlineStr">
        <is>
          <t>AUD</t>
        </is>
      </c>
      <c r="U1767" t="n">
        <v>0</v>
      </c>
    </row>
    <row r="1768">
      <c r="A1768" s="5" t="inlineStr">
        <is>
          <t>01a152b9-8a67-73fb-9607-b843ce0124b6</t>
        </is>
      </c>
      <c r="C1768" s="5" t="inlineStr">
        <is>
          <t>01a152b9-6e67-75da-8adb-b03e5d07fd21</t>
        </is>
      </c>
      <c r="D1768" s="4" t="n">
        <v>46314.24599230615</v>
      </c>
      <c r="E1768" s="4" t="n">
        <v>46314.24599230625</v>
      </c>
      <c r="F1768" t="b">
        <v>1</v>
      </c>
      <c r="G1768" t="n">
        <v/>
      </c>
      <c r="H1768" t="inlineStr">
        <is>
          <t>ALR</t>
        </is>
      </c>
      <c r="I1768" t="inlineStr">
        <is>
          <t>Altair Minerals Ltd</t>
        </is>
      </c>
      <c r="J1768" t="inlineStr">
        <is>
          <t>AUD</t>
        </is>
      </c>
      <c r="K1768" s="5" t="inlineStr">
        <is>
          <t>01a152b9-6ee2-7577-bddd-382bc3853fde</t>
        </is>
      </c>
      <c r="M1768" t="inlineStr">
        <is>
          <t>UNKNOWN</t>
        </is>
      </c>
      <c r="N1768" t="inlineStr">
        <is>
          <t>DEFAULT</t>
        </is>
      </c>
      <c r="Q1768" t="n">
        <v>0</v>
      </c>
      <c r="R1768" t="inlineStr">
        <is>
          <t>AUD</t>
        </is>
      </c>
      <c r="S1768" t="n">
        <v>0</v>
      </c>
      <c r="T1768" t="inlineStr">
        <is>
          <t>AUD</t>
        </is>
      </c>
      <c r="U1768" t="n">
        <v>0</v>
      </c>
    </row>
    <row r="1769">
      <c r="A1769" s="5" t="inlineStr">
        <is>
          <t>01a152b9-8a6a-72b5-9ce3-f6e14d4bdcb7</t>
        </is>
      </c>
      <c r="C1769" s="5" t="inlineStr">
        <is>
          <t>01a152b9-6e67-75da-8adb-b03e5d07fd21</t>
        </is>
      </c>
      <c r="D1769" s="4" t="n">
        <v>46314.24599234485</v>
      </c>
      <c r="E1769" s="4" t="n">
        <v>46314.24599234496</v>
      </c>
      <c r="F1769" t="b">
        <v>1</v>
      </c>
      <c r="G1769" t="n">
        <v/>
      </c>
      <c r="H1769" t="inlineStr">
        <is>
          <t>1AD</t>
        </is>
      </c>
      <c r="I1769" t="inlineStr">
        <is>
          <t>Adalta Ltd</t>
        </is>
      </c>
      <c r="J1769" t="inlineStr">
        <is>
          <t>AUD</t>
        </is>
      </c>
      <c r="K1769" s="5" t="inlineStr">
        <is>
          <t>01a152b9-6ee2-7577-bddd-382bc3853fde</t>
        </is>
      </c>
      <c r="M1769" t="inlineStr">
        <is>
          <t>UNKNOWN</t>
        </is>
      </c>
      <c r="N1769" t="inlineStr">
        <is>
          <t>DEFAULT</t>
        </is>
      </c>
      <c r="Q1769" t="n">
        <v>0</v>
      </c>
      <c r="R1769" t="inlineStr">
        <is>
          <t>AUD</t>
        </is>
      </c>
      <c r="S1769" t="n">
        <v>0</v>
      </c>
      <c r="T1769" t="inlineStr">
        <is>
          <t>AUD</t>
        </is>
      </c>
      <c r="U1769" t="n">
        <v>0</v>
      </c>
    </row>
    <row r="1770">
      <c r="A1770" s="5" t="inlineStr">
        <is>
          <t>01a152b9-8a6d-74c7-8975-30382743db96</t>
        </is>
      </c>
      <c r="C1770" s="5" t="inlineStr">
        <is>
          <t>01a152b9-6e67-75da-8adb-b03e5d07fd21</t>
        </is>
      </c>
      <c r="D1770" s="4" t="n">
        <v>46314.24599238099</v>
      </c>
      <c r="E1770" s="4" t="n">
        <v>46314.24599238113</v>
      </c>
      <c r="F1770" t="b">
        <v>1</v>
      </c>
      <c r="G1770" t="n">
        <v/>
      </c>
      <c r="H1770" t="inlineStr">
        <is>
          <t>NVO</t>
        </is>
      </c>
      <c r="I1770" t="inlineStr">
        <is>
          <t>Novo Resources Corp</t>
        </is>
      </c>
      <c r="J1770" t="inlineStr">
        <is>
          <t>AUD</t>
        </is>
      </c>
      <c r="K1770" s="5" t="inlineStr">
        <is>
          <t>01a152b9-6ee2-7577-bddd-382bc3853fde</t>
        </is>
      </c>
      <c r="M1770" t="inlineStr">
        <is>
          <t>UNKNOWN</t>
        </is>
      </c>
      <c r="N1770" t="inlineStr">
        <is>
          <t>DEFAULT</t>
        </is>
      </c>
      <c r="Q1770" t="n">
        <v>0</v>
      </c>
      <c r="R1770" t="inlineStr">
        <is>
          <t>AUD</t>
        </is>
      </c>
      <c r="S1770" t="n">
        <v>0</v>
      </c>
      <c r="T1770" t="inlineStr">
        <is>
          <t>AUD</t>
        </is>
      </c>
      <c r="U1770" t="n">
        <v>0</v>
      </c>
    </row>
    <row r="1771">
      <c r="A1771" s="5" t="inlineStr">
        <is>
          <t>01a152b9-8a71-777e-ae86-7d8b82dcca08</t>
        </is>
      </c>
      <c r="C1771" s="5" t="inlineStr">
        <is>
          <t>01a152b9-6e67-75da-8adb-b03e5d07fd21</t>
        </is>
      </c>
      <c r="D1771" s="4" t="n">
        <v>46314.24599242053</v>
      </c>
      <c r="E1771" s="4" t="n">
        <v>46314.24599242063</v>
      </c>
      <c r="F1771" t="b">
        <v>1</v>
      </c>
      <c r="G1771" t="n">
        <v/>
      </c>
      <c r="H1771" t="inlineStr">
        <is>
          <t>GNDQ</t>
        </is>
      </c>
      <c r="I1771" t="inlineStr">
        <is>
          <t>Betashares Wealthbuilder Nasdaq Geared Complex ETF</t>
        </is>
      </c>
      <c r="J1771" t="inlineStr">
        <is>
          <t>AUD</t>
        </is>
      </c>
      <c r="K1771" s="5" t="inlineStr">
        <is>
          <t>01a152b9-6ee2-7577-bddd-382bc3853fde</t>
        </is>
      </c>
      <c r="M1771" t="inlineStr">
        <is>
          <t>UNKNOWN</t>
        </is>
      </c>
      <c r="N1771" t="inlineStr">
        <is>
          <t>DEFAULT</t>
        </is>
      </c>
      <c r="Q1771" t="n">
        <v>0</v>
      </c>
      <c r="R1771" t="inlineStr">
        <is>
          <t>AUD</t>
        </is>
      </c>
      <c r="S1771" t="n">
        <v>0</v>
      </c>
      <c r="T1771" t="inlineStr">
        <is>
          <t>AUD</t>
        </is>
      </c>
      <c r="U1771" t="n">
        <v>0</v>
      </c>
    </row>
    <row r="1772">
      <c r="A1772" s="5" t="inlineStr">
        <is>
          <t>01a152b9-8a74-7520-a927-493413bc35f0</t>
        </is>
      </c>
      <c r="C1772" s="5" t="inlineStr">
        <is>
          <t>01a152b9-6e67-75da-8adb-b03e5d07fd21</t>
        </is>
      </c>
      <c r="D1772" s="4" t="n">
        <v>46314.24599246045</v>
      </c>
      <c r="E1772" s="4" t="n">
        <v>46314.24599246054</v>
      </c>
      <c r="F1772" t="b">
        <v>1</v>
      </c>
      <c r="G1772" t="n">
        <v/>
      </c>
      <c r="H1772" t="inlineStr">
        <is>
          <t>LPM</t>
        </is>
      </c>
      <c r="I1772" t="inlineStr">
        <is>
          <t>Lithium Plus Minerals Ltd</t>
        </is>
      </c>
      <c r="J1772" t="inlineStr">
        <is>
          <t>AUD</t>
        </is>
      </c>
      <c r="K1772" s="5" t="inlineStr">
        <is>
          <t>01a152b9-6ee2-7577-bddd-382bc3853fde</t>
        </is>
      </c>
      <c r="M1772" t="inlineStr">
        <is>
          <t>UNKNOWN</t>
        </is>
      </c>
      <c r="N1772" t="inlineStr">
        <is>
          <t>DEFAULT</t>
        </is>
      </c>
      <c r="Q1772" t="n">
        <v>0</v>
      </c>
      <c r="R1772" t="inlineStr">
        <is>
          <t>AUD</t>
        </is>
      </c>
      <c r="S1772" t="n">
        <v>0</v>
      </c>
      <c r="T1772" t="inlineStr">
        <is>
          <t>AUD</t>
        </is>
      </c>
      <c r="U1772" t="n">
        <v>0</v>
      </c>
    </row>
    <row r="1773">
      <c r="A1773" s="5" t="inlineStr">
        <is>
          <t>01a152b9-8a78-719f-a789-2f999400f59e</t>
        </is>
      </c>
      <c r="C1773" s="5" t="inlineStr">
        <is>
          <t>01a152b9-6e67-75da-8adb-b03e5d07fd21</t>
        </is>
      </c>
      <c r="D1773" s="4" t="n">
        <v>46314.24599250267</v>
      </c>
      <c r="E1773" s="4" t="n">
        <v>46314.24599250279</v>
      </c>
      <c r="F1773" t="b">
        <v>1</v>
      </c>
      <c r="G1773" t="n">
        <v/>
      </c>
      <c r="H1773" t="inlineStr">
        <is>
          <t>MEM</t>
        </is>
      </c>
      <c r="I1773" t="inlineStr">
        <is>
          <t>Memphasys Ltd</t>
        </is>
      </c>
      <c r="J1773" t="inlineStr">
        <is>
          <t>AUD</t>
        </is>
      </c>
      <c r="K1773" s="5" t="inlineStr">
        <is>
          <t>01a152b9-6ee2-7577-bddd-382bc3853fde</t>
        </is>
      </c>
      <c r="M1773" t="inlineStr">
        <is>
          <t>UNKNOWN</t>
        </is>
      </c>
      <c r="N1773" t="inlineStr">
        <is>
          <t>DEFAULT</t>
        </is>
      </c>
      <c r="Q1773" t="n">
        <v>0</v>
      </c>
      <c r="R1773" t="inlineStr">
        <is>
          <t>AUD</t>
        </is>
      </c>
      <c r="S1773" t="n">
        <v>0</v>
      </c>
      <c r="T1773" t="inlineStr">
        <is>
          <t>AUD</t>
        </is>
      </c>
      <c r="U1773" t="n">
        <v>0</v>
      </c>
    </row>
    <row r="1774">
      <c r="A1774" s="5" t="inlineStr">
        <is>
          <t>01a152b9-8a7b-77ad-bd8c-bdce9825d6d2</t>
        </is>
      </c>
      <c r="C1774" s="5" t="inlineStr">
        <is>
          <t>01a152b9-6e67-75da-8adb-b03e5d07fd21</t>
        </is>
      </c>
      <c r="D1774" s="4" t="n">
        <v>46314.24599254016</v>
      </c>
      <c r="E1774" s="4" t="n">
        <v>46314.24599254027</v>
      </c>
      <c r="F1774" t="b">
        <v>1</v>
      </c>
      <c r="G1774" t="n">
        <v/>
      </c>
      <c r="H1774" t="inlineStr">
        <is>
          <t>RKT</t>
        </is>
      </c>
      <c r="I1774" t="inlineStr">
        <is>
          <t>Rocketdna Ltd</t>
        </is>
      </c>
      <c r="J1774" t="inlineStr">
        <is>
          <t>AUD</t>
        </is>
      </c>
      <c r="K1774" s="5" t="inlineStr">
        <is>
          <t>01a152b9-6ee2-7577-bddd-382bc3853fde</t>
        </is>
      </c>
      <c r="M1774" t="inlineStr">
        <is>
          <t>UNKNOWN</t>
        </is>
      </c>
      <c r="N1774" t="inlineStr">
        <is>
          <t>DEFAULT</t>
        </is>
      </c>
      <c r="Q1774" t="n">
        <v>0</v>
      </c>
      <c r="R1774" t="inlineStr">
        <is>
          <t>AUD</t>
        </is>
      </c>
      <c r="S1774" t="n">
        <v>0</v>
      </c>
      <c r="T1774" t="inlineStr">
        <is>
          <t>AUD</t>
        </is>
      </c>
      <c r="U1774" t="n">
        <v>0</v>
      </c>
    </row>
    <row r="1775">
      <c r="A1775" s="5" t="inlineStr">
        <is>
          <t>01a152b9-8a7e-72cc-8a1d-1ea6370c2d32</t>
        </is>
      </c>
      <c r="C1775" s="5" t="inlineStr">
        <is>
          <t>01a152b9-6e67-75da-8adb-b03e5d07fd21</t>
        </is>
      </c>
      <c r="D1775" s="4" t="n">
        <v>46314.24599258196</v>
      </c>
      <c r="E1775" s="4" t="n">
        <v>46314.24599258207</v>
      </c>
      <c r="F1775" t="b">
        <v>1</v>
      </c>
      <c r="G1775" t="n">
        <v/>
      </c>
      <c r="H1775" t="inlineStr">
        <is>
          <t>HOR</t>
        </is>
      </c>
      <c r="I1775" t="inlineStr">
        <is>
          <t>Horseshoe Metals Ltd</t>
        </is>
      </c>
      <c r="J1775" t="inlineStr">
        <is>
          <t>AUD</t>
        </is>
      </c>
      <c r="K1775" s="5" t="inlineStr">
        <is>
          <t>01a152b9-6ee2-7577-bddd-382bc3853fde</t>
        </is>
      </c>
      <c r="M1775" t="inlineStr">
        <is>
          <t>UNKNOWN</t>
        </is>
      </c>
      <c r="N1775" t="inlineStr">
        <is>
          <t>DEFAULT</t>
        </is>
      </c>
      <c r="Q1775" t="n">
        <v>0</v>
      </c>
      <c r="R1775" t="inlineStr">
        <is>
          <t>AUD</t>
        </is>
      </c>
      <c r="S1775" t="n">
        <v>0</v>
      </c>
      <c r="T1775" t="inlineStr">
        <is>
          <t>AUD</t>
        </is>
      </c>
      <c r="U1775" t="n">
        <v>0</v>
      </c>
    </row>
    <row r="1776">
      <c r="A1776" s="5" t="inlineStr">
        <is>
          <t>01a152b9-8a82-75df-95a0-6a53e63e62b3</t>
        </is>
      </c>
      <c r="C1776" s="5" t="inlineStr">
        <is>
          <t>01a152b9-6e67-75da-8adb-b03e5d07fd21</t>
        </is>
      </c>
      <c r="D1776" s="4" t="n">
        <v>46314.24599262117</v>
      </c>
      <c r="E1776" s="4" t="n">
        <v>46314.24599262128</v>
      </c>
      <c r="F1776" t="b">
        <v>1</v>
      </c>
      <c r="G1776" t="n">
        <v/>
      </c>
      <c r="H1776" t="inlineStr">
        <is>
          <t>ECPGA</t>
        </is>
      </c>
      <c r="I1776" t="inlineStr">
        <is>
          <t>ECP Emerging Growth Ltd</t>
        </is>
      </c>
      <c r="J1776" t="inlineStr">
        <is>
          <t>AUD</t>
        </is>
      </c>
      <c r="K1776" s="5" t="inlineStr">
        <is>
          <t>01a152b9-6ee2-7577-bddd-382bc3853fde</t>
        </is>
      </c>
      <c r="M1776" t="inlineStr">
        <is>
          <t>UNKNOWN</t>
        </is>
      </c>
      <c r="N1776" t="inlineStr">
        <is>
          <t>DEFAULT</t>
        </is>
      </c>
      <c r="Q1776" t="n">
        <v>0</v>
      </c>
      <c r="R1776" t="inlineStr">
        <is>
          <t>AUD</t>
        </is>
      </c>
      <c r="S1776" t="n">
        <v>0</v>
      </c>
      <c r="T1776" t="inlineStr">
        <is>
          <t>AUD</t>
        </is>
      </c>
      <c r="U1776" t="n">
        <v>0</v>
      </c>
    </row>
    <row r="1777">
      <c r="A1777" s="5" t="inlineStr">
        <is>
          <t>01a152b9-8a85-7646-86cb-f3309cae825c</t>
        </is>
      </c>
      <c r="C1777" s="5" t="inlineStr">
        <is>
          <t>01a152b9-6e67-75da-8adb-b03e5d07fd21</t>
        </is>
      </c>
      <c r="D1777" s="4" t="n">
        <v>46314.24599265934</v>
      </c>
      <c r="E1777" s="4" t="n">
        <v>46314.24599265947</v>
      </c>
      <c r="F1777" t="b">
        <v>1</v>
      </c>
      <c r="G1777" t="n">
        <v/>
      </c>
      <c r="H1777" t="inlineStr">
        <is>
          <t>N1H</t>
        </is>
      </c>
      <c r="I1777" t="inlineStr">
        <is>
          <t>N1 Holdings Ltd</t>
        </is>
      </c>
      <c r="J1777" t="inlineStr">
        <is>
          <t>AUD</t>
        </is>
      </c>
      <c r="K1777" s="5" t="inlineStr">
        <is>
          <t>01a152b9-6ee2-7577-bddd-382bc3853fde</t>
        </is>
      </c>
      <c r="M1777" t="inlineStr">
        <is>
          <t>UNKNOWN</t>
        </is>
      </c>
      <c r="N1777" t="inlineStr">
        <is>
          <t>DEFAULT</t>
        </is>
      </c>
      <c r="Q1777" t="n">
        <v>0</v>
      </c>
      <c r="R1777" t="inlineStr">
        <is>
          <t>AUD</t>
        </is>
      </c>
      <c r="S1777" t="n">
        <v>0</v>
      </c>
      <c r="T1777" t="inlineStr">
        <is>
          <t>AUD</t>
        </is>
      </c>
      <c r="U1777" t="n">
        <v>0</v>
      </c>
    </row>
    <row r="1778">
      <c r="A1778" s="5" t="inlineStr">
        <is>
          <t>01a152b9-8a89-70ef-b513-a4ea7dbe8ad1</t>
        </is>
      </c>
      <c r="C1778" s="5" t="inlineStr">
        <is>
          <t>01a152b9-6e67-75da-8adb-b03e5d07fd21</t>
        </is>
      </c>
      <c r="D1778" s="4" t="n">
        <v>46314.24599270501</v>
      </c>
      <c r="E1778" s="4" t="n">
        <v>46314.24599270512</v>
      </c>
      <c r="F1778" t="b">
        <v>1</v>
      </c>
      <c r="G1778" t="n">
        <v/>
      </c>
      <c r="H1778" t="inlineStr">
        <is>
          <t>BMH</t>
        </is>
      </c>
      <c r="I1778" t="inlineStr">
        <is>
          <t>Baumart Holdings Ltd</t>
        </is>
      </c>
      <c r="J1778" t="inlineStr">
        <is>
          <t>AUD</t>
        </is>
      </c>
      <c r="K1778" s="5" t="inlineStr">
        <is>
          <t>01a152b9-6ee2-7577-bddd-382bc3853fde</t>
        </is>
      </c>
      <c r="M1778" t="inlineStr">
        <is>
          <t>UNKNOWN</t>
        </is>
      </c>
      <c r="N1778" t="inlineStr">
        <is>
          <t>DEFAULT</t>
        </is>
      </c>
      <c r="Q1778" t="n">
        <v>0</v>
      </c>
      <c r="R1778" t="inlineStr">
        <is>
          <t>AUD</t>
        </is>
      </c>
      <c r="S1778" t="n">
        <v>0</v>
      </c>
      <c r="T1778" t="inlineStr">
        <is>
          <t>AUD</t>
        </is>
      </c>
      <c r="U1778" t="n">
        <v>0</v>
      </c>
    </row>
    <row r="1779">
      <c r="A1779" s="5" t="inlineStr">
        <is>
          <t>01a152b9-8a8d-74dc-b2a8-73d218a2b65d</t>
        </is>
      </c>
      <c r="C1779" s="5" t="inlineStr">
        <is>
          <t>01a152b9-6e67-75da-8adb-b03e5d07fd21</t>
        </is>
      </c>
      <c r="D1779" s="4" t="n">
        <v>46314.24599274522</v>
      </c>
      <c r="E1779" s="4" t="n">
        <v>46314.24599274536</v>
      </c>
      <c r="F1779" t="b">
        <v>1</v>
      </c>
      <c r="G1779" t="n">
        <v/>
      </c>
      <c r="H1779" t="inlineStr">
        <is>
          <t>MM1</t>
        </is>
      </c>
      <c r="I1779" t="inlineStr">
        <is>
          <t>Midas Minerals Ltd</t>
        </is>
      </c>
      <c r="J1779" t="inlineStr">
        <is>
          <t>AUD</t>
        </is>
      </c>
      <c r="K1779" s="5" t="inlineStr">
        <is>
          <t>01a152b9-6ee2-7577-bddd-382bc3853fde</t>
        </is>
      </c>
      <c r="M1779" t="inlineStr">
        <is>
          <t>UNKNOWN</t>
        </is>
      </c>
      <c r="N1779" t="inlineStr">
        <is>
          <t>DEFAULT</t>
        </is>
      </c>
      <c r="Q1779" t="n">
        <v>0</v>
      </c>
      <c r="R1779" t="inlineStr">
        <is>
          <t>AUD</t>
        </is>
      </c>
      <c r="S1779" t="n">
        <v>0</v>
      </c>
      <c r="T1779" t="inlineStr">
        <is>
          <t>AUD</t>
        </is>
      </c>
      <c r="U1779" t="n">
        <v>0</v>
      </c>
    </row>
    <row r="1780">
      <c r="A1780" s="5" t="inlineStr">
        <is>
          <t>01a152b9-8a90-7664-abb9-150df01749e5</t>
        </is>
      </c>
      <c r="C1780" s="5" t="inlineStr">
        <is>
          <t>01a152b9-6e67-75da-8adb-b03e5d07fd21</t>
        </is>
      </c>
      <c r="D1780" s="4" t="n">
        <v>46314.24599278544</v>
      </c>
      <c r="E1780" s="4" t="n">
        <v>46314.24599278558</v>
      </c>
      <c r="F1780" t="b">
        <v>1</v>
      </c>
      <c r="G1780" t="n">
        <v/>
      </c>
      <c r="H1780" t="inlineStr">
        <is>
          <t>MGU</t>
        </is>
      </c>
      <c r="I1780" t="inlineStr">
        <is>
          <t>Magnum Mining and Exploration Ltd</t>
        </is>
      </c>
      <c r="J1780" t="inlineStr">
        <is>
          <t>AUD</t>
        </is>
      </c>
      <c r="K1780" s="5" t="inlineStr">
        <is>
          <t>01a152b9-6ee2-7577-bddd-382bc3853fde</t>
        </is>
      </c>
      <c r="M1780" t="inlineStr">
        <is>
          <t>UNKNOWN</t>
        </is>
      </c>
      <c r="N1780" t="inlineStr">
        <is>
          <t>DEFAULT</t>
        </is>
      </c>
      <c r="Q1780" t="n">
        <v>0</v>
      </c>
      <c r="R1780" t="inlineStr">
        <is>
          <t>AUD</t>
        </is>
      </c>
      <c r="S1780" t="n">
        <v>0</v>
      </c>
      <c r="T1780" t="inlineStr">
        <is>
          <t>AUD</t>
        </is>
      </c>
      <c r="U1780" t="n">
        <v>0</v>
      </c>
    </row>
    <row r="1781">
      <c r="A1781" s="5" t="inlineStr">
        <is>
          <t>01a152b9-8a94-746a-b87f-223f48ed2958</t>
        </is>
      </c>
      <c r="C1781" s="5" t="inlineStr">
        <is>
          <t>01a152b9-6e67-75da-8adb-b03e5d07fd21</t>
        </is>
      </c>
      <c r="D1781" s="4" t="n">
        <v>46314.24599283314</v>
      </c>
      <c r="E1781" s="4" t="n">
        <v>46314.24599283328</v>
      </c>
      <c r="F1781" t="b">
        <v>1</v>
      </c>
      <c r="G1781" t="n">
        <v/>
      </c>
      <c r="H1781" t="inlineStr">
        <is>
          <t>RGOS</t>
        </is>
      </c>
      <c r="I1781" t="inlineStr">
        <is>
          <t>Russell Sust Global Opportunities Complex ETF</t>
        </is>
      </c>
      <c r="J1781" t="inlineStr">
        <is>
          <t>AUD</t>
        </is>
      </c>
      <c r="K1781" s="5" t="inlineStr">
        <is>
          <t>01a152b9-6ee2-7577-bddd-382bc3853fde</t>
        </is>
      </c>
      <c r="M1781" t="inlineStr">
        <is>
          <t>UNKNOWN</t>
        </is>
      </c>
      <c r="N1781" t="inlineStr">
        <is>
          <t>DEFAULT</t>
        </is>
      </c>
      <c r="Q1781" t="n">
        <v>0</v>
      </c>
      <c r="R1781" t="inlineStr">
        <is>
          <t>AUD</t>
        </is>
      </c>
      <c r="S1781" t="n">
        <v>0</v>
      </c>
      <c r="T1781" t="inlineStr">
        <is>
          <t>AUD</t>
        </is>
      </c>
      <c r="U1781" t="n">
        <v>0</v>
      </c>
    </row>
    <row r="1782">
      <c r="A1782" s="5" t="inlineStr">
        <is>
          <t>01a152b9-8a98-706c-9447-7e85b7ef8879</t>
        </is>
      </c>
      <c r="C1782" s="5" t="inlineStr">
        <is>
          <t>01a152b9-6e67-75da-8adb-b03e5d07fd21</t>
        </is>
      </c>
      <c r="D1782" s="4" t="n">
        <v>46314.24599288071</v>
      </c>
      <c r="E1782" s="4" t="n">
        <v>46314.2459928809</v>
      </c>
      <c r="F1782" t="b">
        <v>1</v>
      </c>
      <c r="G1782" t="n">
        <v/>
      </c>
      <c r="H1782" t="inlineStr">
        <is>
          <t>TEG</t>
        </is>
      </c>
      <c r="I1782" t="inlineStr">
        <is>
          <t>Triangle Energy (Global) Ltd</t>
        </is>
      </c>
      <c r="J1782" t="inlineStr">
        <is>
          <t>AUD</t>
        </is>
      </c>
      <c r="K1782" s="5" t="inlineStr">
        <is>
          <t>01a152b9-6ee2-7577-bddd-382bc3853fde</t>
        </is>
      </c>
      <c r="M1782" t="inlineStr">
        <is>
          <t>UNKNOWN</t>
        </is>
      </c>
      <c r="N1782" t="inlineStr">
        <is>
          <t>DEFAULT</t>
        </is>
      </c>
      <c r="Q1782" t="n">
        <v>0</v>
      </c>
      <c r="R1782" t="inlineStr">
        <is>
          <t>AUD</t>
        </is>
      </c>
      <c r="S1782" t="n">
        <v>0</v>
      </c>
      <c r="T1782" t="inlineStr">
        <is>
          <t>AUD</t>
        </is>
      </c>
      <c r="U1782" t="n">
        <v>0</v>
      </c>
    </row>
    <row r="1783">
      <c r="A1783" s="5" t="inlineStr">
        <is>
          <t>01a152b9-8a9e-7538-b1b8-34a3f604244e</t>
        </is>
      </c>
      <c r="C1783" s="5" t="inlineStr">
        <is>
          <t>01a152b9-6e67-75da-8adb-b03e5d07fd21</t>
        </is>
      </c>
      <c r="D1783" s="4" t="n">
        <v>46314.24599294545</v>
      </c>
      <c r="E1783" s="4" t="n">
        <v>46314.24599294564</v>
      </c>
      <c r="F1783" t="b">
        <v>1</v>
      </c>
      <c r="G1783" t="n">
        <v/>
      </c>
      <c r="H1783" t="inlineStr">
        <is>
          <t>GIVE</t>
        </is>
      </c>
      <c r="I1783" t="inlineStr">
        <is>
          <t>Perpetual Esg Australian Share Fund (Managed Fund)</t>
        </is>
      </c>
      <c r="J1783" t="inlineStr">
        <is>
          <t>AUD</t>
        </is>
      </c>
      <c r="K1783" s="5" t="inlineStr">
        <is>
          <t>01a152b9-6ee2-7577-bddd-382bc3853fde</t>
        </is>
      </c>
      <c r="M1783" t="inlineStr">
        <is>
          <t>UNKNOWN</t>
        </is>
      </c>
      <c r="N1783" t="inlineStr">
        <is>
          <t>DEFAULT</t>
        </is>
      </c>
      <c r="Q1783" t="n">
        <v>0</v>
      </c>
      <c r="R1783" t="inlineStr">
        <is>
          <t>AUD</t>
        </is>
      </c>
      <c r="S1783" t="n">
        <v>0</v>
      </c>
      <c r="T1783" t="inlineStr">
        <is>
          <t>AUD</t>
        </is>
      </c>
      <c r="U1783" t="n">
        <v>0</v>
      </c>
    </row>
    <row r="1784">
      <c r="A1784" s="5" t="inlineStr">
        <is>
          <t>01a152b9-8aa3-7680-b4db-55d9547a988e</t>
        </is>
      </c>
      <c r="C1784" s="5" t="inlineStr">
        <is>
          <t>01a152b9-6e67-75da-8adb-b03e5d07fd21</t>
        </is>
      </c>
      <c r="D1784" s="4" t="n">
        <v>46314.24599300564</v>
      </c>
      <c r="E1784" s="4" t="n">
        <v>46314.24599300581</v>
      </c>
      <c r="F1784" t="b">
        <v>1</v>
      </c>
      <c r="G1784" t="n">
        <v/>
      </c>
      <c r="H1784" t="inlineStr">
        <is>
          <t>HGL</t>
        </is>
      </c>
      <c r="I1784" t="inlineStr">
        <is>
          <t>Hudson Investment Group Ltd</t>
        </is>
      </c>
      <c r="J1784" t="inlineStr">
        <is>
          <t>AUD</t>
        </is>
      </c>
      <c r="K1784" s="5" t="inlineStr">
        <is>
          <t>01a152b9-6ee2-7577-bddd-382bc3853fde</t>
        </is>
      </c>
      <c r="M1784" t="inlineStr">
        <is>
          <t>UNKNOWN</t>
        </is>
      </c>
      <c r="N1784" t="inlineStr">
        <is>
          <t>DEFAULT</t>
        </is>
      </c>
      <c r="Q1784" t="n">
        <v>0</v>
      </c>
      <c r="R1784" t="inlineStr">
        <is>
          <t>AUD</t>
        </is>
      </c>
      <c r="S1784" t="n">
        <v>0</v>
      </c>
      <c r="T1784" t="inlineStr">
        <is>
          <t>AUD</t>
        </is>
      </c>
      <c r="U1784" t="n">
        <v>0</v>
      </c>
    </row>
    <row r="1785">
      <c r="A1785" s="5" t="inlineStr">
        <is>
          <t>01a152b9-8aa8-71a4-bd0f-a4ef8b0a8b00</t>
        </is>
      </c>
      <c r="C1785" s="5" t="inlineStr">
        <is>
          <t>01a152b9-6e67-75da-8adb-b03e5d07fd21</t>
        </is>
      </c>
      <c r="D1785" s="4" t="n">
        <v>46314.24599305861</v>
      </c>
      <c r="E1785" s="4" t="n">
        <v>46314.24599305875</v>
      </c>
      <c r="F1785" t="b">
        <v>1</v>
      </c>
      <c r="G1785" t="n">
        <v/>
      </c>
      <c r="H1785" t="inlineStr">
        <is>
          <t>GTR</t>
        </is>
      </c>
      <c r="I1785" t="inlineStr">
        <is>
          <t>Gti Energy Ltd</t>
        </is>
      </c>
      <c r="J1785" t="inlineStr">
        <is>
          <t>AUD</t>
        </is>
      </c>
      <c r="K1785" s="5" t="inlineStr">
        <is>
          <t>01a152b9-6ee2-7577-bddd-382bc3853fde</t>
        </is>
      </c>
      <c r="M1785" t="inlineStr">
        <is>
          <t>UNKNOWN</t>
        </is>
      </c>
      <c r="N1785" t="inlineStr">
        <is>
          <t>DEFAULT</t>
        </is>
      </c>
      <c r="Q1785" t="n">
        <v>0</v>
      </c>
      <c r="R1785" t="inlineStr">
        <is>
          <t>AUD</t>
        </is>
      </c>
      <c r="S1785" t="n">
        <v>0</v>
      </c>
      <c r="T1785" t="inlineStr">
        <is>
          <t>AUD</t>
        </is>
      </c>
      <c r="U1785" t="n">
        <v>0</v>
      </c>
    </row>
    <row r="1786">
      <c r="A1786" s="5" t="inlineStr">
        <is>
          <t>01a152b9-8aab-779b-8480-280c2d7c5784</t>
        </is>
      </c>
      <c r="C1786" s="5" t="inlineStr">
        <is>
          <t>01a152b9-6e67-75da-8adb-b03e5d07fd21</t>
        </is>
      </c>
      <c r="D1786" s="4" t="n">
        <v>46314.24599309905</v>
      </c>
      <c r="E1786" s="4" t="n">
        <v>46314.24599309917</v>
      </c>
      <c r="F1786" t="b">
        <v>1</v>
      </c>
      <c r="G1786" t="n">
        <v/>
      </c>
      <c r="H1786" t="inlineStr">
        <is>
          <t>SP8</t>
        </is>
      </c>
      <c r="I1786" t="inlineStr">
        <is>
          <t>Streamplay Studio Ltd</t>
        </is>
      </c>
      <c r="J1786" t="inlineStr">
        <is>
          <t>AUD</t>
        </is>
      </c>
      <c r="K1786" s="5" t="inlineStr">
        <is>
          <t>01a152b9-6ee2-7577-bddd-382bc3853fde</t>
        </is>
      </c>
      <c r="M1786" t="inlineStr">
        <is>
          <t>UNKNOWN</t>
        </is>
      </c>
      <c r="N1786" t="inlineStr">
        <is>
          <t>DEFAULT</t>
        </is>
      </c>
      <c r="Q1786" t="n">
        <v>0</v>
      </c>
      <c r="R1786" t="inlineStr">
        <is>
          <t>AUD</t>
        </is>
      </c>
      <c r="S1786" t="n">
        <v>0</v>
      </c>
      <c r="T1786" t="inlineStr">
        <is>
          <t>AUD</t>
        </is>
      </c>
      <c r="U1786" t="n">
        <v>0</v>
      </c>
    </row>
    <row r="1787">
      <c r="A1787" s="5" t="inlineStr">
        <is>
          <t>01a152b9-8aaf-71a4-a934-c942750ee4e3</t>
        </is>
      </c>
      <c r="C1787" s="5" t="inlineStr">
        <is>
          <t>01a152b9-6e67-75da-8adb-b03e5d07fd21</t>
        </is>
      </c>
      <c r="D1787" s="4" t="n">
        <v>46314.24599314004</v>
      </c>
      <c r="E1787" s="4" t="n">
        <v>46314.24599314016</v>
      </c>
      <c r="F1787" t="b">
        <v>1</v>
      </c>
      <c r="G1787" t="n">
        <v/>
      </c>
      <c r="H1787" t="inlineStr">
        <is>
          <t>SGA</t>
        </is>
      </c>
      <c r="I1787" t="inlineStr">
        <is>
          <t>Sarytogan Graphite Ltd</t>
        </is>
      </c>
      <c r="J1787" t="inlineStr">
        <is>
          <t>AUD</t>
        </is>
      </c>
      <c r="K1787" s="5" t="inlineStr">
        <is>
          <t>01a152b9-6ee2-7577-bddd-382bc3853fde</t>
        </is>
      </c>
      <c r="M1787" t="inlineStr">
        <is>
          <t>UNKNOWN</t>
        </is>
      </c>
      <c r="N1787" t="inlineStr">
        <is>
          <t>DEFAULT</t>
        </is>
      </c>
      <c r="Q1787" t="n">
        <v>0</v>
      </c>
      <c r="R1787" t="inlineStr">
        <is>
          <t>AUD</t>
        </is>
      </c>
      <c r="S1787" t="n">
        <v>0</v>
      </c>
      <c r="T1787" t="inlineStr">
        <is>
          <t>AUD</t>
        </is>
      </c>
      <c r="U1787" t="n">
        <v>0</v>
      </c>
    </row>
    <row r="1788">
      <c r="A1788" s="5" t="inlineStr">
        <is>
          <t>01a152b9-8ab2-70ee-925f-584943f1208c</t>
        </is>
      </c>
      <c r="C1788" s="5" t="inlineStr">
        <is>
          <t>01a152b9-6e67-75da-8adb-b03e5d07fd21</t>
        </is>
      </c>
      <c r="D1788" s="4" t="n">
        <v>46314.24599317669</v>
      </c>
      <c r="E1788" s="4" t="n">
        <v>46314.2459931768</v>
      </c>
      <c r="F1788" t="b">
        <v>1</v>
      </c>
      <c r="G1788" t="n">
        <v/>
      </c>
      <c r="H1788" t="inlineStr">
        <is>
          <t>LML</t>
        </is>
      </c>
      <c r="I1788" t="inlineStr">
        <is>
          <t>Lincoln Minerals Ltd</t>
        </is>
      </c>
      <c r="J1788" t="inlineStr">
        <is>
          <t>AUD</t>
        </is>
      </c>
      <c r="K1788" s="5" t="inlineStr">
        <is>
          <t>01a152b9-6ee2-7577-bddd-382bc3853fde</t>
        </is>
      </c>
      <c r="M1788" t="inlineStr">
        <is>
          <t>UNKNOWN</t>
        </is>
      </c>
      <c r="N1788" t="inlineStr">
        <is>
          <t>DEFAULT</t>
        </is>
      </c>
      <c r="Q1788" t="n">
        <v>0</v>
      </c>
      <c r="R1788" t="inlineStr">
        <is>
          <t>AUD</t>
        </is>
      </c>
      <c r="S1788" t="n">
        <v>0</v>
      </c>
      <c r="T1788" t="inlineStr">
        <is>
          <t>AUD</t>
        </is>
      </c>
      <c r="U1788" t="n">
        <v>0</v>
      </c>
    </row>
    <row r="1789">
      <c r="A1789" s="5" t="inlineStr">
        <is>
          <t>01a152b9-8ab5-7572-9c4b-2c6d79fd296f</t>
        </is>
      </c>
      <c r="C1789" s="5" t="inlineStr">
        <is>
          <t>01a152b9-6e67-75da-8adb-b03e5d07fd21</t>
        </is>
      </c>
      <c r="D1789" s="4" t="n">
        <v>46314.24599321404</v>
      </c>
      <c r="E1789" s="4" t="n">
        <v>46314.24599321414</v>
      </c>
      <c r="F1789" t="b">
        <v>1</v>
      </c>
      <c r="G1789" t="n">
        <v/>
      </c>
      <c r="H1789" t="inlineStr">
        <is>
          <t>BNR</t>
        </is>
      </c>
      <c r="I1789" t="inlineStr">
        <is>
          <t>Bulletin Resources Ltd</t>
        </is>
      </c>
      <c r="J1789" t="inlineStr">
        <is>
          <t>AUD</t>
        </is>
      </c>
      <c r="K1789" s="5" t="inlineStr">
        <is>
          <t>01a152b9-6ee2-7577-bddd-382bc3853fde</t>
        </is>
      </c>
      <c r="M1789" t="inlineStr">
        <is>
          <t>UNKNOWN</t>
        </is>
      </c>
      <c r="N1789" t="inlineStr">
        <is>
          <t>DEFAULT</t>
        </is>
      </c>
      <c r="Q1789" t="n">
        <v>0</v>
      </c>
      <c r="R1789" t="inlineStr">
        <is>
          <t>AUD</t>
        </is>
      </c>
      <c r="S1789" t="n">
        <v>0</v>
      </c>
      <c r="T1789" t="inlineStr">
        <is>
          <t>AUD</t>
        </is>
      </c>
      <c r="U1789" t="n">
        <v>0</v>
      </c>
    </row>
    <row r="1790">
      <c r="A1790" s="5" t="inlineStr">
        <is>
          <t>01a152b9-8ab8-7261-a914-b71fed1d4686</t>
        </is>
      </c>
      <c r="C1790" s="5" t="inlineStr">
        <is>
          <t>01a152b9-6e67-75da-8adb-b03e5d07fd21</t>
        </is>
      </c>
      <c r="D1790" s="4" t="n">
        <v>46314.24599324961</v>
      </c>
      <c r="E1790" s="4" t="n">
        <v>46314.2459932497</v>
      </c>
      <c r="F1790" t="b">
        <v>1</v>
      </c>
      <c r="G1790" t="n">
        <v/>
      </c>
      <c r="H1790" t="inlineStr">
        <is>
          <t>PNN</t>
        </is>
      </c>
      <c r="I1790" t="inlineStr">
        <is>
          <t>Power Minerals Ltd</t>
        </is>
      </c>
      <c r="J1790" t="inlineStr">
        <is>
          <t>AUD</t>
        </is>
      </c>
      <c r="K1790" s="5" t="inlineStr">
        <is>
          <t>01a152b9-6ee2-7577-bddd-382bc3853fde</t>
        </is>
      </c>
      <c r="M1790" t="inlineStr">
        <is>
          <t>UNKNOWN</t>
        </is>
      </c>
      <c r="N1790" t="inlineStr">
        <is>
          <t>DEFAULT</t>
        </is>
      </c>
      <c r="Q1790" t="n">
        <v>0</v>
      </c>
      <c r="R1790" t="inlineStr">
        <is>
          <t>AUD</t>
        </is>
      </c>
      <c r="S1790" t="n">
        <v>0</v>
      </c>
      <c r="T1790" t="inlineStr">
        <is>
          <t>AUD</t>
        </is>
      </c>
      <c r="U1790" t="n">
        <v>0</v>
      </c>
    </row>
    <row r="1791">
      <c r="A1791" s="5" t="inlineStr">
        <is>
          <t>01a152b9-8abb-7446-b8e6-a1c62e9d7e25</t>
        </is>
      </c>
      <c r="C1791" s="5" t="inlineStr">
        <is>
          <t>01a152b9-6e67-75da-8adb-b03e5d07fd21</t>
        </is>
      </c>
      <c r="D1791" s="4" t="n">
        <v>46314.24599328514</v>
      </c>
      <c r="E1791" s="4" t="n">
        <v>46314.24599328527</v>
      </c>
      <c r="F1791" t="b">
        <v>1</v>
      </c>
      <c r="G1791" t="n">
        <v/>
      </c>
      <c r="H1791" t="inlineStr">
        <is>
          <t>AON</t>
        </is>
      </c>
      <c r="I1791" t="inlineStr">
        <is>
          <t>Apollo Minerals Ltd</t>
        </is>
      </c>
      <c r="J1791" t="inlineStr">
        <is>
          <t>AUD</t>
        </is>
      </c>
      <c r="K1791" s="5" t="inlineStr">
        <is>
          <t>01a152b9-6ee2-7577-bddd-382bc3853fde</t>
        </is>
      </c>
      <c r="M1791" t="inlineStr">
        <is>
          <t>UNKNOWN</t>
        </is>
      </c>
      <c r="N1791" t="inlineStr">
        <is>
          <t>DEFAULT</t>
        </is>
      </c>
      <c r="Q1791" t="n">
        <v>0</v>
      </c>
      <c r="R1791" t="inlineStr">
        <is>
          <t>AUD</t>
        </is>
      </c>
      <c r="S1791" t="n">
        <v>0</v>
      </c>
      <c r="T1791" t="inlineStr">
        <is>
          <t>AUD</t>
        </is>
      </c>
      <c r="U1791" t="n">
        <v>0</v>
      </c>
    </row>
    <row r="1792">
      <c r="A1792" s="5" t="inlineStr">
        <is>
          <t>01a152b9-8abf-70e1-97ad-30f248c00f4e</t>
        </is>
      </c>
      <c r="C1792" s="5" t="inlineStr">
        <is>
          <t>01a152b9-6e67-75da-8adb-b03e5d07fd21</t>
        </is>
      </c>
      <c r="D1792" s="4" t="n">
        <v>46314.24599332921</v>
      </c>
      <c r="E1792" s="4" t="n">
        <v>46314.24599332931</v>
      </c>
      <c r="F1792" t="b">
        <v>1</v>
      </c>
      <c r="G1792" t="n">
        <v/>
      </c>
      <c r="H1792" t="inlineStr">
        <is>
          <t>PGD</t>
        </is>
      </c>
      <c r="I1792" t="inlineStr">
        <is>
          <t>Peregrine Gold Ltd</t>
        </is>
      </c>
      <c r="J1792" t="inlineStr">
        <is>
          <t>AUD</t>
        </is>
      </c>
      <c r="K1792" s="5" t="inlineStr">
        <is>
          <t>01a152b9-6ee2-7577-bddd-382bc3853fde</t>
        </is>
      </c>
      <c r="M1792" t="inlineStr">
        <is>
          <t>UNKNOWN</t>
        </is>
      </c>
      <c r="N1792" t="inlineStr">
        <is>
          <t>DEFAULT</t>
        </is>
      </c>
      <c r="Q1792" t="n">
        <v>0</v>
      </c>
      <c r="R1792" t="inlineStr">
        <is>
          <t>AUD</t>
        </is>
      </c>
      <c r="S1792" t="n">
        <v>0</v>
      </c>
      <c r="T1792" t="inlineStr">
        <is>
          <t>AUD</t>
        </is>
      </c>
      <c r="U1792" t="n">
        <v>0</v>
      </c>
    </row>
    <row r="1793">
      <c r="A1793" s="5" t="inlineStr">
        <is>
          <t>01a152b9-8ac2-743a-abbb-82ab53153a13</t>
        </is>
      </c>
      <c r="C1793" s="5" t="inlineStr">
        <is>
          <t>01a152b9-6e67-75da-8adb-b03e5d07fd21</t>
        </is>
      </c>
      <c r="D1793" s="4" t="n">
        <v>46314.24599336363</v>
      </c>
      <c r="E1793" s="4" t="n">
        <v>46314.24599336373</v>
      </c>
      <c r="F1793" t="b">
        <v>1</v>
      </c>
      <c r="G1793" t="n">
        <v/>
      </c>
      <c r="H1793" t="inlineStr">
        <is>
          <t>WGR</t>
        </is>
      </c>
      <c r="I1793" t="inlineStr">
        <is>
          <t>Western Gold Resources Ltd</t>
        </is>
      </c>
      <c r="J1793" t="inlineStr">
        <is>
          <t>AUD</t>
        </is>
      </c>
      <c r="K1793" s="5" t="inlineStr">
        <is>
          <t>01a152b9-6ee2-7577-bddd-382bc3853fde</t>
        </is>
      </c>
      <c r="M1793" t="inlineStr">
        <is>
          <t>UNKNOWN</t>
        </is>
      </c>
      <c r="N1793" t="inlineStr">
        <is>
          <t>DEFAULT</t>
        </is>
      </c>
      <c r="Q1793" t="n">
        <v>0</v>
      </c>
      <c r="R1793" t="inlineStr">
        <is>
          <t>AUD</t>
        </is>
      </c>
      <c r="S1793" t="n">
        <v>0</v>
      </c>
      <c r="T1793" t="inlineStr">
        <is>
          <t>AUD</t>
        </is>
      </c>
      <c r="U1793" t="n">
        <v>0</v>
      </c>
    </row>
    <row r="1794">
      <c r="A1794" s="5" t="inlineStr">
        <is>
          <t>01a152b9-8ac6-779a-80be-0ce7a366c794</t>
        </is>
      </c>
      <c r="C1794" s="5" t="inlineStr">
        <is>
          <t>01a152b9-6e67-75da-8adb-b03e5d07fd21</t>
        </is>
      </c>
      <c r="D1794" s="4" t="n">
        <v>46314.24599341058</v>
      </c>
      <c r="E1794" s="4" t="n">
        <v>46314.24599341072</v>
      </c>
      <c r="F1794" t="b">
        <v>1</v>
      </c>
      <c r="G1794" t="n">
        <v/>
      </c>
      <c r="H1794" t="inlineStr">
        <is>
          <t>PAVE</t>
        </is>
      </c>
      <c r="I1794" t="inlineStr">
        <is>
          <t>Global X US Infrastructure Development ETF</t>
        </is>
      </c>
      <c r="J1794" t="inlineStr">
        <is>
          <t>AUD</t>
        </is>
      </c>
      <c r="K1794" s="5" t="inlineStr">
        <is>
          <t>01a152b9-6ee2-7577-bddd-382bc3853fde</t>
        </is>
      </c>
      <c r="M1794" t="inlineStr">
        <is>
          <t>UNKNOWN</t>
        </is>
      </c>
      <c r="N1794" t="inlineStr">
        <is>
          <t>DEFAULT</t>
        </is>
      </c>
      <c r="Q1794" t="n">
        <v>0</v>
      </c>
      <c r="R1794" t="inlineStr">
        <is>
          <t>AUD</t>
        </is>
      </c>
      <c r="S1794" t="n">
        <v>0</v>
      </c>
      <c r="T1794" t="inlineStr">
        <is>
          <t>AUD</t>
        </is>
      </c>
      <c r="U1794" t="n">
        <v>0</v>
      </c>
    </row>
    <row r="1795">
      <c r="A1795" s="5" t="inlineStr">
        <is>
          <t>01a152b9-8aca-7034-a8e4-f070c436a841</t>
        </is>
      </c>
      <c r="C1795" s="5" t="inlineStr">
        <is>
          <t>01a152b9-6e67-75da-8adb-b03e5d07fd21</t>
        </is>
      </c>
      <c r="D1795" s="4" t="n">
        <v>46314.24599345502</v>
      </c>
      <c r="E1795" s="4" t="n">
        <v>46314.24599345514</v>
      </c>
      <c r="F1795" t="b">
        <v>1</v>
      </c>
      <c r="G1795" t="n">
        <v/>
      </c>
      <c r="H1795" t="inlineStr">
        <is>
          <t>BM8</t>
        </is>
      </c>
      <c r="I1795" t="inlineStr">
        <is>
          <t>Battery Age Minerals Ltd</t>
        </is>
      </c>
      <c r="J1795" t="inlineStr">
        <is>
          <t>AUD</t>
        </is>
      </c>
      <c r="K1795" s="5" t="inlineStr">
        <is>
          <t>01a152b9-6ee2-7577-bddd-382bc3853fde</t>
        </is>
      </c>
      <c r="M1795" t="inlineStr">
        <is>
          <t>UNKNOWN</t>
        </is>
      </c>
      <c r="N1795" t="inlineStr">
        <is>
          <t>DEFAULT</t>
        </is>
      </c>
      <c r="Q1795" t="n">
        <v>0</v>
      </c>
      <c r="R1795" t="inlineStr">
        <is>
          <t>AUD</t>
        </is>
      </c>
      <c r="S1795" t="n">
        <v>0</v>
      </c>
      <c r="T1795" t="inlineStr">
        <is>
          <t>AUD</t>
        </is>
      </c>
      <c r="U1795" t="n">
        <v>0</v>
      </c>
    </row>
    <row r="1796">
      <c r="A1796" s="5" t="inlineStr">
        <is>
          <t>01a152b9-8ace-7357-bcec-dfcc33fd9a11</t>
        </is>
      </c>
      <c r="C1796" s="5" t="inlineStr">
        <is>
          <t>01a152b9-6e67-75da-8adb-b03e5d07fd21</t>
        </is>
      </c>
      <c r="D1796" s="4" t="n">
        <v>46314.24599350122</v>
      </c>
      <c r="E1796" s="4" t="n">
        <v>46314.24599350132</v>
      </c>
      <c r="F1796" t="b">
        <v>1</v>
      </c>
      <c r="G1796" t="n">
        <v/>
      </c>
      <c r="H1796" t="inlineStr">
        <is>
          <t>PNM</t>
        </is>
      </c>
      <c r="I1796" t="inlineStr">
        <is>
          <t>Pacific Nickel Mines Ltd</t>
        </is>
      </c>
      <c r="J1796" t="inlineStr">
        <is>
          <t>AUD</t>
        </is>
      </c>
      <c r="K1796" s="5" t="inlineStr">
        <is>
          <t>01a152b9-6ee2-7577-bddd-382bc3853fde</t>
        </is>
      </c>
      <c r="M1796" t="inlineStr">
        <is>
          <t>UNKNOWN</t>
        </is>
      </c>
      <c r="N1796" t="inlineStr">
        <is>
          <t>DEFAULT</t>
        </is>
      </c>
      <c r="Q1796" t="n">
        <v>0</v>
      </c>
      <c r="R1796" t="inlineStr">
        <is>
          <t>AUD</t>
        </is>
      </c>
      <c r="S1796" t="n">
        <v>0</v>
      </c>
      <c r="T1796" t="inlineStr">
        <is>
          <t>AUD</t>
        </is>
      </c>
      <c r="U1796" t="n">
        <v>0</v>
      </c>
    </row>
    <row r="1797">
      <c r="A1797" s="5" t="inlineStr">
        <is>
          <t>01a152b9-8ad2-77fa-80e2-207ed588af1d</t>
        </is>
      </c>
      <c r="C1797" s="5" t="inlineStr">
        <is>
          <t>01a152b9-6e67-75da-8adb-b03e5d07fd21</t>
        </is>
      </c>
      <c r="D1797" s="4" t="n">
        <v>46314.24599354729</v>
      </c>
      <c r="E1797" s="4" t="n">
        <v>46314.2459935474</v>
      </c>
      <c r="F1797" t="b">
        <v>1</v>
      </c>
      <c r="G1797" t="n">
        <v/>
      </c>
      <c r="H1797" t="inlineStr">
        <is>
          <t>VFX</t>
        </is>
      </c>
      <c r="I1797" t="inlineStr">
        <is>
          <t>Visionflex Group Ltd</t>
        </is>
      </c>
      <c r="J1797" t="inlineStr">
        <is>
          <t>AUD</t>
        </is>
      </c>
      <c r="K1797" s="5" t="inlineStr">
        <is>
          <t>01a152b9-6ee2-7577-bddd-382bc3853fde</t>
        </is>
      </c>
      <c r="M1797" t="inlineStr">
        <is>
          <t>UNKNOWN</t>
        </is>
      </c>
      <c r="N1797" t="inlineStr">
        <is>
          <t>DEFAULT</t>
        </is>
      </c>
      <c r="Q1797" t="n">
        <v>0</v>
      </c>
      <c r="R1797" t="inlineStr">
        <is>
          <t>AUD</t>
        </is>
      </c>
      <c r="S1797" t="n">
        <v>0</v>
      </c>
      <c r="T1797" t="inlineStr">
        <is>
          <t>AUD</t>
        </is>
      </c>
      <c r="U1797" t="n">
        <v>0</v>
      </c>
    </row>
    <row r="1798">
      <c r="A1798" s="5" t="inlineStr">
        <is>
          <t>01a152b9-8ad5-7156-ba9b-ccef7174cbdb</t>
        </is>
      </c>
      <c r="C1798" s="5" t="inlineStr">
        <is>
          <t>01a152b9-6e67-75da-8adb-b03e5d07fd21</t>
        </is>
      </c>
      <c r="D1798" s="4" t="n">
        <v>46314.24599358339</v>
      </c>
      <c r="E1798" s="4" t="n">
        <v>46314.24599358349</v>
      </c>
      <c r="F1798" t="b">
        <v>1</v>
      </c>
      <c r="G1798" t="n">
        <v/>
      </c>
      <c r="H1798" t="inlineStr">
        <is>
          <t>H100</t>
        </is>
      </c>
      <c r="I1798" t="inlineStr">
        <is>
          <t>Betashares Ftse 100 Currency Hedged ETF</t>
        </is>
      </c>
      <c r="J1798" t="inlineStr">
        <is>
          <t>AUD</t>
        </is>
      </c>
      <c r="K1798" s="5" t="inlineStr">
        <is>
          <t>01a152b9-6ee2-7577-bddd-382bc3853fde</t>
        </is>
      </c>
      <c r="M1798" t="inlineStr">
        <is>
          <t>UNKNOWN</t>
        </is>
      </c>
      <c r="N1798" t="inlineStr">
        <is>
          <t>DEFAULT</t>
        </is>
      </c>
      <c r="Q1798" t="n">
        <v>0</v>
      </c>
      <c r="R1798" t="inlineStr">
        <is>
          <t>AUD</t>
        </is>
      </c>
      <c r="S1798" t="n">
        <v>0</v>
      </c>
      <c r="T1798" t="inlineStr">
        <is>
          <t>AUD</t>
        </is>
      </c>
      <c r="U1798" t="n">
        <v>0</v>
      </c>
    </row>
    <row r="1799">
      <c r="A1799" s="5" t="inlineStr">
        <is>
          <t>01a152b9-8ad9-725d-9d01-1fbf923c48a8</t>
        </is>
      </c>
      <c r="C1799" s="5" t="inlineStr">
        <is>
          <t>01a152b9-6e67-75da-8adb-b03e5d07fd21</t>
        </is>
      </c>
      <c r="D1799" s="4" t="n">
        <v>46314.2459936264</v>
      </c>
      <c r="E1799" s="4" t="n">
        <v>46314.24599362651</v>
      </c>
      <c r="F1799" t="b">
        <v>1</v>
      </c>
      <c r="G1799" t="n">
        <v/>
      </c>
      <c r="H1799" t="inlineStr">
        <is>
          <t>HLX</t>
        </is>
      </c>
      <c r="I1799" t="inlineStr">
        <is>
          <t>HELIX Resources Ltd</t>
        </is>
      </c>
      <c r="J1799" t="inlineStr">
        <is>
          <t>AUD</t>
        </is>
      </c>
      <c r="K1799" s="5" t="inlineStr">
        <is>
          <t>01a152b9-6ee2-7577-bddd-382bc3853fde</t>
        </is>
      </c>
      <c r="M1799" t="inlineStr">
        <is>
          <t>UNKNOWN</t>
        </is>
      </c>
      <c r="N1799" t="inlineStr">
        <is>
          <t>DEFAULT</t>
        </is>
      </c>
      <c r="Q1799" t="n">
        <v>0</v>
      </c>
      <c r="R1799" t="inlineStr">
        <is>
          <t>AUD</t>
        </is>
      </c>
      <c r="S1799" t="n">
        <v>0</v>
      </c>
      <c r="T1799" t="inlineStr">
        <is>
          <t>AUD</t>
        </is>
      </c>
      <c r="U1799" t="n">
        <v>0</v>
      </c>
    </row>
    <row r="1800">
      <c r="A1800" s="5" t="inlineStr">
        <is>
          <t>01a152b9-8adc-7480-bc81-f661a2e48e7e</t>
        </is>
      </c>
      <c r="C1800" s="5" t="inlineStr">
        <is>
          <t>01a152b9-6e67-75da-8adb-b03e5d07fd21</t>
        </is>
      </c>
      <c r="D1800" s="4" t="n">
        <v>46314.24599366274</v>
      </c>
      <c r="E1800" s="4" t="n">
        <v>46314.24599366287</v>
      </c>
      <c r="F1800" t="b">
        <v>1</v>
      </c>
      <c r="G1800" t="n">
        <v/>
      </c>
      <c r="H1800" t="inlineStr">
        <is>
          <t>QNDQ</t>
        </is>
      </c>
      <c r="I1800" t="inlineStr">
        <is>
          <t>Betashares Nasdaq 100 EQUAL Weight ETF</t>
        </is>
      </c>
      <c r="J1800" t="inlineStr">
        <is>
          <t>AUD</t>
        </is>
      </c>
      <c r="K1800" s="5" t="inlineStr">
        <is>
          <t>01a152b9-6ee2-7577-bddd-382bc3853fde</t>
        </is>
      </c>
      <c r="M1800" t="inlineStr">
        <is>
          <t>UNKNOWN</t>
        </is>
      </c>
      <c r="N1800" t="inlineStr">
        <is>
          <t>DEFAULT</t>
        </is>
      </c>
      <c r="Q1800" t="n">
        <v>0</v>
      </c>
      <c r="R1800" t="inlineStr">
        <is>
          <t>AUD</t>
        </is>
      </c>
      <c r="S1800" t="n">
        <v>0</v>
      </c>
      <c r="T1800" t="inlineStr">
        <is>
          <t>AUD</t>
        </is>
      </c>
      <c r="U1800" t="n">
        <v>0</v>
      </c>
    </row>
    <row r="1801">
      <c r="A1801" s="5" t="inlineStr">
        <is>
          <t>01a152b9-8ae0-7137-a820-7c7b0e81210c</t>
        </is>
      </c>
      <c r="C1801" s="5" t="inlineStr">
        <is>
          <t>01a152b9-6e67-75da-8adb-b03e5d07fd21</t>
        </is>
      </c>
      <c r="D1801" s="4" t="n">
        <v>46314.24599370735</v>
      </c>
      <c r="E1801" s="4" t="n">
        <v>46314.24599370745</v>
      </c>
      <c r="F1801" t="b">
        <v>1</v>
      </c>
      <c r="G1801" t="n">
        <v/>
      </c>
      <c r="H1801" t="inlineStr">
        <is>
          <t>PGO</t>
        </is>
      </c>
      <c r="I1801" t="inlineStr">
        <is>
          <t>Pacgold Ltd</t>
        </is>
      </c>
      <c r="J1801" t="inlineStr">
        <is>
          <t>AUD</t>
        </is>
      </c>
      <c r="K1801" s="5" t="inlineStr">
        <is>
          <t>01a152b9-6ee2-7577-bddd-382bc3853fde</t>
        </is>
      </c>
      <c r="M1801" t="inlineStr">
        <is>
          <t>UNKNOWN</t>
        </is>
      </c>
      <c r="N1801" t="inlineStr">
        <is>
          <t>DEFAULT</t>
        </is>
      </c>
      <c r="Q1801" t="n">
        <v>0</v>
      </c>
      <c r="R1801" t="inlineStr">
        <is>
          <t>AUD</t>
        </is>
      </c>
      <c r="S1801" t="n">
        <v>0</v>
      </c>
      <c r="T1801" t="inlineStr">
        <is>
          <t>AUD</t>
        </is>
      </c>
      <c r="U1801" t="n">
        <v>0</v>
      </c>
    </row>
    <row r="1802">
      <c r="A1802" s="5" t="inlineStr">
        <is>
          <t>01a152b9-8ae3-73fa-9437-446d10e71e01</t>
        </is>
      </c>
      <c r="C1802" s="5" t="inlineStr">
        <is>
          <t>01a152b9-6e67-75da-8adb-b03e5d07fd21</t>
        </is>
      </c>
      <c r="D1802" s="4" t="n">
        <v>46314.24599374662</v>
      </c>
      <c r="E1802" s="4" t="n">
        <v>46314.24599374671</v>
      </c>
      <c r="F1802" t="b">
        <v>1</v>
      </c>
      <c r="G1802" t="n">
        <v/>
      </c>
      <c r="H1802" t="inlineStr">
        <is>
          <t>ORP</t>
        </is>
      </c>
      <c r="I1802" t="inlineStr">
        <is>
          <t>Orpheus Uranium Ltd</t>
        </is>
      </c>
      <c r="J1802" t="inlineStr">
        <is>
          <t>AUD</t>
        </is>
      </c>
      <c r="K1802" s="5" t="inlineStr">
        <is>
          <t>01a152b9-6ee2-7577-bddd-382bc3853fde</t>
        </is>
      </c>
      <c r="M1802" t="inlineStr">
        <is>
          <t>UNKNOWN</t>
        </is>
      </c>
      <c r="N1802" t="inlineStr">
        <is>
          <t>DEFAULT</t>
        </is>
      </c>
      <c r="Q1802" t="n">
        <v>0</v>
      </c>
      <c r="R1802" t="inlineStr">
        <is>
          <t>AUD</t>
        </is>
      </c>
      <c r="S1802" t="n">
        <v>0</v>
      </c>
      <c r="T1802" t="inlineStr">
        <is>
          <t>AUD</t>
        </is>
      </c>
      <c r="U1802" t="n">
        <v>0</v>
      </c>
    </row>
    <row r="1803">
      <c r="A1803" s="5" t="inlineStr">
        <is>
          <t>01a152b9-8ae6-7705-a234-b6eaf1470b39</t>
        </is>
      </c>
      <c r="C1803" s="5" t="inlineStr">
        <is>
          <t>01a152b9-6e67-75da-8adb-b03e5d07fd21</t>
        </is>
      </c>
      <c r="D1803" s="4" t="n">
        <v>46314.24599378269</v>
      </c>
      <c r="E1803" s="4" t="n">
        <v>46314.24599378279</v>
      </c>
      <c r="F1803" t="b">
        <v>1</v>
      </c>
      <c r="G1803" t="n">
        <v/>
      </c>
      <c r="H1803" t="inlineStr">
        <is>
          <t>HMG</t>
        </is>
      </c>
      <c r="I1803" t="inlineStr">
        <is>
          <t>Hamelin Gold Ltd</t>
        </is>
      </c>
      <c r="J1803" t="inlineStr">
        <is>
          <t>AUD</t>
        </is>
      </c>
      <c r="K1803" s="5" t="inlineStr">
        <is>
          <t>01a152b9-6ee2-7577-bddd-382bc3853fde</t>
        </is>
      </c>
      <c r="M1803" t="inlineStr">
        <is>
          <t>UNKNOWN</t>
        </is>
      </c>
      <c r="N1803" t="inlineStr">
        <is>
          <t>DEFAULT</t>
        </is>
      </c>
      <c r="Q1803" t="n">
        <v>0</v>
      </c>
      <c r="R1803" t="inlineStr">
        <is>
          <t>AUD</t>
        </is>
      </c>
      <c r="S1803" t="n">
        <v>0</v>
      </c>
      <c r="T1803" t="inlineStr">
        <is>
          <t>AUD</t>
        </is>
      </c>
      <c r="U1803" t="n">
        <v>0</v>
      </c>
    </row>
    <row r="1804">
      <c r="A1804" s="5" t="inlineStr">
        <is>
          <t>01a152b9-8ae9-76a5-9216-77f75c5d309a</t>
        </is>
      </c>
      <c r="C1804" s="5" t="inlineStr">
        <is>
          <t>01a152b9-6e67-75da-8adb-b03e5d07fd21</t>
        </is>
      </c>
      <c r="D1804" s="4" t="n">
        <v>46314.24599381853</v>
      </c>
      <c r="E1804" s="4" t="n">
        <v>46314.24599381864</v>
      </c>
      <c r="F1804" t="b">
        <v>1</v>
      </c>
      <c r="G1804" t="n">
        <v/>
      </c>
      <c r="H1804" t="inlineStr">
        <is>
          <t>FDR</t>
        </is>
      </c>
      <c r="I1804" t="inlineStr">
        <is>
          <t>Finder Energy Holdings Ltd</t>
        </is>
      </c>
      <c r="J1804" t="inlineStr">
        <is>
          <t>AUD</t>
        </is>
      </c>
      <c r="K1804" s="5" t="inlineStr">
        <is>
          <t>01a152b9-6ee2-7577-bddd-382bc3853fde</t>
        </is>
      </c>
      <c r="M1804" t="inlineStr">
        <is>
          <t>UNKNOWN</t>
        </is>
      </c>
      <c r="N1804" t="inlineStr">
        <is>
          <t>DEFAULT</t>
        </is>
      </c>
      <c r="Q1804" t="n">
        <v>0</v>
      </c>
      <c r="R1804" t="inlineStr">
        <is>
          <t>AUD</t>
        </is>
      </c>
      <c r="S1804" t="n">
        <v>0</v>
      </c>
      <c r="T1804" t="inlineStr">
        <is>
          <t>AUD</t>
        </is>
      </c>
      <c r="U1804" t="n">
        <v>0</v>
      </c>
    </row>
    <row r="1805">
      <c r="A1805" s="5" t="inlineStr">
        <is>
          <t>01a152b9-8aed-74e5-b1a8-b944b0734b94</t>
        </is>
      </c>
      <c r="C1805" s="5" t="inlineStr">
        <is>
          <t>01a152b9-6e67-75da-8adb-b03e5d07fd21</t>
        </is>
      </c>
      <c r="D1805" s="4" t="n">
        <v>46314.24599385871</v>
      </c>
      <c r="E1805" s="4" t="n">
        <v>46314.24599385881</v>
      </c>
      <c r="F1805" t="b">
        <v>1</v>
      </c>
      <c r="G1805" t="n">
        <v/>
      </c>
      <c r="H1805" t="inlineStr">
        <is>
          <t>NH3</t>
        </is>
      </c>
      <c r="I1805" t="inlineStr">
        <is>
          <t>NH3 Clean Energy Ltd</t>
        </is>
      </c>
      <c r="J1805" t="inlineStr">
        <is>
          <t>AUD</t>
        </is>
      </c>
      <c r="K1805" s="5" t="inlineStr">
        <is>
          <t>01a152b9-6ee2-7577-bddd-382bc3853fde</t>
        </is>
      </c>
      <c r="M1805" t="inlineStr">
        <is>
          <t>UNKNOWN</t>
        </is>
      </c>
      <c r="N1805" t="inlineStr">
        <is>
          <t>DEFAULT</t>
        </is>
      </c>
      <c r="Q1805" t="n">
        <v>0</v>
      </c>
      <c r="R1805" t="inlineStr">
        <is>
          <t>AUD</t>
        </is>
      </c>
      <c r="S1805" t="n">
        <v>0</v>
      </c>
      <c r="T1805" t="inlineStr">
        <is>
          <t>AUD</t>
        </is>
      </c>
      <c r="U1805" t="n">
        <v>0</v>
      </c>
    </row>
    <row r="1806">
      <c r="A1806" s="5" t="inlineStr">
        <is>
          <t>01a152b9-8af0-7334-8b1a-37446887d9b1</t>
        </is>
      </c>
      <c r="C1806" s="5" t="inlineStr">
        <is>
          <t>01a152b9-6e67-75da-8adb-b03e5d07fd21</t>
        </is>
      </c>
      <c r="D1806" s="4" t="n">
        <v>46314.24599389233</v>
      </c>
      <c r="E1806" s="4" t="n">
        <v>46314.24599389242</v>
      </c>
      <c r="F1806" t="b">
        <v>1</v>
      </c>
      <c r="G1806" t="n">
        <v/>
      </c>
      <c r="H1806" t="inlineStr">
        <is>
          <t>NNL</t>
        </is>
      </c>
      <c r="I1806" t="inlineStr">
        <is>
          <t>Nordic Resources Ltd</t>
        </is>
      </c>
      <c r="J1806" t="inlineStr">
        <is>
          <t>AUD</t>
        </is>
      </c>
      <c r="K1806" s="5" t="inlineStr">
        <is>
          <t>01a152b9-6ee2-7577-bddd-382bc3853fde</t>
        </is>
      </c>
      <c r="M1806" t="inlineStr">
        <is>
          <t>UNKNOWN</t>
        </is>
      </c>
      <c r="N1806" t="inlineStr">
        <is>
          <t>DEFAULT</t>
        </is>
      </c>
      <c r="Q1806" t="n">
        <v>0</v>
      </c>
      <c r="R1806" t="inlineStr">
        <is>
          <t>AUD</t>
        </is>
      </c>
      <c r="S1806" t="n">
        <v>0</v>
      </c>
      <c r="T1806" t="inlineStr">
        <is>
          <t>AUD</t>
        </is>
      </c>
      <c r="U1806" t="n">
        <v>0</v>
      </c>
    </row>
    <row r="1807">
      <c r="A1807" s="5" t="inlineStr">
        <is>
          <t>01a152b9-8af3-76d3-8d1e-588bb5caa1e0</t>
        </is>
      </c>
      <c r="C1807" s="5" t="inlineStr">
        <is>
          <t>01a152b9-6e67-75da-8adb-b03e5d07fd21</t>
        </is>
      </c>
      <c r="D1807" s="4" t="n">
        <v>46314.24599393116</v>
      </c>
      <c r="E1807" s="4" t="n">
        <v>46314.24599393125</v>
      </c>
      <c r="F1807" t="b">
        <v>1</v>
      </c>
      <c r="G1807" t="n">
        <v/>
      </c>
      <c r="H1807" t="inlineStr">
        <is>
          <t>TAT</t>
        </is>
      </c>
      <c r="I1807" t="inlineStr">
        <is>
          <t>Tartana Minerals Ltd</t>
        </is>
      </c>
      <c r="J1807" t="inlineStr">
        <is>
          <t>AUD</t>
        </is>
      </c>
      <c r="K1807" s="5" t="inlineStr">
        <is>
          <t>01a152b9-6ee2-7577-bddd-382bc3853fde</t>
        </is>
      </c>
      <c r="M1807" t="inlineStr">
        <is>
          <t>UNKNOWN</t>
        </is>
      </c>
      <c r="N1807" t="inlineStr">
        <is>
          <t>DEFAULT</t>
        </is>
      </c>
      <c r="Q1807" t="n">
        <v>0</v>
      </c>
      <c r="R1807" t="inlineStr">
        <is>
          <t>AUD</t>
        </is>
      </c>
      <c r="S1807" t="n">
        <v>0</v>
      </c>
      <c r="T1807" t="inlineStr">
        <is>
          <t>AUD</t>
        </is>
      </c>
      <c r="U1807" t="n">
        <v>0</v>
      </c>
    </row>
    <row r="1808">
      <c r="A1808" s="5" t="inlineStr">
        <is>
          <t>01a152b9-8af6-7473-b160-813eafeeea48</t>
        </is>
      </c>
      <c r="C1808" s="5" t="inlineStr">
        <is>
          <t>01a152b9-6e67-75da-8adb-b03e5d07fd21</t>
        </is>
      </c>
      <c r="D1808" s="4" t="n">
        <v>46314.24599396586</v>
      </c>
      <c r="E1808" s="4" t="n">
        <v>46314.24599396595</v>
      </c>
      <c r="F1808" t="b">
        <v>1</v>
      </c>
      <c r="G1808" t="n">
        <v/>
      </c>
      <c r="H1808" t="inlineStr">
        <is>
          <t>NC1</t>
        </is>
      </c>
      <c r="I1808" t="inlineStr">
        <is>
          <t>Nico Resources Ltd</t>
        </is>
      </c>
      <c r="J1808" t="inlineStr">
        <is>
          <t>AUD</t>
        </is>
      </c>
      <c r="K1808" s="5" t="inlineStr">
        <is>
          <t>01a152b9-6ee2-7577-bddd-382bc3853fde</t>
        </is>
      </c>
      <c r="M1808" t="inlineStr">
        <is>
          <t>UNKNOWN</t>
        </is>
      </c>
      <c r="N1808" t="inlineStr">
        <is>
          <t>DEFAULT</t>
        </is>
      </c>
      <c r="Q1808" t="n">
        <v>0</v>
      </c>
      <c r="R1808" t="inlineStr">
        <is>
          <t>AUD</t>
        </is>
      </c>
      <c r="S1808" t="n">
        <v>0</v>
      </c>
      <c r="T1808" t="inlineStr">
        <is>
          <t>AUD</t>
        </is>
      </c>
      <c r="U1808" t="n">
        <v>0</v>
      </c>
    </row>
    <row r="1809">
      <c r="A1809" s="5" t="inlineStr">
        <is>
          <t>01a152b9-8afa-75b9-898c-f61a3d3bac91</t>
        </is>
      </c>
      <c r="C1809" s="5" t="inlineStr">
        <is>
          <t>01a152b9-6e67-75da-8adb-b03e5d07fd21</t>
        </is>
      </c>
      <c r="D1809" s="4" t="n">
        <v>46314.24599400607</v>
      </c>
      <c r="E1809" s="4" t="n">
        <v>46314.24599400616</v>
      </c>
      <c r="F1809" t="b">
        <v>1</v>
      </c>
      <c r="G1809" t="n">
        <v/>
      </c>
      <c r="H1809" t="inlineStr">
        <is>
          <t>SVY</t>
        </is>
      </c>
      <c r="I1809" t="inlineStr">
        <is>
          <t>Stavely Minerals Ltd</t>
        </is>
      </c>
      <c r="J1809" t="inlineStr">
        <is>
          <t>AUD</t>
        </is>
      </c>
      <c r="K1809" s="5" t="inlineStr">
        <is>
          <t>01a152b9-6ee2-7577-bddd-382bc3853fde</t>
        </is>
      </c>
      <c r="M1809" t="inlineStr">
        <is>
          <t>UNKNOWN</t>
        </is>
      </c>
      <c r="N1809" t="inlineStr">
        <is>
          <t>DEFAULT</t>
        </is>
      </c>
      <c r="Q1809" t="n">
        <v>0</v>
      </c>
      <c r="R1809" t="inlineStr">
        <is>
          <t>AUD</t>
        </is>
      </c>
      <c r="S1809" t="n">
        <v>0</v>
      </c>
      <c r="T1809" t="inlineStr">
        <is>
          <t>AUD</t>
        </is>
      </c>
      <c r="U1809" t="n">
        <v>0</v>
      </c>
    </row>
    <row r="1810">
      <c r="A1810" s="5" t="inlineStr">
        <is>
          <t>01a152b9-8afd-748c-8ad4-97fe667677c3</t>
        </is>
      </c>
      <c r="C1810" s="5" t="inlineStr">
        <is>
          <t>01a152b9-6e67-75da-8adb-b03e5d07fd21</t>
        </is>
      </c>
      <c r="D1810" s="4" t="n">
        <v>46314.24599404672</v>
      </c>
      <c r="E1810" s="4" t="n">
        <v>46314.2459940468</v>
      </c>
      <c r="F1810" t="b">
        <v>1</v>
      </c>
      <c r="G1810" t="n">
        <v/>
      </c>
      <c r="H1810" t="inlineStr">
        <is>
          <t>PER</t>
        </is>
      </c>
      <c r="I1810" t="inlineStr">
        <is>
          <t>Percheron Therapeutics Ltd</t>
        </is>
      </c>
      <c r="J1810" t="inlineStr">
        <is>
          <t>AUD</t>
        </is>
      </c>
      <c r="K1810" s="5" t="inlineStr">
        <is>
          <t>01a152b9-6ee2-7577-bddd-382bc3853fde</t>
        </is>
      </c>
      <c r="M1810" t="inlineStr">
        <is>
          <t>UNKNOWN</t>
        </is>
      </c>
      <c r="N1810" t="inlineStr">
        <is>
          <t>DEFAULT</t>
        </is>
      </c>
      <c r="Q1810" t="n">
        <v>0</v>
      </c>
      <c r="R1810" t="inlineStr">
        <is>
          <t>AUD</t>
        </is>
      </c>
      <c r="S1810" t="n">
        <v>0</v>
      </c>
      <c r="T1810" t="inlineStr">
        <is>
          <t>AUD</t>
        </is>
      </c>
      <c r="U1810" t="n">
        <v>0</v>
      </c>
    </row>
    <row r="1811">
      <c r="A1811" s="5" t="inlineStr">
        <is>
          <t>01a152b9-8b00-7456-be23-a2a14069f86a</t>
        </is>
      </c>
      <c r="C1811" s="5" t="inlineStr">
        <is>
          <t>01a152b9-6e67-75da-8adb-b03e5d07fd21</t>
        </is>
      </c>
      <c r="D1811" s="4" t="n">
        <v>46314.24599408469</v>
      </c>
      <c r="E1811" s="4" t="n">
        <v>46314.24599408479</v>
      </c>
      <c r="F1811" t="b">
        <v>1</v>
      </c>
      <c r="G1811" t="n">
        <v/>
      </c>
      <c r="H1811" t="inlineStr">
        <is>
          <t>MIO</t>
        </is>
      </c>
      <c r="I1811" t="inlineStr">
        <is>
          <t>Macarthur Minerals Ltd</t>
        </is>
      </c>
      <c r="J1811" t="inlineStr">
        <is>
          <t>AUD</t>
        </is>
      </c>
      <c r="K1811" s="5" t="inlineStr">
        <is>
          <t>01a152b9-6ee2-7577-bddd-382bc3853fde</t>
        </is>
      </c>
      <c r="M1811" t="inlineStr">
        <is>
          <t>UNKNOWN</t>
        </is>
      </c>
      <c r="N1811" t="inlineStr">
        <is>
          <t>DEFAULT</t>
        </is>
      </c>
      <c r="Q1811" t="n">
        <v>0</v>
      </c>
      <c r="R1811" t="inlineStr">
        <is>
          <t>AUD</t>
        </is>
      </c>
      <c r="S1811" t="n">
        <v>0</v>
      </c>
      <c r="T1811" t="inlineStr">
        <is>
          <t>AUD</t>
        </is>
      </c>
      <c r="U1811" t="n">
        <v>0</v>
      </c>
    </row>
    <row r="1812">
      <c r="A1812" s="5" t="inlineStr">
        <is>
          <t>01a152b9-8b04-7252-aa3f-04f72f8f019f</t>
        </is>
      </c>
      <c r="C1812" s="5" t="inlineStr">
        <is>
          <t>01a152b9-6e67-75da-8adb-b03e5d07fd21</t>
        </is>
      </c>
      <c r="D1812" s="4" t="n">
        <v>46314.24599412207</v>
      </c>
      <c r="E1812" s="4" t="n">
        <v>46314.24599412218</v>
      </c>
      <c r="F1812" t="b">
        <v>1</v>
      </c>
      <c r="G1812" t="n">
        <v/>
      </c>
      <c r="H1812" t="inlineStr">
        <is>
          <t>BUGG</t>
        </is>
      </c>
      <c r="I1812" t="inlineStr">
        <is>
          <t>Global X Cybersecurity ETF</t>
        </is>
      </c>
      <c r="J1812" t="inlineStr">
        <is>
          <t>AUD</t>
        </is>
      </c>
      <c r="K1812" s="5" t="inlineStr">
        <is>
          <t>01a152b9-6ee2-7577-bddd-382bc3853fde</t>
        </is>
      </c>
      <c r="M1812" t="inlineStr">
        <is>
          <t>UNKNOWN</t>
        </is>
      </c>
      <c r="N1812" t="inlineStr">
        <is>
          <t>DEFAULT</t>
        </is>
      </c>
      <c r="Q1812" t="n">
        <v>0</v>
      </c>
      <c r="R1812" t="inlineStr">
        <is>
          <t>AUD</t>
        </is>
      </c>
      <c r="S1812" t="n">
        <v>0</v>
      </c>
      <c r="T1812" t="inlineStr">
        <is>
          <t>AUD</t>
        </is>
      </c>
      <c r="U1812" t="n">
        <v>0</v>
      </c>
    </row>
    <row r="1813">
      <c r="A1813" s="5" t="inlineStr">
        <is>
          <t>01a152b9-8b07-7646-bef5-f15325f25527</t>
        </is>
      </c>
      <c r="C1813" s="5" t="inlineStr">
        <is>
          <t>01a152b9-6e67-75da-8adb-b03e5d07fd21</t>
        </is>
      </c>
      <c r="D1813" s="4" t="n">
        <v>46314.2459941671</v>
      </c>
      <c r="E1813" s="4" t="n">
        <v>46314.2459941672</v>
      </c>
      <c r="F1813" t="b">
        <v>1</v>
      </c>
      <c r="G1813" t="n">
        <v/>
      </c>
      <c r="H1813" t="inlineStr">
        <is>
          <t>ILT</t>
        </is>
      </c>
      <c r="I1813" t="inlineStr">
        <is>
          <t>Iltani Resources Ltd</t>
        </is>
      </c>
      <c r="J1813" t="inlineStr">
        <is>
          <t>AUD</t>
        </is>
      </c>
      <c r="K1813" s="5" t="inlineStr">
        <is>
          <t>01a152b9-6ee2-7577-bddd-382bc3853fde</t>
        </is>
      </c>
      <c r="M1813" t="inlineStr">
        <is>
          <t>UNKNOWN</t>
        </is>
      </c>
      <c r="N1813" t="inlineStr">
        <is>
          <t>DEFAULT</t>
        </is>
      </c>
      <c r="Q1813" t="n">
        <v>0</v>
      </c>
      <c r="R1813" t="inlineStr">
        <is>
          <t>AUD</t>
        </is>
      </c>
      <c r="S1813" t="n">
        <v>0</v>
      </c>
      <c r="T1813" t="inlineStr">
        <is>
          <t>AUD</t>
        </is>
      </c>
      <c r="U1813" t="n">
        <v>0</v>
      </c>
    </row>
    <row r="1814">
      <c r="A1814" s="5" t="inlineStr">
        <is>
          <t>01a152b9-8b0b-77ad-9f79-897113413086</t>
        </is>
      </c>
      <c r="C1814" s="5" t="inlineStr">
        <is>
          <t>01a152b9-6e67-75da-8adb-b03e5d07fd21</t>
        </is>
      </c>
      <c r="D1814" s="4" t="n">
        <v>46314.24599420948</v>
      </c>
      <c r="E1814" s="4" t="n">
        <v>46314.24599420968</v>
      </c>
      <c r="F1814" t="b">
        <v>1</v>
      </c>
      <c r="G1814" t="n">
        <v/>
      </c>
      <c r="H1814" t="inlineStr">
        <is>
          <t>RAU</t>
        </is>
      </c>
      <c r="I1814" t="inlineStr">
        <is>
          <t>Resouro Strategic Metals Inc</t>
        </is>
      </c>
      <c r="J1814" t="inlineStr">
        <is>
          <t>AUD</t>
        </is>
      </c>
      <c r="K1814" s="5" t="inlineStr">
        <is>
          <t>01a152b9-6ee2-7577-bddd-382bc3853fde</t>
        </is>
      </c>
      <c r="M1814" t="inlineStr">
        <is>
          <t>UNKNOWN</t>
        </is>
      </c>
      <c r="N1814" t="inlineStr">
        <is>
          <t>DEFAULT</t>
        </is>
      </c>
      <c r="Q1814" t="n">
        <v>0</v>
      </c>
      <c r="R1814" t="inlineStr">
        <is>
          <t>AUD</t>
        </is>
      </c>
      <c r="S1814" t="n">
        <v>0</v>
      </c>
      <c r="T1814" t="inlineStr">
        <is>
          <t>AUD</t>
        </is>
      </c>
      <c r="U1814" t="n">
        <v>0</v>
      </c>
    </row>
    <row r="1815">
      <c r="A1815" s="5" t="inlineStr">
        <is>
          <t>01a152b9-8b0f-7232-bb60-ede16a0d3948</t>
        </is>
      </c>
      <c r="C1815" s="5" t="inlineStr">
        <is>
          <t>01a152b9-6e67-75da-8adb-b03e5d07fd21</t>
        </is>
      </c>
      <c r="D1815" s="4" t="n">
        <v>46314.24599425434</v>
      </c>
      <c r="E1815" s="4" t="n">
        <v>46314.24599425454</v>
      </c>
      <c r="F1815" t="b">
        <v>1</v>
      </c>
      <c r="G1815" t="n">
        <v/>
      </c>
      <c r="H1815" t="inlineStr">
        <is>
          <t>KBC</t>
        </is>
      </c>
      <c r="I1815" t="inlineStr">
        <is>
          <t>Keybridge Capital Ltd</t>
        </is>
      </c>
      <c r="J1815" t="inlineStr">
        <is>
          <t>AUD</t>
        </is>
      </c>
      <c r="K1815" s="5" t="inlineStr">
        <is>
          <t>01a152b9-6ee2-7577-bddd-382bc3853fde</t>
        </is>
      </c>
      <c r="M1815" t="inlineStr">
        <is>
          <t>UNKNOWN</t>
        </is>
      </c>
      <c r="N1815" t="inlineStr">
        <is>
          <t>DEFAULT</t>
        </is>
      </c>
      <c r="Q1815" t="n">
        <v>0</v>
      </c>
      <c r="R1815" t="inlineStr">
        <is>
          <t>AUD</t>
        </is>
      </c>
      <c r="S1815" t="n">
        <v>0</v>
      </c>
      <c r="T1815" t="inlineStr">
        <is>
          <t>AUD</t>
        </is>
      </c>
      <c r="U1815" t="n">
        <v>0</v>
      </c>
    </row>
    <row r="1816">
      <c r="A1816" s="5" t="inlineStr">
        <is>
          <t>01a152b9-8b12-733c-ba01-e2828ec1643d</t>
        </is>
      </c>
      <c r="C1816" s="5" t="inlineStr">
        <is>
          <t>01a152b9-6e67-75da-8adb-b03e5d07fd21</t>
        </is>
      </c>
      <c r="D1816" s="4" t="n">
        <v>46314.24599429038</v>
      </c>
      <c r="E1816" s="4" t="n">
        <v>46314.24599429048</v>
      </c>
      <c r="F1816" t="b">
        <v>1</v>
      </c>
      <c r="G1816" t="n">
        <v/>
      </c>
      <c r="H1816" t="inlineStr">
        <is>
          <t>CI1</t>
        </is>
      </c>
      <c r="I1816" t="inlineStr">
        <is>
          <t>Credit Intelligence Ltd</t>
        </is>
      </c>
      <c r="J1816" t="inlineStr">
        <is>
          <t>AUD</t>
        </is>
      </c>
      <c r="K1816" s="5" t="inlineStr">
        <is>
          <t>01a152b9-6ee2-7577-bddd-382bc3853fde</t>
        </is>
      </c>
      <c r="M1816" t="inlineStr">
        <is>
          <t>UNKNOWN</t>
        </is>
      </c>
      <c r="N1816" t="inlineStr">
        <is>
          <t>DEFAULT</t>
        </is>
      </c>
      <c r="Q1816" t="n">
        <v>0</v>
      </c>
      <c r="R1816" t="inlineStr">
        <is>
          <t>AUD</t>
        </is>
      </c>
      <c r="S1816" t="n">
        <v>0</v>
      </c>
      <c r="T1816" t="inlineStr">
        <is>
          <t>AUD</t>
        </is>
      </c>
      <c r="U1816" t="n">
        <v>0</v>
      </c>
    </row>
    <row r="1817">
      <c r="A1817" s="5" t="inlineStr">
        <is>
          <t>01a152b9-8b15-74fa-8f3b-b1ae205c4eb1</t>
        </is>
      </c>
      <c r="C1817" s="5" t="inlineStr">
        <is>
          <t>01a152b9-6e67-75da-8adb-b03e5d07fd21</t>
        </is>
      </c>
      <c r="D1817" s="4" t="n">
        <v>46314.24599432568</v>
      </c>
      <c r="E1817" s="4" t="n">
        <v>46314.24599432578</v>
      </c>
      <c r="F1817" t="b">
        <v>1</v>
      </c>
      <c r="G1817" t="n">
        <v/>
      </c>
      <c r="H1817" t="inlineStr">
        <is>
          <t>ODE</t>
        </is>
      </c>
      <c r="I1817" t="inlineStr">
        <is>
          <t>Odessa Minerals Ltd</t>
        </is>
      </c>
      <c r="J1817" t="inlineStr">
        <is>
          <t>AUD</t>
        </is>
      </c>
      <c r="K1817" s="5" t="inlineStr">
        <is>
          <t>01a152b9-6ee2-7577-bddd-382bc3853fde</t>
        </is>
      </c>
      <c r="M1817" t="inlineStr">
        <is>
          <t>UNKNOWN</t>
        </is>
      </c>
      <c r="N1817" t="inlineStr">
        <is>
          <t>DEFAULT</t>
        </is>
      </c>
      <c r="Q1817" t="n">
        <v>0</v>
      </c>
      <c r="R1817" t="inlineStr">
        <is>
          <t>AUD</t>
        </is>
      </c>
      <c r="S1817" t="n">
        <v>0</v>
      </c>
      <c r="T1817" t="inlineStr">
        <is>
          <t>AUD</t>
        </is>
      </c>
      <c r="U1817" t="n">
        <v>0</v>
      </c>
    </row>
    <row r="1818">
      <c r="A1818" s="5" t="inlineStr">
        <is>
          <t>01a152b9-8b18-772b-b1d4-e3b03297df7b</t>
        </is>
      </c>
      <c r="C1818" s="5" t="inlineStr">
        <is>
          <t>01a152b9-6e67-75da-8adb-b03e5d07fd21</t>
        </is>
      </c>
      <c r="D1818" s="4" t="n">
        <v>46314.24599436207</v>
      </c>
      <c r="E1818" s="4" t="n">
        <v>46314.24599436219</v>
      </c>
      <c r="F1818" t="b">
        <v>1</v>
      </c>
      <c r="G1818" t="n">
        <v/>
      </c>
      <c r="H1818" t="inlineStr">
        <is>
          <t>LLI</t>
        </is>
      </c>
      <c r="I1818" t="inlineStr">
        <is>
          <t>Loyal Lithium Ltd</t>
        </is>
      </c>
      <c r="J1818" t="inlineStr">
        <is>
          <t>AUD</t>
        </is>
      </c>
      <c r="K1818" s="5" t="inlineStr">
        <is>
          <t>01a152b9-6ee2-7577-bddd-382bc3853fde</t>
        </is>
      </c>
      <c r="M1818" t="inlineStr">
        <is>
          <t>UNKNOWN</t>
        </is>
      </c>
      <c r="N1818" t="inlineStr">
        <is>
          <t>DEFAULT</t>
        </is>
      </c>
      <c r="Q1818" t="n">
        <v>0</v>
      </c>
      <c r="R1818" t="inlineStr">
        <is>
          <t>AUD</t>
        </is>
      </c>
      <c r="S1818" t="n">
        <v>0</v>
      </c>
      <c r="T1818" t="inlineStr">
        <is>
          <t>AUD</t>
        </is>
      </c>
      <c r="U1818" t="n">
        <v>0</v>
      </c>
    </row>
    <row r="1819">
      <c r="A1819" s="5" t="inlineStr">
        <is>
          <t>01a152b9-8b1c-729c-bfec-1904206a3073</t>
        </is>
      </c>
      <c r="C1819" s="5" t="inlineStr">
        <is>
          <t>01a152b9-6e67-75da-8adb-b03e5d07fd21</t>
        </is>
      </c>
      <c r="D1819" s="4" t="n">
        <v>46314.24599440222</v>
      </c>
      <c r="E1819" s="4" t="n">
        <v>46314.24599440231</v>
      </c>
      <c r="F1819" t="b">
        <v>1</v>
      </c>
      <c r="G1819" t="n">
        <v/>
      </c>
      <c r="H1819" t="inlineStr">
        <is>
          <t>AVE</t>
        </is>
      </c>
      <c r="I1819" t="inlineStr">
        <is>
          <t>Avecho Biotechnology Ltd</t>
        </is>
      </c>
      <c r="J1819" t="inlineStr">
        <is>
          <t>AUD</t>
        </is>
      </c>
      <c r="K1819" s="5" t="inlineStr">
        <is>
          <t>01a152b9-6ee2-7577-bddd-382bc3853fde</t>
        </is>
      </c>
      <c r="M1819" t="inlineStr">
        <is>
          <t>UNKNOWN</t>
        </is>
      </c>
      <c r="N1819" t="inlineStr">
        <is>
          <t>DEFAULT</t>
        </is>
      </c>
      <c r="Q1819" t="n">
        <v>0</v>
      </c>
      <c r="R1819" t="inlineStr">
        <is>
          <t>AUD</t>
        </is>
      </c>
      <c r="S1819" t="n">
        <v>0</v>
      </c>
      <c r="T1819" t="inlineStr">
        <is>
          <t>AUD</t>
        </is>
      </c>
      <c r="U1819" t="n">
        <v>0</v>
      </c>
    </row>
    <row r="1820">
      <c r="A1820" s="5" t="inlineStr">
        <is>
          <t>01a152b9-8b1f-7275-b973-928756193a15</t>
        </is>
      </c>
      <c r="C1820" s="5" t="inlineStr">
        <is>
          <t>01a152b9-6e67-75da-8adb-b03e5d07fd21</t>
        </is>
      </c>
      <c r="D1820" s="4" t="n">
        <v>46314.24599443784</v>
      </c>
      <c r="E1820" s="4" t="n">
        <v>46314.24599443793</v>
      </c>
      <c r="F1820" t="b">
        <v>1</v>
      </c>
      <c r="G1820" t="n">
        <v/>
      </c>
      <c r="H1820" t="inlineStr">
        <is>
          <t>BCM</t>
        </is>
      </c>
      <c r="I1820" t="inlineStr">
        <is>
          <t>Brazilian Critical Minerals Ltd</t>
        </is>
      </c>
      <c r="J1820" t="inlineStr">
        <is>
          <t>AUD</t>
        </is>
      </c>
      <c r="K1820" s="5" t="inlineStr">
        <is>
          <t>01a152b9-6ee2-7577-bddd-382bc3853fde</t>
        </is>
      </c>
      <c r="M1820" t="inlineStr">
        <is>
          <t>UNKNOWN</t>
        </is>
      </c>
      <c r="N1820" t="inlineStr">
        <is>
          <t>DEFAULT</t>
        </is>
      </c>
      <c r="Q1820" t="n">
        <v>0</v>
      </c>
      <c r="R1820" t="inlineStr">
        <is>
          <t>AUD</t>
        </is>
      </c>
      <c r="S1820" t="n">
        <v>0</v>
      </c>
      <c r="T1820" t="inlineStr">
        <is>
          <t>AUD</t>
        </is>
      </c>
      <c r="U1820" t="n">
        <v>0</v>
      </c>
    </row>
    <row r="1821">
      <c r="A1821" s="5" t="inlineStr">
        <is>
          <t>01a152b9-8b22-738c-90de-9974b05ebeb2</t>
        </is>
      </c>
      <c r="C1821" s="5" t="inlineStr">
        <is>
          <t>01a152b9-6e67-75da-8adb-b03e5d07fd21</t>
        </is>
      </c>
      <c r="D1821" s="4" t="n">
        <v>46314.24599447481</v>
      </c>
      <c r="E1821" s="4" t="n">
        <v>46314.24599447491</v>
      </c>
      <c r="F1821" t="b">
        <v>1</v>
      </c>
      <c r="G1821" t="n">
        <v/>
      </c>
      <c r="H1821" t="inlineStr">
        <is>
          <t>CHM</t>
        </is>
      </c>
      <c r="I1821" t="inlineStr">
        <is>
          <t>Chimeric Therapeutics Ltd</t>
        </is>
      </c>
      <c r="J1821" t="inlineStr">
        <is>
          <t>AUD</t>
        </is>
      </c>
      <c r="K1821" s="5" t="inlineStr">
        <is>
          <t>01a152b9-6ee2-7577-bddd-382bc3853fde</t>
        </is>
      </c>
      <c r="M1821" t="inlineStr">
        <is>
          <t>UNKNOWN</t>
        </is>
      </c>
      <c r="N1821" t="inlineStr">
        <is>
          <t>DEFAULT</t>
        </is>
      </c>
      <c r="Q1821" t="n">
        <v>0</v>
      </c>
      <c r="R1821" t="inlineStr">
        <is>
          <t>AUD</t>
        </is>
      </c>
      <c r="S1821" t="n">
        <v>0</v>
      </c>
      <c r="T1821" t="inlineStr">
        <is>
          <t>AUD</t>
        </is>
      </c>
      <c r="U1821" t="n">
        <v>0</v>
      </c>
    </row>
    <row r="1822">
      <c r="A1822" s="5" t="inlineStr">
        <is>
          <t>01a152b9-8b25-756a-be62-ea285e272631</t>
        </is>
      </c>
      <c r="C1822" s="5" t="inlineStr">
        <is>
          <t>01a152b9-6e67-75da-8adb-b03e5d07fd21</t>
        </is>
      </c>
      <c r="D1822" s="4" t="n">
        <v>46314.24599451072</v>
      </c>
      <c r="E1822" s="4" t="n">
        <v>46314.24599451084</v>
      </c>
      <c r="F1822" t="b">
        <v>1</v>
      </c>
      <c r="G1822" t="n">
        <v/>
      </c>
      <c r="H1822" t="inlineStr">
        <is>
          <t>ITM</t>
        </is>
      </c>
      <c r="I1822" t="inlineStr">
        <is>
          <t>Itech Minerals Ltd</t>
        </is>
      </c>
      <c r="J1822" t="inlineStr">
        <is>
          <t>AUD</t>
        </is>
      </c>
      <c r="K1822" s="5" t="inlineStr">
        <is>
          <t>01a152b9-6ee2-7577-bddd-382bc3853fde</t>
        </is>
      </c>
      <c r="M1822" t="inlineStr">
        <is>
          <t>UNKNOWN</t>
        </is>
      </c>
      <c r="N1822" t="inlineStr">
        <is>
          <t>DEFAULT</t>
        </is>
      </c>
      <c r="Q1822" t="n">
        <v>0</v>
      </c>
      <c r="R1822" t="inlineStr">
        <is>
          <t>AUD</t>
        </is>
      </c>
      <c r="S1822" t="n">
        <v>0</v>
      </c>
      <c r="T1822" t="inlineStr">
        <is>
          <t>AUD</t>
        </is>
      </c>
      <c r="U1822" t="n">
        <v>0</v>
      </c>
    </row>
    <row r="1823">
      <c r="A1823" s="5" t="inlineStr">
        <is>
          <t>01a152b9-8b29-757b-a8d7-40c82c08b8d9</t>
        </is>
      </c>
      <c r="C1823" s="5" t="inlineStr">
        <is>
          <t>01a152b9-6e67-75da-8adb-b03e5d07fd21</t>
        </is>
      </c>
      <c r="D1823" s="4" t="n">
        <v>46314.24599455004</v>
      </c>
      <c r="E1823" s="4" t="n">
        <v>46314.24599455016</v>
      </c>
      <c r="F1823" t="b">
        <v>1</v>
      </c>
      <c r="G1823" t="n">
        <v/>
      </c>
      <c r="H1823" t="inlineStr">
        <is>
          <t>DGR</t>
        </is>
      </c>
      <c r="I1823" t="inlineStr">
        <is>
          <t>DGR Global Ltd</t>
        </is>
      </c>
      <c r="J1823" t="inlineStr">
        <is>
          <t>AUD</t>
        </is>
      </c>
      <c r="K1823" s="5" t="inlineStr">
        <is>
          <t>01a152b9-6ee2-7577-bddd-382bc3853fde</t>
        </is>
      </c>
      <c r="M1823" t="inlineStr">
        <is>
          <t>UNKNOWN</t>
        </is>
      </c>
      <c r="N1823" t="inlineStr">
        <is>
          <t>DEFAULT</t>
        </is>
      </c>
      <c r="Q1823" t="n">
        <v>0</v>
      </c>
      <c r="R1823" t="inlineStr">
        <is>
          <t>AUD</t>
        </is>
      </c>
      <c r="S1823" t="n">
        <v>0</v>
      </c>
      <c r="T1823" t="inlineStr">
        <is>
          <t>AUD</t>
        </is>
      </c>
      <c r="U1823" t="n">
        <v>0</v>
      </c>
    </row>
    <row r="1824">
      <c r="A1824" s="5" t="inlineStr">
        <is>
          <t>01a152b9-8b2c-734b-a9f2-c7674e160ab6</t>
        </is>
      </c>
      <c r="C1824" s="5" t="inlineStr">
        <is>
          <t>01a152b9-6e67-75da-8adb-b03e5d07fd21</t>
        </is>
      </c>
      <c r="D1824" s="4" t="n">
        <v>46314.24599458949</v>
      </c>
      <c r="E1824" s="4" t="n">
        <v>46314.2459945896</v>
      </c>
      <c r="F1824" t="b">
        <v>1</v>
      </c>
      <c r="G1824" t="n">
        <v/>
      </c>
      <c r="H1824" t="inlineStr">
        <is>
          <t>GBZ</t>
        </is>
      </c>
      <c r="I1824" t="inlineStr">
        <is>
          <t>GBM Resources Ltd</t>
        </is>
      </c>
      <c r="J1824" t="inlineStr">
        <is>
          <t>AUD</t>
        </is>
      </c>
      <c r="K1824" s="5" t="inlineStr">
        <is>
          <t>01a152b9-6ee2-7577-bddd-382bc3853fde</t>
        </is>
      </c>
      <c r="M1824" t="inlineStr">
        <is>
          <t>UNKNOWN</t>
        </is>
      </c>
      <c r="N1824" t="inlineStr">
        <is>
          <t>DEFAULT</t>
        </is>
      </c>
      <c r="Q1824" t="n">
        <v>0</v>
      </c>
      <c r="R1824" t="inlineStr">
        <is>
          <t>AUD</t>
        </is>
      </c>
      <c r="S1824" t="n">
        <v>0</v>
      </c>
      <c r="T1824" t="inlineStr">
        <is>
          <t>AUD</t>
        </is>
      </c>
      <c r="U1824" t="n">
        <v>0</v>
      </c>
    </row>
    <row r="1825">
      <c r="A1825" s="5" t="inlineStr">
        <is>
          <t>01a152b9-8b2f-7692-b473-e81b0a31b740</t>
        </is>
      </c>
      <c r="C1825" s="5" t="inlineStr">
        <is>
          <t>01a152b9-6e67-75da-8adb-b03e5d07fd21</t>
        </is>
      </c>
      <c r="D1825" s="4" t="n">
        <v>46314.24599462531</v>
      </c>
      <c r="E1825" s="4" t="n">
        <v>46314.24599462539</v>
      </c>
      <c r="F1825" t="b">
        <v>1</v>
      </c>
      <c r="G1825" t="n">
        <v/>
      </c>
      <c r="H1825" t="inlineStr">
        <is>
          <t>SPA</t>
        </is>
      </c>
      <c r="I1825" t="inlineStr">
        <is>
          <t>Spacetalk Ltd</t>
        </is>
      </c>
      <c r="J1825" t="inlineStr">
        <is>
          <t>AUD</t>
        </is>
      </c>
      <c r="K1825" s="5" t="inlineStr">
        <is>
          <t>01a152b9-6ee2-7577-bddd-382bc3853fde</t>
        </is>
      </c>
      <c r="M1825" t="inlineStr">
        <is>
          <t>UNKNOWN</t>
        </is>
      </c>
      <c r="N1825" t="inlineStr">
        <is>
          <t>DEFAULT</t>
        </is>
      </c>
      <c r="Q1825" t="n">
        <v>0</v>
      </c>
      <c r="R1825" t="inlineStr">
        <is>
          <t>AUD</t>
        </is>
      </c>
      <c r="S1825" t="n">
        <v>0</v>
      </c>
      <c r="T1825" t="inlineStr">
        <is>
          <t>AUD</t>
        </is>
      </c>
      <c r="U1825" t="n">
        <v>0</v>
      </c>
    </row>
    <row r="1826">
      <c r="A1826" s="5" t="inlineStr">
        <is>
          <t>01a152b9-8b32-72bb-8b09-44030c7dfabe</t>
        </is>
      </c>
      <c r="C1826" s="5" t="inlineStr">
        <is>
          <t>01a152b9-6e67-75da-8adb-b03e5d07fd21</t>
        </is>
      </c>
      <c r="D1826" s="4" t="n">
        <v>46314.24599466146</v>
      </c>
      <c r="E1826" s="4" t="n">
        <v>46314.24599466155</v>
      </c>
      <c r="F1826" t="b">
        <v>1</v>
      </c>
      <c r="G1826" t="n">
        <v/>
      </c>
      <c r="H1826" t="inlineStr">
        <is>
          <t>RAG</t>
        </is>
      </c>
      <c r="I1826" t="inlineStr">
        <is>
          <t>Ragnar Metals Ltd</t>
        </is>
      </c>
      <c r="J1826" t="inlineStr">
        <is>
          <t>AUD</t>
        </is>
      </c>
      <c r="K1826" s="5" t="inlineStr">
        <is>
          <t>01a152b9-6ee2-7577-bddd-382bc3853fde</t>
        </is>
      </c>
      <c r="M1826" t="inlineStr">
        <is>
          <t>UNKNOWN</t>
        </is>
      </c>
      <c r="N1826" t="inlineStr">
        <is>
          <t>DEFAULT</t>
        </is>
      </c>
      <c r="Q1826" t="n">
        <v>0</v>
      </c>
      <c r="R1826" t="inlineStr">
        <is>
          <t>AUD</t>
        </is>
      </c>
      <c r="S1826" t="n">
        <v>0</v>
      </c>
      <c r="T1826" t="inlineStr">
        <is>
          <t>AUD</t>
        </is>
      </c>
      <c r="U1826" t="n">
        <v>0</v>
      </c>
    </row>
    <row r="1827">
      <c r="A1827" s="5" t="inlineStr">
        <is>
          <t>01a152b9-8b35-7221-9038-e803e104f7f5</t>
        </is>
      </c>
      <c r="C1827" s="5" t="inlineStr">
        <is>
          <t>01a152b9-6e67-75da-8adb-b03e5d07fd21</t>
        </is>
      </c>
      <c r="D1827" s="4" t="n">
        <v>46314.24599469989</v>
      </c>
      <c r="E1827" s="4" t="n">
        <v>46314.24599469999</v>
      </c>
      <c r="F1827" t="b">
        <v>1</v>
      </c>
      <c r="G1827" t="n">
        <v/>
      </c>
      <c r="H1827" t="inlineStr">
        <is>
          <t>AU1</t>
        </is>
      </c>
      <c r="I1827" t="inlineStr">
        <is>
          <t>The Agency Group Australia Ltd</t>
        </is>
      </c>
      <c r="J1827" t="inlineStr">
        <is>
          <t>AUD</t>
        </is>
      </c>
      <c r="K1827" s="5" t="inlineStr">
        <is>
          <t>01a152b9-6ee2-7577-bddd-382bc3853fde</t>
        </is>
      </c>
      <c r="M1827" t="inlineStr">
        <is>
          <t>UNKNOWN</t>
        </is>
      </c>
      <c r="N1827" t="inlineStr">
        <is>
          <t>DEFAULT</t>
        </is>
      </c>
      <c r="Q1827" t="n">
        <v>0</v>
      </c>
      <c r="R1827" t="inlineStr">
        <is>
          <t>AUD</t>
        </is>
      </c>
      <c r="S1827" t="n">
        <v>0</v>
      </c>
      <c r="T1827" t="inlineStr">
        <is>
          <t>AUD</t>
        </is>
      </c>
      <c r="U1827" t="n">
        <v>0</v>
      </c>
    </row>
    <row r="1828">
      <c r="A1828" s="5" t="inlineStr">
        <is>
          <t>01a152b9-8b39-705b-83ca-b544873bacb2</t>
        </is>
      </c>
      <c r="C1828" s="5" t="inlineStr">
        <is>
          <t>01a152b9-6e67-75da-8adb-b03e5d07fd21</t>
        </is>
      </c>
      <c r="D1828" s="4" t="n">
        <v>46314.24599474468</v>
      </c>
      <c r="E1828" s="4" t="n">
        <v>46314.24599474482</v>
      </c>
      <c r="F1828" t="b">
        <v>1</v>
      </c>
      <c r="G1828" t="n">
        <v/>
      </c>
      <c r="H1828" t="inlineStr">
        <is>
          <t>BMG</t>
        </is>
      </c>
      <c r="I1828" t="inlineStr">
        <is>
          <t>BMG Resources Ltd</t>
        </is>
      </c>
      <c r="J1828" t="inlineStr">
        <is>
          <t>AUD</t>
        </is>
      </c>
      <c r="K1828" s="5" t="inlineStr">
        <is>
          <t>01a152b9-6ee2-7577-bddd-382bc3853fde</t>
        </is>
      </c>
      <c r="M1828" t="inlineStr">
        <is>
          <t>UNKNOWN</t>
        </is>
      </c>
      <c r="N1828" t="inlineStr">
        <is>
          <t>DEFAULT</t>
        </is>
      </c>
      <c r="Q1828" t="n">
        <v>0</v>
      </c>
      <c r="R1828" t="inlineStr">
        <is>
          <t>AUD</t>
        </is>
      </c>
      <c r="S1828" t="n">
        <v>0</v>
      </c>
      <c r="T1828" t="inlineStr">
        <is>
          <t>AUD</t>
        </is>
      </c>
      <c r="U1828" t="n">
        <v>0</v>
      </c>
    </row>
    <row r="1829">
      <c r="A1829" s="5" t="inlineStr">
        <is>
          <t>01a152b9-8b3d-7787-9e93-3e0936d4feed</t>
        </is>
      </c>
      <c r="C1829" s="5" t="inlineStr">
        <is>
          <t>01a152b9-6e67-75da-8adb-b03e5d07fd21</t>
        </is>
      </c>
      <c r="D1829" s="4" t="n">
        <v>46314.2459947903</v>
      </c>
      <c r="E1829" s="4" t="n">
        <v>46314.24599479041</v>
      </c>
      <c r="F1829" t="b">
        <v>1</v>
      </c>
      <c r="G1829" t="n">
        <v/>
      </c>
      <c r="H1829" t="inlineStr">
        <is>
          <t>KM1</t>
        </is>
      </c>
      <c r="I1829" t="inlineStr">
        <is>
          <t>Kali Metals Ltd</t>
        </is>
      </c>
      <c r="J1829" t="inlineStr">
        <is>
          <t>AUD</t>
        </is>
      </c>
      <c r="K1829" s="5" t="inlineStr">
        <is>
          <t>01a152b9-6ee2-7577-bddd-382bc3853fde</t>
        </is>
      </c>
      <c r="M1829" t="inlineStr">
        <is>
          <t>UNKNOWN</t>
        </is>
      </c>
      <c r="N1829" t="inlineStr">
        <is>
          <t>DEFAULT</t>
        </is>
      </c>
      <c r="Q1829" t="n">
        <v>0</v>
      </c>
      <c r="R1829" t="inlineStr">
        <is>
          <t>AUD</t>
        </is>
      </c>
      <c r="S1829" t="n">
        <v>0</v>
      </c>
      <c r="T1829" t="inlineStr">
        <is>
          <t>AUD</t>
        </is>
      </c>
      <c r="U1829" t="n">
        <v>0</v>
      </c>
    </row>
    <row r="1830">
      <c r="A1830" s="5" t="inlineStr">
        <is>
          <t>01a152b9-8b41-71ef-9f35-591fe50269c9</t>
        </is>
      </c>
      <c r="C1830" s="5" t="inlineStr">
        <is>
          <t>01a152b9-6e67-75da-8adb-b03e5d07fd21</t>
        </is>
      </c>
      <c r="D1830" s="4" t="n">
        <v>46314.24599483461</v>
      </c>
      <c r="E1830" s="4" t="n">
        <v>46314.24599483471</v>
      </c>
      <c r="F1830" t="b">
        <v>1</v>
      </c>
      <c r="G1830" t="n">
        <v/>
      </c>
      <c r="H1830" t="inlineStr">
        <is>
          <t>COY</t>
        </is>
      </c>
      <c r="I1830" t="inlineStr">
        <is>
          <t>Coppermoly Ltd</t>
        </is>
      </c>
      <c r="J1830" t="inlineStr">
        <is>
          <t>AUD</t>
        </is>
      </c>
      <c r="K1830" s="5" t="inlineStr">
        <is>
          <t>01a152b9-6ee2-7577-bddd-382bc3853fde</t>
        </is>
      </c>
      <c r="M1830" t="inlineStr">
        <is>
          <t>UNKNOWN</t>
        </is>
      </c>
      <c r="N1830" t="inlineStr">
        <is>
          <t>DEFAULT</t>
        </is>
      </c>
      <c r="Q1830" t="n">
        <v>0</v>
      </c>
      <c r="R1830" t="inlineStr">
        <is>
          <t>AUD</t>
        </is>
      </c>
      <c r="S1830" t="n">
        <v>0</v>
      </c>
      <c r="T1830" t="inlineStr">
        <is>
          <t>AUD</t>
        </is>
      </c>
      <c r="U1830" t="n">
        <v>0</v>
      </c>
    </row>
    <row r="1831">
      <c r="A1831" s="5" t="inlineStr">
        <is>
          <t>01a152b9-8b45-7260-b019-8f1074310dcf</t>
        </is>
      </c>
      <c r="C1831" s="5" t="inlineStr">
        <is>
          <t>01a152b9-6e67-75da-8adb-b03e5d07fd21</t>
        </is>
      </c>
      <c r="D1831" s="4" t="n">
        <v>46314.24599487963</v>
      </c>
      <c r="E1831" s="4" t="n">
        <v>46314.24599487975</v>
      </c>
      <c r="F1831" t="b">
        <v>1</v>
      </c>
      <c r="G1831" t="n">
        <v/>
      </c>
      <c r="H1831" t="inlineStr">
        <is>
          <t>AQX</t>
        </is>
      </c>
      <c r="I1831" t="inlineStr">
        <is>
          <t>Alice QUEEN Ltd</t>
        </is>
      </c>
      <c r="J1831" t="inlineStr">
        <is>
          <t>AUD</t>
        </is>
      </c>
      <c r="K1831" s="5" t="inlineStr">
        <is>
          <t>01a152b9-6ee2-7577-bddd-382bc3853fde</t>
        </is>
      </c>
      <c r="M1831" t="inlineStr">
        <is>
          <t>UNKNOWN</t>
        </is>
      </c>
      <c r="N1831" t="inlineStr">
        <is>
          <t>DEFAULT</t>
        </is>
      </c>
      <c r="Q1831" t="n">
        <v>0</v>
      </c>
      <c r="R1831" t="inlineStr">
        <is>
          <t>AUD</t>
        </is>
      </c>
      <c r="S1831" t="n">
        <v>0</v>
      </c>
      <c r="T1831" t="inlineStr">
        <is>
          <t>AUD</t>
        </is>
      </c>
      <c r="U1831" t="n">
        <v>0</v>
      </c>
    </row>
    <row r="1832">
      <c r="A1832" s="5" t="inlineStr">
        <is>
          <t>01a152b9-8b49-743b-97f4-a5b313428e40</t>
        </is>
      </c>
      <c r="C1832" s="5" t="inlineStr">
        <is>
          <t>01a152b9-6e67-75da-8adb-b03e5d07fd21</t>
        </is>
      </c>
      <c r="D1832" s="4" t="n">
        <v>46314.24599492546</v>
      </c>
      <c r="E1832" s="4" t="n">
        <v>46314.24599492559</v>
      </c>
      <c r="F1832" t="b">
        <v>1</v>
      </c>
      <c r="G1832" t="n">
        <v/>
      </c>
      <c r="H1832" t="inlineStr">
        <is>
          <t>OLL</t>
        </is>
      </c>
      <c r="I1832" t="inlineStr">
        <is>
          <t>Openlearning Ltd</t>
        </is>
      </c>
      <c r="J1832" t="inlineStr">
        <is>
          <t>AUD</t>
        </is>
      </c>
      <c r="K1832" s="5" t="inlineStr">
        <is>
          <t>01a152b9-6ee2-7577-bddd-382bc3853fde</t>
        </is>
      </c>
      <c r="M1832" t="inlineStr">
        <is>
          <t>UNKNOWN</t>
        </is>
      </c>
      <c r="N1832" t="inlineStr">
        <is>
          <t>DEFAULT</t>
        </is>
      </c>
      <c r="Q1832" t="n">
        <v>0</v>
      </c>
      <c r="R1832" t="inlineStr">
        <is>
          <t>AUD</t>
        </is>
      </c>
      <c r="S1832" t="n">
        <v>0</v>
      </c>
      <c r="T1832" t="inlineStr">
        <is>
          <t>AUD</t>
        </is>
      </c>
      <c r="U1832" t="n">
        <v>0</v>
      </c>
    </row>
    <row r="1833">
      <c r="A1833" s="5" t="inlineStr">
        <is>
          <t>01a152b9-8b4d-702c-a257-6fff2d2237ab</t>
        </is>
      </c>
      <c r="C1833" s="5" t="inlineStr">
        <is>
          <t>01a152b9-6e67-75da-8adb-b03e5d07fd21</t>
        </is>
      </c>
      <c r="D1833" s="4" t="n">
        <v>46314.24599497084</v>
      </c>
      <c r="E1833" s="4" t="n">
        <v>46314.24599497102</v>
      </c>
      <c r="F1833" t="b">
        <v>1</v>
      </c>
      <c r="G1833" t="n">
        <v/>
      </c>
      <c r="H1833" t="inlineStr">
        <is>
          <t>MMR</t>
        </is>
      </c>
      <c r="I1833" t="inlineStr">
        <is>
          <t>Mec Resources Ltd</t>
        </is>
      </c>
      <c r="J1833" t="inlineStr">
        <is>
          <t>AUD</t>
        </is>
      </c>
      <c r="K1833" s="5" t="inlineStr">
        <is>
          <t>01a152b9-6ee2-7577-bddd-382bc3853fde</t>
        </is>
      </c>
      <c r="M1833" t="inlineStr">
        <is>
          <t>UNKNOWN</t>
        </is>
      </c>
      <c r="N1833" t="inlineStr">
        <is>
          <t>DEFAULT</t>
        </is>
      </c>
      <c r="Q1833" t="n">
        <v>0</v>
      </c>
      <c r="R1833" t="inlineStr">
        <is>
          <t>AUD</t>
        </is>
      </c>
      <c r="S1833" t="n">
        <v>0</v>
      </c>
      <c r="T1833" t="inlineStr">
        <is>
          <t>AUD</t>
        </is>
      </c>
      <c r="U1833" t="n">
        <v>0</v>
      </c>
    </row>
    <row r="1834">
      <c r="A1834" s="5" t="inlineStr">
        <is>
          <t>01a152b9-8b50-722f-a79a-64779c2f9edd</t>
        </is>
      </c>
      <c r="C1834" s="5" t="inlineStr">
        <is>
          <t>01a152b9-6e67-75da-8adb-b03e5d07fd21</t>
        </is>
      </c>
      <c r="D1834" s="4" t="n">
        <v>46314.24599501124</v>
      </c>
      <c r="E1834" s="4" t="n">
        <v>46314.24599501138</v>
      </c>
      <c r="F1834" t="b">
        <v>1</v>
      </c>
      <c r="G1834" t="n">
        <v/>
      </c>
      <c r="H1834" t="inlineStr">
        <is>
          <t>GMN</t>
        </is>
      </c>
      <c r="I1834" t="inlineStr">
        <is>
          <t>Gold Mountain Ltd</t>
        </is>
      </c>
      <c r="J1834" t="inlineStr">
        <is>
          <t>AUD</t>
        </is>
      </c>
      <c r="K1834" s="5" t="inlineStr">
        <is>
          <t>01a152b9-6ee2-7577-bddd-382bc3853fde</t>
        </is>
      </c>
      <c r="M1834" t="inlineStr">
        <is>
          <t>UNKNOWN</t>
        </is>
      </c>
      <c r="N1834" t="inlineStr">
        <is>
          <t>DEFAULT</t>
        </is>
      </c>
      <c r="Q1834" t="n">
        <v>0</v>
      </c>
      <c r="R1834" t="inlineStr">
        <is>
          <t>AUD</t>
        </is>
      </c>
      <c r="S1834" t="n">
        <v>0</v>
      </c>
      <c r="T1834" t="inlineStr">
        <is>
          <t>AUD</t>
        </is>
      </c>
      <c r="U1834" t="n">
        <v>0</v>
      </c>
    </row>
    <row r="1835">
      <c r="A1835" s="5" t="inlineStr">
        <is>
          <t>01a152b9-8b54-75e3-9db4-5ec85b2ccfa9</t>
        </is>
      </c>
      <c r="C1835" s="5" t="inlineStr">
        <is>
          <t>01a152b9-6e67-75da-8adb-b03e5d07fd21</t>
        </is>
      </c>
      <c r="D1835" s="4" t="n">
        <v>46314.24599505198</v>
      </c>
      <c r="E1835" s="4" t="n">
        <v>46314.24599505211</v>
      </c>
      <c r="F1835" t="b">
        <v>1</v>
      </c>
      <c r="G1835" t="n">
        <v/>
      </c>
      <c r="H1835" t="inlineStr">
        <is>
          <t>NSX</t>
        </is>
      </c>
      <c r="I1835" t="inlineStr">
        <is>
          <t>NSX Ltd</t>
        </is>
      </c>
      <c r="J1835" t="inlineStr">
        <is>
          <t>AUD</t>
        </is>
      </c>
      <c r="K1835" s="5" t="inlineStr">
        <is>
          <t>01a152b9-6ee2-7577-bddd-382bc3853fde</t>
        </is>
      </c>
      <c r="M1835" t="inlineStr">
        <is>
          <t>UNKNOWN</t>
        </is>
      </c>
      <c r="N1835" t="inlineStr">
        <is>
          <t>DEFAULT</t>
        </is>
      </c>
      <c r="Q1835" t="n">
        <v>0</v>
      </c>
      <c r="R1835" t="inlineStr">
        <is>
          <t>AUD</t>
        </is>
      </c>
      <c r="S1835" t="n">
        <v>0</v>
      </c>
      <c r="T1835" t="inlineStr">
        <is>
          <t>AUD</t>
        </is>
      </c>
      <c r="U1835" t="n">
        <v>0</v>
      </c>
    </row>
    <row r="1836">
      <c r="A1836" s="5" t="inlineStr">
        <is>
          <t>01a152b9-8b57-7102-b0a6-ac7291556d58</t>
        </is>
      </c>
      <c r="C1836" s="5" t="inlineStr">
        <is>
          <t>01a152b9-6e67-75da-8adb-b03e5d07fd21</t>
        </is>
      </c>
      <c r="D1836" s="4" t="n">
        <v>46314.24599508922</v>
      </c>
      <c r="E1836" s="4" t="n">
        <v>46314.24599508935</v>
      </c>
      <c r="F1836" t="b">
        <v>1</v>
      </c>
      <c r="G1836" t="n">
        <v/>
      </c>
      <c r="H1836" t="inlineStr">
        <is>
          <t>GW1</t>
        </is>
      </c>
      <c r="I1836" t="inlineStr">
        <is>
          <t>Greenwing Resources Ltd</t>
        </is>
      </c>
      <c r="J1836" t="inlineStr">
        <is>
          <t>AUD</t>
        </is>
      </c>
      <c r="K1836" s="5" t="inlineStr">
        <is>
          <t>01a152b9-6ee2-7577-bddd-382bc3853fde</t>
        </is>
      </c>
      <c r="M1836" t="inlineStr">
        <is>
          <t>UNKNOWN</t>
        </is>
      </c>
      <c r="N1836" t="inlineStr">
        <is>
          <t>DEFAULT</t>
        </is>
      </c>
      <c r="Q1836" t="n">
        <v>0</v>
      </c>
      <c r="R1836" t="inlineStr">
        <is>
          <t>AUD</t>
        </is>
      </c>
      <c r="S1836" t="n">
        <v>0</v>
      </c>
      <c r="T1836" t="inlineStr">
        <is>
          <t>AUD</t>
        </is>
      </c>
      <c r="U1836" t="n">
        <v>0</v>
      </c>
    </row>
    <row r="1837">
      <c r="A1837" s="5" t="inlineStr">
        <is>
          <t>01a152b9-8b5b-74e2-a2f8-87174aaae9d0</t>
        </is>
      </c>
      <c r="C1837" s="5" t="inlineStr">
        <is>
          <t>01a152b9-6e67-75da-8adb-b03e5d07fd21</t>
        </is>
      </c>
      <c r="D1837" s="4" t="n">
        <v>46314.24599512896</v>
      </c>
      <c r="E1837" s="4" t="n">
        <v>46314.24599512909</v>
      </c>
      <c r="F1837" t="b">
        <v>1</v>
      </c>
      <c r="G1837" t="n">
        <v/>
      </c>
      <c r="H1837" t="inlineStr">
        <is>
          <t>KLI</t>
        </is>
      </c>
      <c r="I1837" t="inlineStr">
        <is>
          <t>Killi Resources Ltd</t>
        </is>
      </c>
      <c r="J1837" t="inlineStr">
        <is>
          <t>AUD</t>
        </is>
      </c>
      <c r="K1837" s="5" t="inlineStr">
        <is>
          <t>01a152b9-6ee2-7577-bddd-382bc3853fde</t>
        </is>
      </c>
      <c r="M1837" t="inlineStr">
        <is>
          <t>UNKNOWN</t>
        </is>
      </c>
      <c r="N1837" t="inlineStr">
        <is>
          <t>DEFAULT</t>
        </is>
      </c>
      <c r="Q1837" t="n">
        <v>0</v>
      </c>
      <c r="R1837" t="inlineStr">
        <is>
          <t>AUD</t>
        </is>
      </c>
      <c r="S1837" t="n">
        <v>0</v>
      </c>
      <c r="T1837" t="inlineStr">
        <is>
          <t>AUD</t>
        </is>
      </c>
      <c r="U1837" t="n">
        <v>0</v>
      </c>
    </row>
    <row r="1838">
      <c r="A1838" s="5" t="inlineStr">
        <is>
          <t>01a152b9-8b5f-7108-af6d-decad00ade70</t>
        </is>
      </c>
      <c r="C1838" s="5" t="inlineStr">
        <is>
          <t>01a152b9-6e67-75da-8adb-b03e5d07fd21</t>
        </is>
      </c>
      <c r="D1838" s="4" t="n">
        <v>46314.2459951759</v>
      </c>
      <c r="E1838" s="4" t="n">
        <v>46314.24599517602</v>
      </c>
      <c r="F1838" t="b">
        <v>1</v>
      </c>
      <c r="G1838" t="n">
        <v/>
      </c>
      <c r="H1838" t="inlineStr">
        <is>
          <t>CAG</t>
        </is>
      </c>
      <c r="I1838" t="inlineStr">
        <is>
          <t>Cape Range Ltd</t>
        </is>
      </c>
      <c r="J1838" t="inlineStr">
        <is>
          <t>AUD</t>
        </is>
      </c>
      <c r="K1838" s="5" t="inlineStr">
        <is>
          <t>01a152b9-6ee2-7577-bddd-382bc3853fde</t>
        </is>
      </c>
      <c r="M1838" t="inlineStr">
        <is>
          <t>UNKNOWN</t>
        </is>
      </c>
      <c r="N1838" t="inlineStr">
        <is>
          <t>DEFAULT</t>
        </is>
      </c>
      <c r="Q1838" t="n">
        <v>0</v>
      </c>
      <c r="R1838" t="inlineStr">
        <is>
          <t>AUD</t>
        </is>
      </c>
      <c r="S1838" t="n">
        <v>0</v>
      </c>
      <c r="T1838" t="inlineStr">
        <is>
          <t>AUD</t>
        </is>
      </c>
      <c r="U1838" t="n">
        <v>0</v>
      </c>
    </row>
    <row r="1839">
      <c r="A1839" s="5" t="inlineStr">
        <is>
          <t>01a152b9-8b62-7319-bdb2-7d7e844fac99</t>
        </is>
      </c>
      <c r="C1839" s="5" t="inlineStr">
        <is>
          <t>01a152b9-6e67-75da-8adb-b03e5d07fd21</t>
        </is>
      </c>
      <c r="D1839" s="4" t="n">
        <v>46314.24599521507</v>
      </c>
      <c r="E1839" s="4" t="n">
        <v>46314.24599521522</v>
      </c>
      <c r="F1839" t="b">
        <v>1</v>
      </c>
      <c r="G1839" t="n">
        <v/>
      </c>
      <c r="H1839" t="inlineStr">
        <is>
          <t>KNG</t>
        </is>
      </c>
      <c r="I1839" t="inlineStr">
        <is>
          <t>Kingsland Minerals Ltd</t>
        </is>
      </c>
      <c r="J1839" t="inlineStr">
        <is>
          <t>AUD</t>
        </is>
      </c>
      <c r="K1839" s="5" t="inlineStr">
        <is>
          <t>01a152b9-6ee2-7577-bddd-382bc3853fde</t>
        </is>
      </c>
      <c r="M1839" t="inlineStr">
        <is>
          <t>UNKNOWN</t>
        </is>
      </c>
      <c r="N1839" t="inlineStr">
        <is>
          <t>DEFAULT</t>
        </is>
      </c>
      <c r="Q1839" t="n">
        <v>0</v>
      </c>
      <c r="R1839" t="inlineStr">
        <is>
          <t>AUD</t>
        </is>
      </c>
      <c r="S1839" t="n">
        <v>0</v>
      </c>
      <c r="T1839" t="inlineStr">
        <is>
          <t>AUD</t>
        </is>
      </c>
      <c r="U1839" t="n">
        <v>0</v>
      </c>
    </row>
    <row r="1840">
      <c r="A1840" s="5" t="inlineStr">
        <is>
          <t>01a152b9-8b66-752a-91b4-dbf3635f1a17</t>
        </is>
      </c>
      <c r="C1840" s="5" t="inlineStr">
        <is>
          <t>01a152b9-6e67-75da-8adb-b03e5d07fd21</t>
        </is>
      </c>
      <c r="D1840" s="4" t="n">
        <v>46314.24599525954</v>
      </c>
      <c r="E1840" s="4" t="n">
        <v>46314.24599525965</v>
      </c>
      <c r="F1840" t="b">
        <v>1</v>
      </c>
      <c r="G1840" t="n">
        <v/>
      </c>
      <c r="H1840" t="inlineStr">
        <is>
          <t>ADV</t>
        </is>
      </c>
      <c r="I1840" t="inlineStr">
        <is>
          <t>Ardiden Ltd</t>
        </is>
      </c>
      <c r="J1840" t="inlineStr">
        <is>
          <t>AUD</t>
        </is>
      </c>
      <c r="K1840" s="5" t="inlineStr">
        <is>
          <t>01a152b9-6ee2-7577-bddd-382bc3853fde</t>
        </is>
      </c>
      <c r="M1840" t="inlineStr">
        <is>
          <t>UNKNOWN</t>
        </is>
      </c>
      <c r="N1840" t="inlineStr">
        <is>
          <t>DEFAULT</t>
        </is>
      </c>
      <c r="Q1840" t="n">
        <v>0</v>
      </c>
      <c r="R1840" t="inlineStr">
        <is>
          <t>AUD</t>
        </is>
      </c>
      <c r="S1840" t="n">
        <v>0</v>
      </c>
      <c r="T1840" t="inlineStr">
        <is>
          <t>AUD</t>
        </is>
      </c>
      <c r="U1840" t="n">
        <v>0</v>
      </c>
    </row>
    <row r="1841">
      <c r="A1841" s="5" t="inlineStr">
        <is>
          <t>01a152b9-8b69-753b-a5b6-561786b1aa26</t>
        </is>
      </c>
      <c r="C1841" s="5" t="inlineStr">
        <is>
          <t>01a152b9-6e67-75da-8adb-b03e5d07fd21</t>
        </is>
      </c>
      <c r="D1841" s="4" t="n">
        <v>46314.24599530089</v>
      </c>
      <c r="E1841" s="4" t="n">
        <v>46314.24599530104</v>
      </c>
      <c r="F1841" t="b">
        <v>1</v>
      </c>
      <c r="G1841" t="n">
        <v/>
      </c>
      <c r="H1841" t="inlineStr">
        <is>
          <t>BDT</t>
        </is>
      </c>
      <c r="I1841" t="inlineStr">
        <is>
          <t>Birddog Technology Ltd</t>
        </is>
      </c>
      <c r="J1841" t="inlineStr">
        <is>
          <t>AUD</t>
        </is>
      </c>
      <c r="K1841" s="5" t="inlineStr">
        <is>
          <t>01a152b9-6ee2-7577-bddd-382bc3853fde</t>
        </is>
      </c>
      <c r="M1841" t="inlineStr">
        <is>
          <t>UNKNOWN</t>
        </is>
      </c>
      <c r="N1841" t="inlineStr">
        <is>
          <t>DEFAULT</t>
        </is>
      </c>
      <c r="Q1841" t="n">
        <v>0</v>
      </c>
      <c r="R1841" t="inlineStr">
        <is>
          <t>AUD</t>
        </is>
      </c>
      <c r="S1841" t="n">
        <v>0</v>
      </c>
      <c r="T1841" t="inlineStr">
        <is>
          <t>AUD</t>
        </is>
      </c>
      <c r="U1841" t="n">
        <v>0</v>
      </c>
    </row>
    <row r="1842">
      <c r="A1842" s="5" t="inlineStr">
        <is>
          <t>01a152b9-8b6d-7227-a15f-553ed1f85d9f</t>
        </is>
      </c>
      <c r="C1842" s="5" t="inlineStr">
        <is>
          <t>01a152b9-6e67-75da-8adb-b03e5d07fd21</t>
        </is>
      </c>
      <c r="D1842" s="4" t="n">
        <v>46314.24599534849</v>
      </c>
      <c r="E1842" s="4" t="n">
        <v>46314.24599534863</v>
      </c>
      <c r="F1842" t="b">
        <v>1</v>
      </c>
      <c r="G1842" t="n">
        <v/>
      </c>
      <c r="H1842" t="inlineStr">
        <is>
          <t>RRR</t>
        </is>
      </c>
      <c r="I1842" t="inlineStr">
        <is>
          <t>Revolver Resources Holdings Ltd</t>
        </is>
      </c>
      <c r="J1842" t="inlineStr">
        <is>
          <t>AUD</t>
        </is>
      </c>
      <c r="K1842" s="5" t="inlineStr">
        <is>
          <t>01a152b9-6ee2-7577-bddd-382bc3853fde</t>
        </is>
      </c>
      <c r="M1842" t="inlineStr">
        <is>
          <t>UNKNOWN</t>
        </is>
      </c>
      <c r="N1842" t="inlineStr">
        <is>
          <t>DEFAULT</t>
        </is>
      </c>
      <c r="Q1842" t="n">
        <v>0</v>
      </c>
      <c r="R1842" t="inlineStr">
        <is>
          <t>AUD</t>
        </is>
      </c>
      <c r="S1842" t="n">
        <v>0</v>
      </c>
      <c r="T1842" t="inlineStr">
        <is>
          <t>AUD</t>
        </is>
      </c>
      <c r="U1842" t="n">
        <v>0</v>
      </c>
    </row>
    <row r="1843">
      <c r="A1843" s="5" t="inlineStr">
        <is>
          <t>01a152b9-8b71-759b-9319-72e7604674a0</t>
        </is>
      </c>
      <c r="C1843" s="5" t="inlineStr">
        <is>
          <t>01a152b9-6e67-75da-8adb-b03e5d07fd21</t>
        </is>
      </c>
      <c r="D1843" s="4" t="n">
        <v>46314.24599539246</v>
      </c>
      <c r="E1843" s="4" t="n">
        <v>46314.24599539258</v>
      </c>
      <c r="F1843" t="b">
        <v>1</v>
      </c>
      <c r="G1843" t="n">
        <v/>
      </c>
      <c r="H1843" t="inlineStr">
        <is>
          <t>CTO</t>
        </is>
      </c>
      <c r="I1843" t="inlineStr">
        <is>
          <t>Citigold Corporation Ltd</t>
        </is>
      </c>
      <c r="J1843" t="inlineStr">
        <is>
          <t>AUD</t>
        </is>
      </c>
      <c r="K1843" s="5" t="inlineStr">
        <is>
          <t>01a152b9-6ee2-7577-bddd-382bc3853fde</t>
        </is>
      </c>
      <c r="M1843" t="inlineStr">
        <is>
          <t>UNKNOWN</t>
        </is>
      </c>
      <c r="N1843" t="inlineStr">
        <is>
          <t>DEFAULT</t>
        </is>
      </c>
      <c r="Q1843" t="n">
        <v>0</v>
      </c>
      <c r="R1843" t="inlineStr">
        <is>
          <t>AUD</t>
        </is>
      </c>
      <c r="S1843" t="n">
        <v>0</v>
      </c>
      <c r="T1843" t="inlineStr">
        <is>
          <t>AUD</t>
        </is>
      </c>
      <c r="U1843" t="n">
        <v>0</v>
      </c>
    </row>
    <row r="1844">
      <c r="A1844" s="5" t="inlineStr">
        <is>
          <t>01a152b9-8b78-72c7-9729-a7f4a059bfb2</t>
        </is>
      </c>
      <c r="C1844" s="5" t="inlineStr">
        <is>
          <t>01a152b9-6e67-75da-8adb-b03e5d07fd21</t>
        </is>
      </c>
      <c r="D1844" s="4" t="n">
        <v>46314.24599547577</v>
      </c>
      <c r="E1844" s="4" t="n">
        <v>46314.24599547597</v>
      </c>
      <c r="F1844" t="b">
        <v>1</v>
      </c>
      <c r="G1844" t="n">
        <v/>
      </c>
      <c r="H1844" t="inlineStr">
        <is>
          <t>GDM</t>
        </is>
      </c>
      <c r="I1844" t="inlineStr">
        <is>
          <t>Great Divide Mining Ltd</t>
        </is>
      </c>
      <c r="J1844" t="inlineStr">
        <is>
          <t>AUD</t>
        </is>
      </c>
      <c r="K1844" s="5" t="inlineStr">
        <is>
          <t>01a152b9-6ee2-7577-bddd-382bc3853fde</t>
        </is>
      </c>
      <c r="M1844" t="inlineStr">
        <is>
          <t>UNKNOWN</t>
        </is>
      </c>
      <c r="N1844" t="inlineStr">
        <is>
          <t>DEFAULT</t>
        </is>
      </c>
      <c r="Q1844" t="n">
        <v>0</v>
      </c>
      <c r="R1844" t="inlineStr">
        <is>
          <t>AUD</t>
        </is>
      </c>
      <c r="S1844" t="n">
        <v>0</v>
      </c>
      <c r="T1844" t="inlineStr">
        <is>
          <t>AUD</t>
        </is>
      </c>
      <c r="U1844" t="n">
        <v>0</v>
      </c>
    </row>
    <row r="1845">
      <c r="A1845" s="5" t="inlineStr">
        <is>
          <t>01a152b9-8b7f-7130-8508-b930db5bde59</t>
        </is>
      </c>
      <c r="C1845" s="5" t="inlineStr">
        <is>
          <t>01a152b9-6e67-75da-8adb-b03e5d07fd21</t>
        </is>
      </c>
      <c r="D1845" s="4" t="n">
        <v>46314.24599555586</v>
      </c>
      <c r="E1845" s="4" t="n">
        <v>46314.24599555665</v>
      </c>
      <c r="F1845" t="b">
        <v>1</v>
      </c>
      <c r="G1845" t="n">
        <v/>
      </c>
      <c r="H1845" t="inlineStr">
        <is>
          <t>GML</t>
        </is>
      </c>
      <c r="I1845" t="inlineStr">
        <is>
          <t>Gateway Mining Ltd</t>
        </is>
      </c>
      <c r="J1845" t="inlineStr">
        <is>
          <t>AUD</t>
        </is>
      </c>
      <c r="K1845" s="5" t="inlineStr">
        <is>
          <t>01a152b9-6ee2-7577-bddd-382bc3853fde</t>
        </is>
      </c>
      <c r="M1845" t="inlineStr">
        <is>
          <t>UNKNOWN</t>
        </is>
      </c>
      <c r="N1845" t="inlineStr">
        <is>
          <t>DEFAULT</t>
        </is>
      </c>
      <c r="Q1845" t="n">
        <v>0</v>
      </c>
      <c r="R1845" t="inlineStr">
        <is>
          <t>AUD</t>
        </is>
      </c>
      <c r="S1845" t="n">
        <v>0</v>
      </c>
      <c r="T1845" t="inlineStr">
        <is>
          <t>AUD</t>
        </is>
      </c>
      <c r="U1845" t="n">
        <v>0</v>
      </c>
    </row>
    <row r="1846">
      <c r="A1846" s="5" t="inlineStr">
        <is>
          <t>01a152b9-8b87-769a-ad70-42e616071d83</t>
        </is>
      </c>
      <c r="C1846" s="5" t="inlineStr">
        <is>
          <t>01a152b9-6e67-75da-8adb-b03e5d07fd21</t>
        </is>
      </c>
      <c r="D1846" s="4" t="n">
        <v>46314.24599564579</v>
      </c>
      <c r="E1846" s="4" t="n">
        <v>46314.24599564599</v>
      </c>
      <c r="F1846" t="b">
        <v>1</v>
      </c>
      <c r="G1846" t="n">
        <v/>
      </c>
      <c r="H1846" t="inlineStr">
        <is>
          <t>L1M</t>
        </is>
      </c>
      <c r="I1846" t="inlineStr">
        <is>
          <t>Lightning Minerals Ltd</t>
        </is>
      </c>
      <c r="J1846" t="inlineStr">
        <is>
          <t>AUD</t>
        </is>
      </c>
      <c r="K1846" s="5" t="inlineStr">
        <is>
          <t>01a152b9-6ee2-7577-bddd-382bc3853fde</t>
        </is>
      </c>
      <c r="M1846" t="inlineStr">
        <is>
          <t>UNKNOWN</t>
        </is>
      </c>
      <c r="N1846" t="inlineStr">
        <is>
          <t>DEFAULT</t>
        </is>
      </c>
      <c r="Q1846" t="n">
        <v>0</v>
      </c>
      <c r="R1846" t="inlineStr">
        <is>
          <t>AUD</t>
        </is>
      </c>
      <c r="S1846" t="n">
        <v>0</v>
      </c>
      <c r="T1846" t="inlineStr">
        <is>
          <t>AUD</t>
        </is>
      </c>
      <c r="U1846" t="n">
        <v>0</v>
      </c>
    </row>
    <row r="1847">
      <c r="A1847" s="5" t="inlineStr">
        <is>
          <t>01a152b9-8b8e-73ae-81a6-b2a80b03f7be</t>
        </is>
      </c>
      <c r="C1847" s="5" t="inlineStr">
        <is>
          <t>01a152b9-6e67-75da-8adb-b03e5d07fd21</t>
        </is>
      </c>
      <c r="D1847" s="4" t="n">
        <v>46314.24599572807</v>
      </c>
      <c r="E1847" s="4" t="n">
        <v>46314.24599572828</v>
      </c>
      <c r="F1847" t="b">
        <v>1</v>
      </c>
      <c r="G1847" t="n">
        <v/>
      </c>
      <c r="H1847" t="inlineStr">
        <is>
          <t>ATV</t>
        </is>
      </c>
      <c r="I1847" t="inlineStr">
        <is>
          <t>Activeport Group Ltd</t>
        </is>
      </c>
      <c r="J1847" t="inlineStr">
        <is>
          <t>AUD</t>
        </is>
      </c>
      <c r="K1847" s="5" t="inlineStr">
        <is>
          <t>01a152b9-6ee2-7577-bddd-382bc3853fde</t>
        </is>
      </c>
      <c r="M1847" t="inlineStr">
        <is>
          <t>UNKNOWN</t>
        </is>
      </c>
      <c r="N1847" t="inlineStr">
        <is>
          <t>DEFAULT</t>
        </is>
      </c>
      <c r="Q1847" t="n">
        <v>0</v>
      </c>
      <c r="R1847" t="inlineStr">
        <is>
          <t>AUD</t>
        </is>
      </c>
      <c r="S1847" t="n">
        <v>0</v>
      </c>
      <c r="T1847" t="inlineStr">
        <is>
          <t>AUD</t>
        </is>
      </c>
      <c r="U1847" t="n">
        <v>0</v>
      </c>
    </row>
    <row r="1848">
      <c r="A1848" s="5" t="inlineStr">
        <is>
          <t>01a152b9-8b93-765a-9620-cc40497e3034</t>
        </is>
      </c>
      <c r="C1848" s="5" t="inlineStr">
        <is>
          <t>01a152b9-6e67-75da-8adb-b03e5d07fd21</t>
        </is>
      </c>
      <c r="D1848" s="4" t="n">
        <v>46314.2459957833</v>
      </c>
      <c r="E1848" s="4" t="n">
        <v>46314.24599578349</v>
      </c>
      <c r="F1848" t="b">
        <v>1</v>
      </c>
      <c r="G1848" t="n">
        <v/>
      </c>
      <c r="H1848" t="inlineStr">
        <is>
          <t>T88</t>
        </is>
      </c>
      <c r="I1848" t="inlineStr">
        <is>
          <t>Taiton Resources Ltd</t>
        </is>
      </c>
      <c r="J1848" t="inlineStr">
        <is>
          <t>AUD</t>
        </is>
      </c>
      <c r="K1848" s="5" t="inlineStr">
        <is>
          <t>01a152b9-6ee2-7577-bddd-382bc3853fde</t>
        </is>
      </c>
      <c r="M1848" t="inlineStr">
        <is>
          <t>UNKNOWN</t>
        </is>
      </c>
      <c r="N1848" t="inlineStr">
        <is>
          <t>DEFAULT</t>
        </is>
      </c>
      <c r="Q1848" t="n">
        <v>0</v>
      </c>
      <c r="R1848" t="inlineStr">
        <is>
          <t>AUD</t>
        </is>
      </c>
      <c r="S1848" t="n">
        <v>0</v>
      </c>
      <c r="T1848" t="inlineStr">
        <is>
          <t>AUD</t>
        </is>
      </c>
      <c r="U1848" t="n">
        <v>0</v>
      </c>
    </row>
    <row r="1849">
      <c r="A1849" s="5" t="inlineStr">
        <is>
          <t>01a152b9-8b9c-7120-8c45-71beb69ccbeb</t>
        </is>
      </c>
      <c r="C1849" s="5" t="inlineStr">
        <is>
          <t>01a152b9-6e67-75da-8adb-b03e5d07fd21</t>
        </is>
      </c>
      <c r="D1849" s="4" t="n">
        <v>46314.24599589112</v>
      </c>
      <c r="E1849" s="4" t="n">
        <v>46314.24599589129</v>
      </c>
      <c r="F1849" t="b">
        <v>1</v>
      </c>
      <c r="G1849" t="n">
        <v/>
      </c>
      <c r="H1849" t="inlineStr">
        <is>
          <t>ZAG</t>
        </is>
      </c>
      <c r="I1849" t="inlineStr">
        <is>
          <t>Zuleika Gold Ltd</t>
        </is>
      </c>
      <c r="J1849" t="inlineStr">
        <is>
          <t>AUD</t>
        </is>
      </c>
      <c r="K1849" s="5" t="inlineStr">
        <is>
          <t>01a152b9-6ee2-7577-bddd-382bc3853fde</t>
        </is>
      </c>
      <c r="M1849" t="inlineStr">
        <is>
          <t>UNKNOWN</t>
        </is>
      </c>
      <c r="N1849" t="inlineStr">
        <is>
          <t>DEFAULT</t>
        </is>
      </c>
      <c r="Q1849" t="n">
        <v>0</v>
      </c>
      <c r="R1849" t="inlineStr">
        <is>
          <t>AUD</t>
        </is>
      </c>
      <c r="S1849" t="n">
        <v>0</v>
      </c>
      <c r="T1849" t="inlineStr">
        <is>
          <t>AUD</t>
        </is>
      </c>
      <c r="U1849" t="n">
        <v>0</v>
      </c>
    </row>
    <row r="1850">
      <c r="A1850" s="5" t="inlineStr">
        <is>
          <t>01a152b9-8ba0-7074-82bf-a47a40cf42b7</t>
        </is>
      </c>
      <c r="C1850" s="5" t="inlineStr">
        <is>
          <t>01a152b9-6e67-75da-8adb-b03e5d07fd21</t>
        </is>
      </c>
      <c r="D1850" s="4" t="n">
        <v>46314.24599593048</v>
      </c>
      <c r="E1850" s="4" t="n">
        <v>46314.24599593065</v>
      </c>
      <c r="F1850" t="b">
        <v>1</v>
      </c>
      <c r="G1850" t="n">
        <v/>
      </c>
      <c r="H1850" t="inlineStr">
        <is>
          <t>TG6</t>
        </is>
      </c>
      <c r="I1850" t="inlineStr">
        <is>
          <t>TG Metals Ltd</t>
        </is>
      </c>
      <c r="J1850" t="inlineStr">
        <is>
          <t>AUD</t>
        </is>
      </c>
      <c r="K1850" s="5" t="inlineStr">
        <is>
          <t>01a152b9-6ee2-7577-bddd-382bc3853fde</t>
        </is>
      </c>
      <c r="M1850" t="inlineStr">
        <is>
          <t>UNKNOWN</t>
        </is>
      </c>
      <c r="N1850" t="inlineStr">
        <is>
          <t>DEFAULT</t>
        </is>
      </c>
      <c r="Q1850" t="n">
        <v>0</v>
      </c>
      <c r="R1850" t="inlineStr">
        <is>
          <t>AUD</t>
        </is>
      </c>
      <c r="S1850" t="n">
        <v>0</v>
      </c>
      <c r="T1850" t="inlineStr">
        <is>
          <t>AUD</t>
        </is>
      </c>
      <c r="U1850" t="n">
        <v>0</v>
      </c>
    </row>
    <row r="1851">
      <c r="A1851" s="5" t="inlineStr">
        <is>
          <t>01a152b9-8ba3-73dc-8bae-bb51c9789067</t>
        </is>
      </c>
      <c r="C1851" s="5" t="inlineStr">
        <is>
          <t>01a152b9-6e67-75da-8adb-b03e5d07fd21</t>
        </is>
      </c>
      <c r="D1851" s="4" t="n">
        <v>46314.24599597279</v>
      </c>
      <c r="E1851" s="4" t="n">
        <v>46314.24599597292</v>
      </c>
      <c r="F1851" t="b">
        <v>1</v>
      </c>
      <c r="G1851" t="n">
        <v/>
      </c>
      <c r="H1851" t="inlineStr">
        <is>
          <t>ZNO</t>
        </is>
      </c>
      <c r="I1851" t="inlineStr">
        <is>
          <t>ZOONO Group Ltd</t>
        </is>
      </c>
      <c r="J1851" t="inlineStr">
        <is>
          <t>AUD</t>
        </is>
      </c>
      <c r="K1851" s="5" t="inlineStr">
        <is>
          <t>01a152b9-6ee2-7577-bddd-382bc3853fde</t>
        </is>
      </c>
      <c r="M1851" t="inlineStr">
        <is>
          <t>UNKNOWN</t>
        </is>
      </c>
      <c r="N1851" t="inlineStr">
        <is>
          <t>DEFAULT</t>
        </is>
      </c>
      <c r="Q1851" t="n">
        <v>0</v>
      </c>
      <c r="R1851" t="inlineStr">
        <is>
          <t>AUD</t>
        </is>
      </c>
      <c r="S1851" t="n">
        <v>0</v>
      </c>
      <c r="T1851" t="inlineStr">
        <is>
          <t>AUD</t>
        </is>
      </c>
      <c r="U1851" t="n">
        <v>0</v>
      </c>
    </row>
    <row r="1852">
      <c r="A1852" s="5" t="inlineStr">
        <is>
          <t>01a152b9-8ba7-703c-b1d3-31fd1b62a78f</t>
        </is>
      </c>
      <c r="C1852" s="5" t="inlineStr">
        <is>
          <t>01a152b9-6e67-75da-8adb-b03e5d07fd21</t>
        </is>
      </c>
      <c r="D1852" s="4" t="n">
        <v>46314.24599601002</v>
      </c>
      <c r="E1852" s="4" t="n">
        <v>46314.24599601013</v>
      </c>
      <c r="F1852" t="b">
        <v>1</v>
      </c>
      <c r="G1852" t="n">
        <v/>
      </c>
      <c r="H1852" t="inlineStr">
        <is>
          <t>BUR</t>
        </is>
      </c>
      <c r="I1852" t="inlineStr">
        <is>
          <t>Burley Minerals Ltd</t>
        </is>
      </c>
      <c r="J1852" t="inlineStr">
        <is>
          <t>AUD</t>
        </is>
      </c>
      <c r="K1852" s="5" t="inlineStr">
        <is>
          <t>01a152b9-6ee2-7577-bddd-382bc3853fde</t>
        </is>
      </c>
      <c r="M1852" t="inlineStr">
        <is>
          <t>UNKNOWN</t>
        </is>
      </c>
      <c r="N1852" t="inlineStr">
        <is>
          <t>DEFAULT</t>
        </is>
      </c>
      <c r="Q1852" t="n">
        <v>0</v>
      </c>
      <c r="R1852" t="inlineStr">
        <is>
          <t>AUD</t>
        </is>
      </c>
      <c r="S1852" t="n">
        <v>0</v>
      </c>
      <c r="T1852" t="inlineStr">
        <is>
          <t>AUD</t>
        </is>
      </c>
      <c r="U1852" t="n">
        <v>0</v>
      </c>
    </row>
    <row r="1853">
      <c r="A1853" s="5" t="inlineStr">
        <is>
          <t>01a152b9-8baa-7093-81f6-98b85fb621f1</t>
        </is>
      </c>
      <c r="C1853" s="5" t="inlineStr">
        <is>
          <t>01a152b9-6e67-75da-8adb-b03e5d07fd21</t>
        </is>
      </c>
      <c r="D1853" s="4" t="n">
        <v>46314.24599605031</v>
      </c>
      <c r="E1853" s="4" t="n">
        <v>46314.24599605042</v>
      </c>
      <c r="F1853" t="b">
        <v>1</v>
      </c>
      <c r="G1853" t="n">
        <v/>
      </c>
      <c r="H1853" t="inlineStr">
        <is>
          <t>CRS</t>
        </is>
      </c>
      <c r="I1853" t="inlineStr">
        <is>
          <t>Caprice Resources Ltd</t>
        </is>
      </c>
      <c r="J1853" t="inlineStr">
        <is>
          <t>AUD</t>
        </is>
      </c>
      <c r="K1853" s="5" t="inlineStr">
        <is>
          <t>01a152b9-6ee2-7577-bddd-382bc3853fde</t>
        </is>
      </c>
      <c r="M1853" t="inlineStr">
        <is>
          <t>UNKNOWN</t>
        </is>
      </c>
      <c r="N1853" t="inlineStr">
        <is>
          <t>DEFAULT</t>
        </is>
      </c>
      <c r="Q1853" t="n">
        <v>0</v>
      </c>
      <c r="R1853" t="inlineStr">
        <is>
          <t>AUD</t>
        </is>
      </c>
      <c r="S1853" t="n">
        <v>0</v>
      </c>
      <c r="T1853" t="inlineStr">
        <is>
          <t>AUD</t>
        </is>
      </c>
      <c r="U1853" t="n">
        <v>0</v>
      </c>
    </row>
    <row r="1854">
      <c r="A1854" s="5" t="inlineStr">
        <is>
          <t>01a152b9-8bad-71a3-95e2-1031a37575aa</t>
        </is>
      </c>
      <c r="C1854" s="5" t="inlineStr">
        <is>
          <t>01a152b9-6e67-75da-8adb-b03e5d07fd21</t>
        </is>
      </c>
      <c r="D1854" s="4" t="n">
        <v>46314.24599608664</v>
      </c>
      <c r="E1854" s="4" t="n">
        <v>46314.24599608675</v>
      </c>
      <c r="F1854" t="b">
        <v>1</v>
      </c>
      <c r="G1854" t="n">
        <v/>
      </c>
      <c r="H1854" t="inlineStr">
        <is>
          <t>IND</t>
        </is>
      </c>
      <c r="I1854" t="inlineStr">
        <is>
          <t>Industrial Minerals Ltd</t>
        </is>
      </c>
      <c r="J1854" t="inlineStr">
        <is>
          <t>AUD</t>
        </is>
      </c>
      <c r="K1854" s="5" t="inlineStr">
        <is>
          <t>01a152b9-6ee2-7577-bddd-382bc3853fde</t>
        </is>
      </c>
      <c r="M1854" t="inlineStr">
        <is>
          <t>UNKNOWN</t>
        </is>
      </c>
      <c r="N1854" t="inlineStr">
        <is>
          <t>DEFAULT</t>
        </is>
      </c>
      <c r="Q1854" t="n">
        <v>0</v>
      </c>
      <c r="R1854" t="inlineStr">
        <is>
          <t>AUD</t>
        </is>
      </c>
      <c r="S1854" t="n">
        <v>0</v>
      </c>
      <c r="T1854" t="inlineStr">
        <is>
          <t>AUD</t>
        </is>
      </c>
      <c r="U1854" t="n">
        <v>0</v>
      </c>
    </row>
    <row r="1855">
      <c r="A1855" s="5" t="inlineStr">
        <is>
          <t>01a152b9-8bb0-7679-9f7c-c80f9aaa5229</t>
        </is>
      </c>
      <c r="C1855" s="5" t="inlineStr">
        <is>
          <t>01a152b9-6e67-75da-8adb-b03e5d07fd21</t>
        </is>
      </c>
      <c r="D1855" s="4" t="n">
        <v>46314.24599612381</v>
      </c>
      <c r="E1855" s="4" t="n">
        <v>46314.24599612391</v>
      </c>
      <c r="F1855" t="b">
        <v>1</v>
      </c>
      <c r="G1855" t="n">
        <v/>
      </c>
      <c r="H1855" t="inlineStr">
        <is>
          <t>ANX</t>
        </is>
      </c>
      <c r="I1855" t="inlineStr">
        <is>
          <t>ANAX Metals Ltd</t>
        </is>
      </c>
      <c r="J1855" t="inlineStr">
        <is>
          <t>AUD</t>
        </is>
      </c>
      <c r="K1855" s="5" t="inlineStr">
        <is>
          <t>01a152b9-6ee2-7577-bddd-382bc3853fde</t>
        </is>
      </c>
      <c r="M1855" t="inlineStr">
        <is>
          <t>UNKNOWN</t>
        </is>
      </c>
      <c r="N1855" t="inlineStr">
        <is>
          <t>DEFAULT</t>
        </is>
      </c>
      <c r="Q1855" t="n">
        <v>0</v>
      </c>
      <c r="R1855" t="inlineStr">
        <is>
          <t>AUD</t>
        </is>
      </c>
      <c r="S1855" t="n">
        <v>0</v>
      </c>
      <c r="T1855" t="inlineStr">
        <is>
          <t>AUD</t>
        </is>
      </c>
      <c r="U1855" t="n">
        <v>0</v>
      </c>
    </row>
    <row r="1856">
      <c r="A1856" s="5" t="inlineStr">
        <is>
          <t>01a152b9-8bb4-72fb-80b5-48032c65708a</t>
        </is>
      </c>
      <c r="C1856" s="5" t="inlineStr">
        <is>
          <t>01a152b9-6e67-75da-8adb-b03e5d07fd21</t>
        </is>
      </c>
      <c r="D1856" s="4" t="n">
        <v>46314.24599616309</v>
      </c>
      <c r="E1856" s="4" t="n">
        <v>46314.2459961632</v>
      </c>
      <c r="F1856" t="b">
        <v>1</v>
      </c>
      <c r="G1856" t="n">
        <v/>
      </c>
      <c r="H1856" t="inlineStr">
        <is>
          <t>OD6</t>
        </is>
      </c>
      <c r="I1856" t="inlineStr">
        <is>
          <t>OD6 Metals Ltd</t>
        </is>
      </c>
      <c r="J1856" t="inlineStr">
        <is>
          <t>AUD</t>
        </is>
      </c>
      <c r="K1856" s="5" t="inlineStr">
        <is>
          <t>01a152b9-6ee2-7577-bddd-382bc3853fde</t>
        </is>
      </c>
      <c r="M1856" t="inlineStr">
        <is>
          <t>UNKNOWN</t>
        </is>
      </c>
      <c r="N1856" t="inlineStr">
        <is>
          <t>DEFAULT</t>
        </is>
      </c>
      <c r="Q1856" t="n">
        <v>0</v>
      </c>
      <c r="R1856" t="inlineStr">
        <is>
          <t>AUD</t>
        </is>
      </c>
      <c r="S1856" t="n">
        <v>0</v>
      </c>
      <c r="T1856" t="inlineStr">
        <is>
          <t>AUD</t>
        </is>
      </c>
      <c r="U1856" t="n">
        <v>0</v>
      </c>
    </row>
    <row r="1857">
      <c r="A1857" s="5" t="inlineStr">
        <is>
          <t>01a152b9-8bb7-7472-85f0-1b28e2e040c8</t>
        </is>
      </c>
      <c r="C1857" s="5" t="inlineStr">
        <is>
          <t>01a152b9-6e67-75da-8adb-b03e5d07fd21</t>
        </is>
      </c>
      <c r="D1857" s="4" t="n">
        <v>46314.245996199</v>
      </c>
      <c r="E1857" s="4" t="n">
        <v>46314.24599619911</v>
      </c>
      <c r="F1857" t="b">
        <v>1</v>
      </c>
      <c r="G1857" t="n">
        <v/>
      </c>
      <c r="H1857" t="inlineStr">
        <is>
          <t>FLG</t>
        </is>
      </c>
      <c r="I1857" t="inlineStr">
        <is>
          <t>Flagship Minerals Ltd</t>
        </is>
      </c>
      <c r="J1857" t="inlineStr">
        <is>
          <t>AUD</t>
        </is>
      </c>
      <c r="K1857" s="5" t="inlineStr">
        <is>
          <t>01a152b9-6ee2-7577-bddd-382bc3853fde</t>
        </is>
      </c>
      <c r="M1857" t="inlineStr">
        <is>
          <t>UNKNOWN</t>
        </is>
      </c>
      <c r="N1857" t="inlineStr">
        <is>
          <t>DEFAULT</t>
        </is>
      </c>
      <c r="Q1857" t="n">
        <v>0</v>
      </c>
      <c r="R1857" t="inlineStr">
        <is>
          <t>AUD</t>
        </is>
      </c>
      <c r="S1857" t="n">
        <v>0</v>
      </c>
      <c r="T1857" t="inlineStr">
        <is>
          <t>AUD</t>
        </is>
      </c>
      <c r="U1857" t="n">
        <v>0</v>
      </c>
    </row>
    <row r="1858">
      <c r="A1858" s="5" t="inlineStr">
        <is>
          <t>01a152b9-8bba-77f9-8798-9e152abda964</t>
        </is>
      </c>
      <c r="C1858" s="5" t="inlineStr">
        <is>
          <t>01a152b9-6e67-75da-8adb-b03e5d07fd21</t>
        </is>
      </c>
      <c r="D1858" s="4" t="n">
        <v>46314.24599623447</v>
      </c>
      <c r="E1858" s="4" t="n">
        <v>46314.24599623456</v>
      </c>
      <c r="F1858" t="b">
        <v>1</v>
      </c>
      <c r="G1858" t="n">
        <v/>
      </c>
      <c r="H1858" t="inlineStr">
        <is>
          <t>MRR</t>
        </is>
      </c>
      <c r="I1858" t="inlineStr">
        <is>
          <t>Minrex Resources Ltd</t>
        </is>
      </c>
      <c r="J1858" t="inlineStr">
        <is>
          <t>AUD</t>
        </is>
      </c>
      <c r="K1858" s="5" t="inlineStr">
        <is>
          <t>01a152b9-6ee2-7577-bddd-382bc3853fde</t>
        </is>
      </c>
      <c r="M1858" t="inlineStr">
        <is>
          <t>UNKNOWN</t>
        </is>
      </c>
      <c r="N1858" t="inlineStr">
        <is>
          <t>DEFAULT</t>
        </is>
      </c>
      <c r="Q1858" t="n">
        <v>0</v>
      </c>
      <c r="R1858" t="inlineStr">
        <is>
          <t>AUD</t>
        </is>
      </c>
      <c r="S1858" t="n">
        <v>0</v>
      </c>
      <c r="T1858" t="inlineStr">
        <is>
          <t>AUD</t>
        </is>
      </c>
      <c r="U1858" t="n">
        <v>0</v>
      </c>
    </row>
    <row r="1859">
      <c r="A1859" s="5" t="inlineStr">
        <is>
          <t>01a152b9-8bbd-75dd-bc13-4864f953d44d</t>
        </is>
      </c>
      <c r="C1859" s="5" t="inlineStr">
        <is>
          <t>01a152b9-6e67-75da-8adb-b03e5d07fd21</t>
        </is>
      </c>
      <c r="D1859" s="4" t="n">
        <v>46314.24599627096</v>
      </c>
      <c r="E1859" s="4" t="n">
        <v>46314.24599627106</v>
      </c>
      <c r="F1859" t="b">
        <v>1</v>
      </c>
      <c r="G1859" t="n">
        <v/>
      </c>
      <c r="H1859" t="inlineStr">
        <is>
          <t>EVG</t>
        </is>
      </c>
      <c r="I1859" t="inlineStr">
        <is>
          <t>Evion Group NL</t>
        </is>
      </c>
      <c r="J1859" t="inlineStr">
        <is>
          <t>AUD</t>
        </is>
      </c>
      <c r="K1859" s="5" t="inlineStr">
        <is>
          <t>01a152b9-6ee2-7577-bddd-382bc3853fde</t>
        </is>
      </c>
      <c r="M1859" t="inlineStr">
        <is>
          <t>UNKNOWN</t>
        </is>
      </c>
      <c r="N1859" t="inlineStr">
        <is>
          <t>DEFAULT</t>
        </is>
      </c>
      <c r="Q1859" t="n">
        <v>0</v>
      </c>
      <c r="R1859" t="inlineStr">
        <is>
          <t>AUD</t>
        </is>
      </c>
      <c r="S1859" t="n">
        <v>0</v>
      </c>
      <c r="T1859" t="inlineStr">
        <is>
          <t>AUD</t>
        </is>
      </c>
      <c r="U1859" t="n">
        <v>0</v>
      </c>
    </row>
    <row r="1860">
      <c r="A1860" s="5" t="inlineStr">
        <is>
          <t>01a152b9-8bc0-75e2-a800-b8bb6842cc2f</t>
        </is>
      </c>
      <c r="C1860" s="5" t="inlineStr">
        <is>
          <t>01a152b9-6e67-75da-8adb-b03e5d07fd21</t>
        </is>
      </c>
      <c r="D1860" s="4" t="n">
        <v>46314.24599630684</v>
      </c>
      <c r="E1860" s="4" t="n">
        <v>46314.24599630693</v>
      </c>
      <c r="F1860" t="b">
        <v>1</v>
      </c>
      <c r="G1860" t="n">
        <v/>
      </c>
      <c r="H1860" t="inlineStr">
        <is>
          <t>EXL</t>
        </is>
      </c>
      <c r="I1860" t="inlineStr">
        <is>
          <t>Elixinol Wellness Ltd</t>
        </is>
      </c>
      <c r="J1860" t="inlineStr">
        <is>
          <t>AUD</t>
        </is>
      </c>
      <c r="K1860" s="5" t="inlineStr">
        <is>
          <t>01a152b9-6ee2-7577-bddd-382bc3853fde</t>
        </is>
      </c>
      <c r="M1860" t="inlineStr">
        <is>
          <t>UNKNOWN</t>
        </is>
      </c>
      <c r="N1860" t="inlineStr">
        <is>
          <t>DEFAULT</t>
        </is>
      </c>
      <c r="Q1860" t="n">
        <v>0</v>
      </c>
      <c r="R1860" t="inlineStr">
        <is>
          <t>AUD</t>
        </is>
      </c>
      <c r="S1860" t="n">
        <v>0</v>
      </c>
      <c r="T1860" t="inlineStr">
        <is>
          <t>AUD</t>
        </is>
      </c>
      <c r="U1860" t="n">
        <v>0</v>
      </c>
    </row>
    <row r="1861">
      <c r="A1861" s="5" t="inlineStr">
        <is>
          <t>01a152b9-8bc4-72b3-9c2d-399dc82cf223</t>
        </is>
      </c>
      <c r="C1861" s="5" t="inlineStr">
        <is>
          <t>01a152b9-6e67-75da-8adb-b03e5d07fd21</t>
        </is>
      </c>
      <c r="D1861" s="4" t="n">
        <v>46314.24599634529</v>
      </c>
      <c r="E1861" s="4" t="n">
        <v>46314.24599634539</v>
      </c>
      <c r="F1861" t="b">
        <v>1</v>
      </c>
      <c r="G1861" t="n">
        <v/>
      </c>
      <c r="H1861" t="inlineStr">
        <is>
          <t>SCN</t>
        </is>
      </c>
      <c r="I1861" t="inlineStr">
        <is>
          <t>Scorpion Minerals Ltd</t>
        </is>
      </c>
      <c r="J1861" t="inlineStr">
        <is>
          <t>AUD</t>
        </is>
      </c>
      <c r="K1861" s="5" t="inlineStr">
        <is>
          <t>01a152b9-6ee2-7577-bddd-382bc3853fde</t>
        </is>
      </c>
      <c r="M1861" t="inlineStr">
        <is>
          <t>UNKNOWN</t>
        </is>
      </c>
      <c r="N1861" t="inlineStr">
        <is>
          <t>DEFAULT</t>
        </is>
      </c>
      <c r="Q1861" t="n">
        <v>0</v>
      </c>
      <c r="R1861" t="inlineStr">
        <is>
          <t>AUD</t>
        </is>
      </c>
      <c r="S1861" t="n">
        <v>0</v>
      </c>
      <c r="T1861" t="inlineStr">
        <is>
          <t>AUD</t>
        </is>
      </c>
      <c r="U1861" t="n">
        <v>0</v>
      </c>
    </row>
    <row r="1862">
      <c r="A1862" s="5" t="inlineStr">
        <is>
          <t>01a152b9-8bc7-771f-bc27-36233a028ffe</t>
        </is>
      </c>
      <c r="C1862" s="5" t="inlineStr">
        <is>
          <t>01a152b9-6e67-75da-8adb-b03e5d07fd21</t>
        </is>
      </c>
      <c r="D1862" s="4" t="n">
        <v>46314.24599638423</v>
      </c>
      <c r="E1862" s="4" t="n">
        <v>46314.24599638431</v>
      </c>
      <c r="F1862" t="b">
        <v>1</v>
      </c>
      <c r="G1862" t="n">
        <v/>
      </c>
      <c r="H1862" t="inlineStr">
        <is>
          <t>G200</t>
        </is>
      </c>
      <c r="I1862" t="inlineStr">
        <is>
          <t>Betashares Wealthbuilder AUS200 Geared Complex ETF</t>
        </is>
      </c>
      <c r="J1862" t="inlineStr">
        <is>
          <t>AUD</t>
        </is>
      </c>
      <c r="K1862" s="5" t="inlineStr">
        <is>
          <t>01a152b9-6ee2-7577-bddd-382bc3853fde</t>
        </is>
      </c>
      <c r="M1862" t="inlineStr">
        <is>
          <t>UNKNOWN</t>
        </is>
      </c>
      <c r="N1862" t="inlineStr">
        <is>
          <t>DEFAULT</t>
        </is>
      </c>
      <c r="Q1862" t="n">
        <v>0</v>
      </c>
      <c r="R1862" t="inlineStr">
        <is>
          <t>AUD</t>
        </is>
      </c>
      <c r="S1862" t="n">
        <v>0</v>
      </c>
      <c r="T1862" t="inlineStr">
        <is>
          <t>AUD</t>
        </is>
      </c>
      <c r="U1862" t="n">
        <v>0</v>
      </c>
    </row>
    <row r="1863">
      <c r="A1863" s="5" t="inlineStr">
        <is>
          <t>01a152b9-8bcb-7158-9444-e3e747bb8c48</t>
        </is>
      </c>
      <c r="C1863" s="5" t="inlineStr">
        <is>
          <t>01a152b9-6e67-75da-8adb-b03e5d07fd21</t>
        </is>
      </c>
      <c r="D1863" s="4" t="n">
        <v>46314.24599642627</v>
      </c>
      <c r="E1863" s="4" t="n">
        <v>46314.24599642639</v>
      </c>
      <c r="F1863" t="b">
        <v>1</v>
      </c>
      <c r="G1863" t="n">
        <v/>
      </c>
      <c r="H1863" t="inlineStr">
        <is>
          <t>IPC</t>
        </is>
      </c>
      <c r="I1863" t="inlineStr">
        <is>
          <t>Imperial Pacific Ltd</t>
        </is>
      </c>
      <c r="J1863" t="inlineStr">
        <is>
          <t>AUD</t>
        </is>
      </c>
      <c r="K1863" s="5" t="inlineStr">
        <is>
          <t>01a152b9-6ee2-7577-bddd-382bc3853fde</t>
        </is>
      </c>
      <c r="M1863" t="inlineStr">
        <is>
          <t>UNKNOWN</t>
        </is>
      </c>
      <c r="N1863" t="inlineStr">
        <is>
          <t>DEFAULT</t>
        </is>
      </c>
      <c r="Q1863" t="n">
        <v>0</v>
      </c>
      <c r="R1863" t="inlineStr">
        <is>
          <t>AUD</t>
        </is>
      </c>
      <c r="S1863" t="n">
        <v>0</v>
      </c>
      <c r="T1863" t="inlineStr">
        <is>
          <t>AUD</t>
        </is>
      </c>
      <c r="U1863" t="n">
        <v>0</v>
      </c>
    </row>
    <row r="1864">
      <c r="A1864" s="5" t="inlineStr">
        <is>
          <t>01a152b9-8bce-7058-9bb0-c8ccbfd39626</t>
        </is>
      </c>
      <c r="C1864" s="5" t="inlineStr">
        <is>
          <t>01a152b9-6e67-75da-8adb-b03e5d07fd21</t>
        </is>
      </c>
      <c r="D1864" s="4" t="n">
        <v>46314.24599646805</v>
      </c>
      <c r="E1864" s="4" t="n">
        <v>46314.24599646815</v>
      </c>
      <c r="F1864" t="b">
        <v>1</v>
      </c>
      <c r="G1864" t="n">
        <v/>
      </c>
      <c r="H1864" t="inlineStr">
        <is>
          <t>PFE</t>
        </is>
      </c>
      <c r="I1864" t="inlineStr">
        <is>
          <t>Pantera Lithium Ltd</t>
        </is>
      </c>
      <c r="J1864" t="inlineStr">
        <is>
          <t>AUD</t>
        </is>
      </c>
      <c r="K1864" s="5" t="inlineStr">
        <is>
          <t>01a152b9-6ee2-7577-bddd-382bc3853fde</t>
        </is>
      </c>
      <c r="M1864" t="inlineStr">
        <is>
          <t>UNKNOWN</t>
        </is>
      </c>
      <c r="N1864" t="inlineStr">
        <is>
          <t>DEFAULT</t>
        </is>
      </c>
      <c r="Q1864" t="n">
        <v>0</v>
      </c>
      <c r="R1864" t="inlineStr">
        <is>
          <t>AUD</t>
        </is>
      </c>
      <c r="S1864" t="n">
        <v>0</v>
      </c>
      <c r="T1864" t="inlineStr">
        <is>
          <t>AUD</t>
        </is>
      </c>
      <c r="U1864" t="n">
        <v>0</v>
      </c>
    </row>
    <row r="1865">
      <c r="A1865" s="5" t="inlineStr">
        <is>
          <t>01a152b9-8bd2-7148-88b1-018b904ec53f</t>
        </is>
      </c>
      <c r="C1865" s="5" t="inlineStr">
        <is>
          <t>01a152b9-6e67-75da-8adb-b03e5d07fd21</t>
        </is>
      </c>
      <c r="D1865" s="4" t="n">
        <v>46314.24599651401</v>
      </c>
      <c r="E1865" s="4" t="n">
        <v>46314.24599651411</v>
      </c>
      <c r="F1865" t="b">
        <v>1</v>
      </c>
      <c r="G1865" t="n">
        <v/>
      </c>
      <c r="H1865" t="inlineStr">
        <is>
          <t>SRK</t>
        </is>
      </c>
      <c r="I1865" t="inlineStr">
        <is>
          <t>Strike Resources Ltd</t>
        </is>
      </c>
      <c r="J1865" t="inlineStr">
        <is>
          <t>AUD</t>
        </is>
      </c>
      <c r="K1865" s="5" t="inlineStr">
        <is>
          <t>01a152b9-6ee2-7577-bddd-382bc3853fde</t>
        </is>
      </c>
      <c r="M1865" t="inlineStr">
        <is>
          <t>UNKNOWN</t>
        </is>
      </c>
      <c r="N1865" t="inlineStr">
        <is>
          <t>DEFAULT</t>
        </is>
      </c>
      <c r="Q1865" t="n">
        <v>0</v>
      </c>
      <c r="R1865" t="inlineStr">
        <is>
          <t>AUD</t>
        </is>
      </c>
      <c r="S1865" t="n">
        <v>0</v>
      </c>
      <c r="T1865" t="inlineStr">
        <is>
          <t>AUD</t>
        </is>
      </c>
      <c r="U1865" t="n">
        <v>0</v>
      </c>
    </row>
    <row r="1866">
      <c r="A1866" s="5" t="inlineStr">
        <is>
          <t>01a152b9-8bd6-77eb-a8f1-150a8c15b19f</t>
        </is>
      </c>
      <c r="C1866" s="5" t="inlineStr">
        <is>
          <t>01a152b9-6e67-75da-8adb-b03e5d07fd21</t>
        </is>
      </c>
      <c r="D1866" s="4" t="n">
        <v>46314.24599655884</v>
      </c>
      <c r="E1866" s="4" t="n">
        <v>46314.24599655894</v>
      </c>
      <c r="F1866" t="b">
        <v>1</v>
      </c>
      <c r="G1866" t="n">
        <v/>
      </c>
      <c r="H1866" t="inlineStr">
        <is>
          <t>AMS</t>
        </is>
      </c>
      <c r="I1866" t="inlineStr">
        <is>
          <t>Atomos Ltd</t>
        </is>
      </c>
      <c r="J1866" t="inlineStr">
        <is>
          <t>AUD</t>
        </is>
      </c>
      <c r="K1866" s="5" t="inlineStr">
        <is>
          <t>01a152b9-6ee2-7577-bddd-382bc3853fde</t>
        </is>
      </c>
      <c r="M1866" t="inlineStr">
        <is>
          <t>UNKNOWN</t>
        </is>
      </c>
      <c r="N1866" t="inlineStr">
        <is>
          <t>DEFAULT</t>
        </is>
      </c>
      <c r="Q1866" t="n">
        <v>0</v>
      </c>
      <c r="R1866" t="inlineStr">
        <is>
          <t>AUD</t>
        </is>
      </c>
      <c r="S1866" t="n">
        <v>0</v>
      </c>
      <c r="T1866" t="inlineStr">
        <is>
          <t>AUD</t>
        </is>
      </c>
      <c r="U1866" t="n">
        <v>0</v>
      </c>
    </row>
    <row r="1867">
      <c r="A1867" s="5" t="inlineStr">
        <is>
          <t>01a152b9-8bd9-74e6-b7a6-ee3653b6f53e</t>
        </is>
      </c>
      <c r="C1867" s="5" t="inlineStr">
        <is>
          <t>01a152b9-6e67-75da-8adb-b03e5d07fd21</t>
        </is>
      </c>
      <c r="D1867" s="4" t="n">
        <v>46314.2459965956</v>
      </c>
      <c r="E1867" s="4" t="n">
        <v>46314.24599659572</v>
      </c>
      <c r="F1867" t="b">
        <v>1</v>
      </c>
      <c r="G1867" t="n">
        <v/>
      </c>
      <c r="H1867" t="inlineStr">
        <is>
          <t>CML</t>
        </is>
      </c>
      <c r="I1867" t="inlineStr">
        <is>
          <t>Connected Minerals Ltd</t>
        </is>
      </c>
      <c r="J1867" t="inlineStr">
        <is>
          <t>AUD</t>
        </is>
      </c>
      <c r="K1867" s="5" t="inlineStr">
        <is>
          <t>01a152b9-6ee2-7577-bddd-382bc3853fde</t>
        </is>
      </c>
      <c r="M1867" t="inlineStr">
        <is>
          <t>UNKNOWN</t>
        </is>
      </c>
      <c r="N1867" t="inlineStr">
        <is>
          <t>DEFAULT</t>
        </is>
      </c>
      <c r="Q1867" t="n">
        <v>0</v>
      </c>
      <c r="R1867" t="inlineStr">
        <is>
          <t>AUD</t>
        </is>
      </c>
      <c r="S1867" t="n">
        <v>0</v>
      </c>
      <c r="T1867" t="inlineStr">
        <is>
          <t>AUD</t>
        </is>
      </c>
      <c r="U1867" t="n">
        <v>0</v>
      </c>
    </row>
    <row r="1868">
      <c r="A1868" s="5" t="inlineStr">
        <is>
          <t>01a152b9-8bdd-73ac-ac22-83748a2f777d</t>
        </is>
      </c>
      <c r="C1868" s="5" t="inlineStr">
        <is>
          <t>01a152b9-6e67-75da-8adb-b03e5d07fd21</t>
        </is>
      </c>
      <c r="D1868" s="4" t="n">
        <v>46314.2459966409</v>
      </c>
      <c r="E1868" s="4" t="n">
        <v>46314.24599664101</v>
      </c>
      <c r="F1868" t="b">
        <v>1</v>
      </c>
      <c r="G1868" t="n">
        <v/>
      </c>
      <c r="H1868" t="inlineStr">
        <is>
          <t>APL</t>
        </is>
      </c>
      <c r="I1868" t="inlineStr">
        <is>
          <t>Associate Global Partners Ltd</t>
        </is>
      </c>
      <c r="J1868" t="inlineStr">
        <is>
          <t>AUD</t>
        </is>
      </c>
      <c r="K1868" s="5" t="inlineStr">
        <is>
          <t>01a152b9-6ee2-7577-bddd-382bc3853fde</t>
        </is>
      </c>
      <c r="M1868" t="inlineStr">
        <is>
          <t>UNKNOWN</t>
        </is>
      </c>
      <c r="N1868" t="inlineStr">
        <is>
          <t>DEFAULT</t>
        </is>
      </c>
      <c r="Q1868" t="n">
        <v>0</v>
      </c>
      <c r="R1868" t="inlineStr">
        <is>
          <t>AUD</t>
        </is>
      </c>
      <c r="S1868" t="n">
        <v>0</v>
      </c>
      <c r="T1868" t="inlineStr">
        <is>
          <t>AUD</t>
        </is>
      </c>
      <c r="U1868" t="n">
        <v>0</v>
      </c>
    </row>
    <row r="1869">
      <c r="A1869" s="5" t="inlineStr">
        <is>
          <t>01a152b9-8be0-7267-b384-2fb62c4e8b3c</t>
        </is>
      </c>
      <c r="C1869" s="5" t="inlineStr">
        <is>
          <t>01a152b9-6e67-75da-8adb-b03e5d07fd21</t>
        </is>
      </c>
      <c r="D1869" s="4" t="n">
        <v>46314.24599667613</v>
      </c>
      <c r="E1869" s="4" t="n">
        <v>46314.24599667624</v>
      </c>
      <c r="F1869" t="b">
        <v>1</v>
      </c>
      <c r="G1869" t="n">
        <v/>
      </c>
      <c r="H1869" t="inlineStr">
        <is>
          <t>SRN</t>
        </is>
      </c>
      <c r="I1869" t="inlineStr">
        <is>
          <t>Surefire Resources NL</t>
        </is>
      </c>
      <c r="J1869" t="inlineStr">
        <is>
          <t>AUD</t>
        </is>
      </c>
      <c r="K1869" s="5" t="inlineStr">
        <is>
          <t>01a152b9-6ee2-7577-bddd-382bc3853fde</t>
        </is>
      </c>
      <c r="M1869" t="inlineStr">
        <is>
          <t>UNKNOWN</t>
        </is>
      </c>
      <c r="N1869" t="inlineStr">
        <is>
          <t>DEFAULT</t>
        </is>
      </c>
      <c r="Q1869" t="n">
        <v>0</v>
      </c>
      <c r="R1869" t="inlineStr">
        <is>
          <t>AUD</t>
        </is>
      </c>
      <c r="S1869" t="n">
        <v>0</v>
      </c>
      <c r="T1869" t="inlineStr">
        <is>
          <t>AUD</t>
        </is>
      </c>
      <c r="U1869" t="n">
        <v>0</v>
      </c>
    </row>
    <row r="1870">
      <c r="A1870" s="5" t="inlineStr">
        <is>
          <t>01a152b9-8be3-73ee-94eb-64f17fa45d1d</t>
        </is>
      </c>
      <c r="C1870" s="5" t="inlineStr">
        <is>
          <t>01a152b9-6e67-75da-8adb-b03e5d07fd21</t>
        </is>
      </c>
      <c r="D1870" s="4" t="n">
        <v>46314.24599671376</v>
      </c>
      <c r="E1870" s="4" t="n">
        <v>46314.24599671386</v>
      </c>
      <c r="F1870" t="b">
        <v>1</v>
      </c>
      <c r="G1870" t="n">
        <v/>
      </c>
      <c r="H1870" t="inlineStr">
        <is>
          <t>VEN</t>
        </is>
      </c>
      <c r="I1870" t="inlineStr">
        <is>
          <t>Vintage Energy Ltd</t>
        </is>
      </c>
      <c r="J1870" t="inlineStr">
        <is>
          <t>AUD</t>
        </is>
      </c>
      <c r="K1870" s="5" t="inlineStr">
        <is>
          <t>01a152b9-6ee2-7577-bddd-382bc3853fde</t>
        </is>
      </c>
      <c r="M1870" t="inlineStr">
        <is>
          <t>UNKNOWN</t>
        </is>
      </c>
      <c r="N1870" t="inlineStr">
        <is>
          <t>DEFAULT</t>
        </is>
      </c>
      <c r="Q1870" t="n">
        <v>0</v>
      </c>
      <c r="R1870" t="inlineStr">
        <is>
          <t>AUD</t>
        </is>
      </c>
      <c r="S1870" t="n">
        <v>0</v>
      </c>
      <c r="T1870" t="inlineStr">
        <is>
          <t>AUD</t>
        </is>
      </c>
      <c r="U1870" t="n">
        <v>0</v>
      </c>
    </row>
    <row r="1871">
      <c r="A1871" s="5" t="inlineStr">
        <is>
          <t>01a152b9-8be7-7411-bb39-59b0a7a63abc</t>
        </is>
      </c>
      <c r="C1871" s="5" t="inlineStr">
        <is>
          <t>01a152b9-6e67-75da-8adb-b03e5d07fd21</t>
        </is>
      </c>
      <c r="D1871" s="4" t="n">
        <v>46314.24599675296</v>
      </c>
      <c r="E1871" s="4" t="n">
        <v>46314.24599675309</v>
      </c>
      <c r="F1871" t="b">
        <v>1</v>
      </c>
      <c r="G1871" t="n">
        <v/>
      </c>
      <c r="H1871" t="inlineStr">
        <is>
          <t>MTUM</t>
        </is>
      </c>
      <c r="I1871" t="inlineStr">
        <is>
          <t>Betashares Australian Momentum ETF</t>
        </is>
      </c>
      <c r="J1871" t="inlineStr">
        <is>
          <t>AUD</t>
        </is>
      </c>
      <c r="K1871" s="5" t="inlineStr">
        <is>
          <t>01a152b9-6ee2-7577-bddd-382bc3853fde</t>
        </is>
      </c>
      <c r="M1871" t="inlineStr">
        <is>
          <t>UNKNOWN</t>
        </is>
      </c>
      <c r="N1871" t="inlineStr">
        <is>
          <t>DEFAULT</t>
        </is>
      </c>
      <c r="Q1871" t="n">
        <v>0</v>
      </c>
      <c r="R1871" t="inlineStr">
        <is>
          <t>AUD</t>
        </is>
      </c>
      <c r="S1871" t="n">
        <v>0</v>
      </c>
      <c r="T1871" t="inlineStr">
        <is>
          <t>AUD</t>
        </is>
      </c>
      <c r="U1871" t="n">
        <v>0</v>
      </c>
    </row>
    <row r="1872">
      <c r="A1872" s="5" t="inlineStr">
        <is>
          <t>01a152b9-8beb-742a-9504-4ead368f30c4</t>
        </is>
      </c>
      <c r="C1872" s="5" t="inlineStr">
        <is>
          <t>01a152b9-6e67-75da-8adb-b03e5d07fd21</t>
        </is>
      </c>
      <c r="D1872" s="4" t="n">
        <v>46314.24599679575</v>
      </c>
      <c r="E1872" s="4" t="n">
        <v>46314.24599679587</v>
      </c>
      <c r="F1872" t="b">
        <v>1</v>
      </c>
      <c r="G1872" t="n">
        <v/>
      </c>
      <c r="H1872" t="inlineStr">
        <is>
          <t>AHK</t>
        </is>
      </c>
      <c r="I1872" t="inlineStr">
        <is>
          <t>Ark Mines Ltd</t>
        </is>
      </c>
      <c r="J1872" t="inlineStr">
        <is>
          <t>AUD</t>
        </is>
      </c>
      <c r="K1872" s="5" t="inlineStr">
        <is>
          <t>01a152b9-6ee2-7577-bddd-382bc3853fde</t>
        </is>
      </c>
      <c r="M1872" t="inlineStr">
        <is>
          <t>UNKNOWN</t>
        </is>
      </c>
      <c r="N1872" t="inlineStr">
        <is>
          <t>DEFAULT</t>
        </is>
      </c>
      <c r="Q1872" t="n">
        <v>0</v>
      </c>
      <c r="R1872" t="inlineStr">
        <is>
          <t>AUD</t>
        </is>
      </c>
      <c r="S1872" t="n">
        <v>0</v>
      </c>
      <c r="T1872" t="inlineStr">
        <is>
          <t>AUD</t>
        </is>
      </c>
      <c r="U1872" t="n">
        <v>0</v>
      </c>
    </row>
    <row r="1873">
      <c r="A1873" s="5" t="inlineStr">
        <is>
          <t>01a152b9-8bee-7172-beb9-d03f26b2bba0</t>
        </is>
      </c>
      <c r="C1873" s="5" t="inlineStr">
        <is>
          <t>01a152b9-6e67-75da-8adb-b03e5d07fd21</t>
        </is>
      </c>
      <c r="D1873" s="4" t="n">
        <v>46314.24599683845</v>
      </c>
      <c r="E1873" s="4" t="n">
        <v>46314.24599683857</v>
      </c>
      <c r="F1873" t="b">
        <v>1</v>
      </c>
      <c r="G1873" t="n">
        <v/>
      </c>
      <c r="H1873" t="inlineStr">
        <is>
          <t>EPN</t>
        </is>
      </c>
      <c r="I1873" t="inlineStr">
        <is>
          <t>Epsilon Healthcare Ltd</t>
        </is>
      </c>
      <c r="J1873" t="inlineStr">
        <is>
          <t>AUD</t>
        </is>
      </c>
      <c r="K1873" s="5" t="inlineStr">
        <is>
          <t>01a152b9-6ee2-7577-bddd-382bc3853fde</t>
        </is>
      </c>
      <c r="M1873" t="inlineStr">
        <is>
          <t>UNKNOWN</t>
        </is>
      </c>
      <c r="N1873" t="inlineStr">
        <is>
          <t>DEFAULT</t>
        </is>
      </c>
      <c r="Q1873" t="n">
        <v>0</v>
      </c>
      <c r="R1873" t="inlineStr">
        <is>
          <t>AUD</t>
        </is>
      </c>
      <c r="S1873" t="n">
        <v>0</v>
      </c>
      <c r="T1873" t="inlineStr">
        <is>
          <t>AUD</t>
        </is>
      </c>
      <c r="U1873" t="n">
        <v>0</v>
      </c>
    </row>
    <row r="1874">
      <c r="A1874" s="5" t="inlineStr">
        <is>
          <t>01a152b9-8bf2-7306-9a9a-784f650cf4ce</t>
        </is>
      </c>
      <c r="C1874" s="5" t="inlineStr">
        <is>
          <t>01a152b9-6e67-75da-8adb-b03e5d07fd21</t>
        </is>
      </c>
      <c r="D1874" s="4" t="n">
        <v>46314.24599688112</v>
      </c>
      <c r="E1874" s="4" t="n">
        <v>46314.24599688131</v>
      </c>
      <c r="F1874" t="b">
        <v>1</v>
      </c>
      <c r="G1874" t="n">
        <v/>
      </c>
      <c r="H1874" t="inlineStr">
        <is>
          <t>SRR</t>
        </is>
      </c>
      <c r="I1874" t="inlineStr">
        <is>
          <t>Sarama Resources Ltd</t>
        </is>
      </c>
      <c r="J1874" t="inlineStr">
        <is>
          <t>AUD</t>
        </is>
      </c>
      <c r="K1874" s="5" t="inlineStr">
        <is>
          <t>01a152b9-6ee2-7577-bddd-382bc3853fde</t>
        </is>
      </c>
      <c r="M1874" t="inlineStr">
        <is>
          <t>UNKNOWN</t>
        </is>
      </c>
      <c r="N1874" t="inlineStr">
        <is>
          <t>DEFAULT</t>
        </is>
      </c>
      <c r="Q1874" t="n">
        <v>0</v>
      </c>
      <c r="R1874" t="inlineStr">
        <is>
          <t>AUD</t>
        </is>
      </c>
      <c r="S1874" t="n">
        <v>0</v>
      </c>
      <c r="T1874" t="inlineStr">
        <is>
          <t>AUD</t>
        </is>
      </c>
      <c r="U1874" t="n">
        <v>0</v>
      </c>
    </row>
    <row r="1875">
      <c r="A1875" s="5" t="inlineStr">
        <is>
          <t>01a152b9-8bf6-7163-a96c-cc0f3c8012f8</t>
        </is>
      </c>
      <c r="C1875" s="5" t="inlineStr">
        <is>
          <t>01a152b9-6e67-75da-8adb-b03e5d07fd21</t>
        </is>
      </c>
      <c r="D1875" s="4" t="n">
        <v>46314.24599692679</v>
      </c>
      <c r="E1875" s="4" t="n">
        <v>46314.2459969269</v>
      </c>
      <c r="F1875" t="b">
        <v>1</v>
      </c>
      <c r="G1875" t="n">
        <v/>
      </c>
      <c r="H1875" t="inlineStr">
        <is>
          <t>PGY</t>
        </is>
      </c>
      <c r="I1875" t="inlineStr">
        <is>
          <t>Pilot Energy Ltd</t>
        </is>
      </c>
      <c r="J1875" t="inlineStr">
        <is>
          <t>AUD</t>
        </is>
      </c>
      <c r="K1875" s="5" t="inlineStr">
        <is>
          <t>01a152b9-6ee2-7577-bddd-382bc3853fde</t>
        </is>
      </c>
      <c r="M1875" t="inlineStr">
        <is>
          <t>UNKNOWN</t>
        </is>
      </c>
      <c r="N1875" t="inlineStr">
        <is>
          <t>DEFAULT</t>
        </is>
      </c>
      <c r="Q1875" t="n">
        <v>0</v>
      </c>
      <c r="R1875" t="inlineStr">
        <is>
          <t>AUD</t>
        </is>
      </c>
      <c r="S1875" t="n">
        <v>0</v>
      </c>
      <c r="T1875" t="inlineStr">
        <is>
          <t>AUD</t>
        </is>
      </c>
      <c r="U1875" t="n">
        <v>0</v>
      </c>
    </row>
    <row r="1876">
      <c r="A1876" s="5" t="inlineStr">
        <is>
          <t>01a152b9-8bf9-76bf-afbb-d9ee01141dac</t>
        </is>
      </c>
      <c r="C1876" s="5" t="inlineStr">
        <is>
          <t>01a152b9-6e67-75da-8adb-b03e5d07fd21</t>
        </is>
      </c>
      <c r="D1876" s="4" t="n">
        <v>46314.24599696688</v>
      </c>
      <c r="E1876" s="4" t="n">
        <v>46314.24599696697</v>
      </c>
      <c r="F1876" t="b">
        <v>1</v>
      </c>
      <c r="G1876" t="n">
        <v/>
      </c>
      <c r="H1876" t="inlineStr">
        <is>
          <t>JCS</t>
        </is>
      </c>
      <c r="I1876" t="inlineStr">
        <is>
          <t>Jcurve Solutions Ltd</t>
        </is>
      </c>
      <c r="J1876" t="inlineStr">
        <is>
          <t>AUD</t>
        </is>
      </c>
      <c r="K1876" s="5" t="inlineStr">
        <is>
          <t>01a152b9-6ee2-7577-bddd-382bc3853fde</t>
        </is>
      </c>
      <c r="M1876" t="inlineStr">
        <is>
          <t>UNKNOWN</t>
        </is>
      </c>
      <c r="N1876" t="inlineStr">
        <is>
          <t>DEFAULT</t>
        </is>
      </c>
      <c r="Q1876" t="n">
        <v>0</v>
      </c>
      <c r="R1876" t="inlineStr">
        <is>
          <t>AUD</t>
        </is>
      </c>
      <c r="S1876" t="n">
        <v>0</v>
      </c>
      <c r="T1876" t="inlineStr">
        <is>
          <t>AUD</t>
        </is>
      </c>
      <c r="U1876" t="n">
        <v>0</v>
      </c>
    </row>
    <row r="1877">
      <c r="A1877" s="5" t="inlineStr">
        <is>
          <t>01a152b9-8bfd-76f8-b06e-7e20aef274fa</t>
        </is>
      </c>
      <c r="C1877" s="5" t="inlineStr">
        <is>
          <t>01a152b9-6e67-75da-8adb-b03e5d07fd21</t>
        </is>
      </c>
      <c r="D1877" s="4" t="n">
        <v>46314.2459970063</v>
      </c>
      <c r="E1877" s="4" t="n">
        <v>46314.2459970064</v>
      </c>
      <c r="F1877" t="b">
        <v>1</v>
      </c>
      <c r="G1877" t="n">
        <v/>
      </c>
      <c r="H1877" t="inlineStr">
        <is>
          <t>ALY</t>
        </is>
      </c>
      <c r="I1877" t="inlineStr">
        <is>
          <t>Alchemy Resources Ltd</t>
        </is>
      </c>
      <c r="J1877" t="inlineStr">
        <is>
          <t>AUD</t>
        </is>
      </c>
      <c r="K1877" s="5" t="inlineStr">
        <is>
          <t>01a152b9-6ee2-7577-bddd-382bc3853fde</t>
        </is>
      </c>
      <c r="M1877" t="inlineStr">
        <is>
          <t>UNKNOWN</t>
        </is>
      </c>
      <c r="N1877" t="inlineStr">
        <is>
          <t>DEFAULT</t>
        </is>
      </c>
      <c r="Q1877" t="n">
        <v>0</v>
      </c>
      <c r="R1877" t="inlineStr">
        <is>
          <t>AUD</t>
        </is>
      </c>
      <c r="S1877" t="n">
        <v>0</v>
      </c>
      <c r="T1877" t="inlineStr">
        <is>
          <t>AUD</t>
        </is>
      </c>
      <c r="U1877" t="n">
        <v>0</v>
      </c>
    </row>
    <row r="1878">
      <c r="A1878" s="5" t="inlineStr">
        <is>
          <t>01a152b9-8c00-77ad-a3e3-53b21a89806e</t>
        </is>
      </c>
      <c r="C1878" s="5" t="inlineStr">
        <is>
          <t>01a152b9-6e67-75da-8adb-b03e5d07fd21</t>
        </is>
      </c>
      <c r="D1878" s="4" t="n">
        <v>46314.24599704065</v>
      </c>
      <c r="E1878" s="4" t="n">
        <v>46314.24599704074</v>
      </c>
      <c r="F1878" t="b">
        <v>1</v>
      </c>
      <c r="G1878" t="n">
        <v/>
      </c>
      <c r="H1878" t="inlineStr">
        <is>
          <t>BUX</t>
        </is>
      </c>
      <c r="I1878" t="inlineStr">
        <is>
          <t>Buxton Resources Ltd</t>
        </is>
      </c>
      <c r="J1878" t="inlineStr">
        <is>
          <t>AUD</t>
        </is>
      </c>
      <c r="K1878" s="5" t="inlineStr">
        <is>
          <t>01a152b9-6ee2-7577-bddd-382bc3853fde</t>
        </is>
      </c>
      <c r="M1878" t="inlineStr">
        <is>
          <t>UNKNOWN</t>
        </is>
      </c>
      <c r="N1878" t="inlineStr">
        <is>
          <t>DEFAULT</t>
        </is>
      </c>
      <c r="Q1878" t="n">
        <v>0</v>
      </c>
      <c r="R1878" t="inlineStr">
        <is>
          <t>AUD</t>
        </is>
      </c>
      <c r="S1878" t="n">
        <v>0</v>
      </c>
      <c r="T1878" t="inlineStr">
        <is>
          <t>AUD</t>
        </is>
      </c>
      <c r="U1878" t="n">
        <v>0</v>
      </c>
    </row>
    <row r="1879">
      <c r="A1879" s="5" t="inlineStr">
        <is>
          <t>01a152b9-8c03-73f5-8dcd-2e786083266e</t>
        </is>
      </c>
      <c r="C1879" s="5" t="inlineStr">
        <is>
          <t>01a152b9-6e67-75da-8adb-b03e5d07fd21</t>
        </is>
      </c>
      <c r="D1879" s="4" t="n">
        <v>46314.24599708297</v>
      </c>
      <c r="E1879" s="4" t="n">
        <v>46314.24599708308</v>
      </c>
      <c r="F1879" t="b">
        <v>1</v>
      </c>
      <c r="G1879" t="n">
        <v/>
      </c>
      <c r="H1879" t="inlineStr">
        <is>
          <t>EDE</t>
        </is>
      </c>
      <c r="I1879" t="inlineStr">
        <is>
          <t>Eden Innovations Ltd</t>
        </is>
      </c>
      <c r="J1879" t="inlineStr">
        <is>
          <t>AUD</t>
        </is>
      </c>
      <c r="K1879" s="5" t="inlineStr">
        <is>
          <t>01a152b9-6ee2-7577-bddd-382bc3853fde</t>
        </is>
      </c>
      <c r="M1879" t="inlineStr">
        <is>
          <t>UNKNOWN</t>
        </is>
      </c>
      <c r="N1879" t="inlineStr">
        <is>
          <t>DEFAULT</t>
        </is>
      </c>
      <c r="Q1879" t="n">
        <v>0</v>
      </c>
      <c r="R1879" t="inlineStr">
        <is>
          <t>AUD</t>
        </is>
      </c>
      <c r="S1879" t="n">
        <v>0</v>
      </c>
      <c r="T1879" t="inlineStr">
        <is>
          <t>AUD</t>
        </is>
      </c>
      <c r="U1879" t="n">
        <v>0</v>
      </c>
    </row>
    <row r="1880">
      <c r="A1880" s="5" t="inlineStr">
        <is>
          <t>01a152b9-8c07-75c3-9e76-9c7b8d639132</t>
        </is>
      </c>
      <c r="C1880" s="5" t="inlineStr">
        <is>
          <t>01a152b9-6e67-75da-8adb-b03e5d07fd21</t>
        </is>
      </c>
      <c r="D1880" s="4" t="n">
        <v>46314.2459971203</v>
      </c>
      <c r="E1880" s="4" t="n">
        <v>46314.24599712041</v>
      </c>
      <c r="F1880" t="b">
        <v>1</v>
      </c>
      <c r="G1880" t="n">
        <v/>
      </c>
      <c r="H1880" t="inlineStr">
        <is>
          <t>KNO</t>
        </is>
      </c>
      <c r="I1880" t="inlineStr">
        <is>
          <t>Knosys Ltd</t>
        </is>
      </c>
      <c r="J1880" t="inlineStr">
        <is>
          <t>AUD</t>
        </is>
      </c>
      <c r="K1880" s="5" t="inlineStr">
        <is>
          <t>01a152b9-6ee2-7577-bddd-382bc3853fde</t>
        </is>
      </c>
      <c r="M1880" t="inlineStr">
        <is>
          <t>UNKNOWN</t>
        </is>
      </c>
      <c r="N1880" t="inlineStr">
        <is>
          <t>DEFAULT</t>
        </is>
      </c>
      <c r="Q1880" t="n">
        <v>0</v>
      </c>
      <c r="R1880" t="inlineStr">
        <is>
          <t>AUD</t>
        </is>
      </c>
      <c r="S1880" t="n">
        <v>0</v>
      </c>
      <c r="T1880" t="inlineStr">
        <is>
          <t>AUD</t>
        </is>
      </c>
      <c r="U1880" t="n">
        <v>0</v>
      </c>
    </row>
    <row r="1881">
      <c r="A1881" s="5" t="inlineStr">
        <is>
          <t>01a152b9-8c0a-72fc-9b0a-ab20abdd3b77</t>
        </is>
      </c>
      <c r="C1881" s="5" t="inlineStr">
        <is>
          <t>01a152b9-6e67-75da-8adb-b03e5d07fd21</t>
        </is>
      </c>
      <c r="D1881" s="4" t="n">
        <v>46314.24599715527</v>
      </c>
      <c r="E1881" s="4" t="n">
        <v>46314.24599715537</v>
      </c>
      <c r="F1881" t="b">
        <v>1</v>
      </c>
      <c r="G1881" t="n">
        <v/>
      </c>
      <c r="H1881" t="inlineStr">
        <is>
          <t>GIB</t>
        </is>
      </c>
      <c r="I1881" t="inlineStr">
        <is>
          <t>Gibb River Diamonds Ltd</t>
        </is>
      </c>
      <c r="J1881" t="inlineStr">
        <is>
          <t>AUD</t>
        </is>
      </c>
      <c r="K1881" s="5" t="inlineStr">
        <is>
          <t>01a152b9-6ee2-7577-bddd-382bc3853fde</t>
        </is>
      </c>
      <c r="M1881" t="inlineStr">
        <is>
          <t>UNKNOWN</t>
        </is>
      </c>
      <c r="N1881" t="inlineStr">
        <is>
          <t>DEFAULT</t>
        </is>
      </c>
      <c r="Q1881" t="n">
        <v>0</v>
      </c>
      <c r="R1881" t="inlineStr">
        <is>
          <t>AUD</t>
        </is>
      </c>
      <c r="S1881" t="n">
        <v>0</v>
      </c>
      <c r="T1881" t="inlineStr">
        <is>
          <t>AUD</t>
        </is>
      </c>
      <c r="U1881" t="n">
        <v>0</v>
      </c>
    </row>
    <row r="1882">
      <c r="A1882" s="5" t="inlineStr">
        <is>
          <t>01a152b9-8c0d-76de-918d-54f4ce0be7ed</t>
        </is>
      </c>
      <c r="C1882" s="5" t="inlineStr">
        <is>
          <t>01a152b9-6e67-75da-8adb-b03e5d07fd21</t>
        </is>
      </c>
      <c r="D1882" s="4" t="n">
        <v>46314.24599719184</v>
      </c>
      <c r="E1882" s="4" t="n">
        <v>46314.24599719193</v>
      </c>
      <c r="F1882" t="b">
        <v>1</v>
      </c>
      <c r="G1882" t="n">
        <v/>
      </c>
      <c r="H1882" t="inlineStr">
        <is>
          <t>GLH</t>
        </is>
      </c>
      <c r="I1882" t="inlineStr">
        <is>
          <t>Global Health Ltd</t>
        </is>
      </c>
      <c r="J1882" t="inlineStr">
        <is>
          <t>AUD</t>
        </is>
      </c>
      <c r="K1882" s="5" t="inlineStr">
        <is>
          <t>01a152b9-6ee2-7577-bddd-382bc3853fde</t>
        </is>
      </c>
      <c r="M1882" t="inlineStr">
        <is>
          <t>UNKNOWN</t>
        </is>
      </c>
      <c r="N1882" t="inlineStr">
        <is>
          <t>DEFAULT</t>
        </is>
      </c>
      <c r="Q1882" t="n">
        <v>0</v>
      </c>
      <c r="R1882" t="inlineStr">
        <is>
          <t>AUD</t>
        </is>
      </c>
      <c r="S1882" t="n">
        <v>0</v>
      </c>
      <c r="T1882" t="inlineStr">
        <is>
          <t>AUD</t>
        </is>
      </c>
      <c r="U1882" t="n">
        <v>0</v>
      </c>
    </row>
    <row r="1883">
      <c r="A1883" s="5" t="inlineStr">
        <is>
          <t>01a152b9-8c10-74ca-aff0-4b21f7f5ca63</t>
        </is>
      </c>
      <c r="C1883" s="5" t="inlineStr">
        <is>
          <t>01a152b9-6e67-75da-8adb-b03e5d07fd21</t>
        </is>
      </c>
      <c r="D1883" s="4" t="n">
        <v>46314.24599723062</v>
      </c>
      <c r="E1883" s="4" t="n">
        <v>46314.24599723074</v>
      </c>
      <c r="F1883" t="b">
        <v>1</v>
      </c>
      <c r="G1883" t="n">
        <v/>
      </c>
      <c r="H1883" t="inlineStr">
        <is>
          <t>CPN</t>
        </is>
      </c>
      <c r="I1883" t="inlineStr">
        <is>
          <t>Caspin Resources Ltd</t>
        </is>
      </c>
      <c r="J1883" t="inlineStr">
        <is>
          <t>AUD</t>
        </is>
      </c>
      <c r="K1883" s="5" t="inlineStr">
        <is>
          <t>01a152b9-6ee2-7577-bddd-382bc3853fde</t>
        </is>
      </c>
      <c r="M1883" t="inlineStr">
        <is>
          <t>UNKNOWN</t>
        </is>
      </c>
      <c r="N1883" t="inlineStr">
        <is>
          <t>DEFAULT</t>
        </is>
      </c>
      <c r="Q1883" t="n">
        <v>0</v>
      </c>
      <c r="R1883" t="inlineStr">
        <is>
          <t>AUD</t>
        </is>
      </c>
      <c r="S1883" t="n">
        <v>0</v>
      </c>
      <c r="T1883" t="inlineStr">
        <is>
          <t>AUD</t>
        </is>
      </c>
      <c r="U1883" t="n">
        <v>0</v>
      </c>
    </row>
    <row r="1884">
      <c r="A1884" s="5" t="inlineStr">
        <is>
          <t>01a152b9-8c14-7388-99e4-8fa55dccc9e7</t>
        </is>
      </c>
      <c r="C1884" s="5" t="inlineStr">
        <is>
          <t>01a152b9-6e67-75da-8adb-b03e5d07fd21</t>
        </is>
      </c>
      <c r="D1884" s="4" t="n">
        <v>46314.24599727397</v>
      </c>
      <c r="E1884" s="4" t="n">
        <v>46314.24599727408</v>
      </c>
      <c r="F1884" t="b">
        <v>1</v>
      </c>
      <c r="G1884" t="n">
        <v/>
      </c>
      <c r="H1884" t="inlineStr">
        <is>
          <t>DCL</t>
        </is>
      </c>
      <c r="I1884" t="inlineStr">
        <is>
          <t>Domacom Ltd</t>
        </is>
      </c>
      <c r="J1884" t="inlineStr">
        <is>
          <t>AUD</t>
        </is>
      </c>
      <c r="K1884" s="5" t="inlineStr">
        <is>
          <t>01a152b9-6ee2-7577-bddd-382bc3853fde</t>
        </is>
      </c>
      <c r="M1884" t="inlineStr">
        <is>
          <t>UNKNOWN</t>
        </is>
      </c>
      <c r="N1884" t="inlineStr">
        <is>
          <t>DEFAULT</t>
        </is>
      </c>
      <c r="Q1884" t="n">
        <v>0</v>
      </c>
      <c r="R1884" t="inlineStr">
        <is>
          <t>AUD</t>
        </is>
      </c>
      <c r="S1884" t="n">
        <v>0</v>
      </c>
      <c r="T1884" t="inlineStr">
        <is>
          <t>AUD</t>
        </is>
      </c>
      <c r="U1884" t="n">
        <v>0</v>
      </c>
    </row>
    <row r="1885">
      <c r="A1885" s="5" t="inlineStr">
        <is>
          <t>01a152b9-8c17-7410-aad2-8e7a01719e16</t>
        </is>
      </c>
      <c r="C1885" s="5" t="inlineStr">
        <is>
          <t>01a152b9-6e67-75da-8adb-b03e5d07fd21</t>
        </is>
      </c>
      <c r="D1885" s="4" t="n">
        <v>46314.24599731101</v>
      </c>
      <c r="E1885" s="4" t="n">
        <v>46314.24599731115</v>
      </c>
      <c r="F1885" t="b">
        <v>1</v>
      </c>
      <c r="G1885" t="n">
        <v/>
      </c>
      <c r="H1885" t="inlineStr">
        <is>
          <t>FME</t>
        </is>
      </c>
      <c r="I1885" t="inlineStr">
        <is>
          <t>Future Metals NL</t>
        </is>
      </c>
      <c r="J1885" t="inlineStr">
        <is>
          <t>AUD</t>
        </is>
      </c>
      <c r="K1885" s="5" t="inlineStr">
        <is>
          <t>01a152b9-6ee2-7577-bddd-382bc3853fde</t>
        </is>
      </c>
      <c r="M1885" t="inlineStr">
        <is>
          <t>UNKNOWN</t>
        </is>
      </c>
      <c r="N1885" t="inlineStr">
        <is>
          <t>DEFAULT</t>
        </is>
      </c>
      <c r="Q1885" t="n">
        <v>0</v>
      </c>
      <c r="R1885" t="inlineStr">
        <is>
          <t>AUD</t>
        </is>
      </c>
      <c r="S1885" t="n">
        <v>0</v>
      </c>
      <c r="T1885" t="inlineStr">
        <is>
          <t>AUD</t>
        </is>
      </c>
      <c r="U1885" t="n">
        <v>0</v>
      </c>
    </row>
    <row r="1886">
      <c r="A1886" s="5" t="inlineStr">
        <is>
          <t>01a152b9-8c1a-7288-b1c2-ae651182e983</t>
        </is>
      </c>
      <c r="C1886" s="5" t="inlineStr">
        <is>
          <t>01a152b9-6e67-75da-8adb-b03e5d07fd21</t>
        </is>
      </c>
      <c r="D1886" s="4" t="n">
        <v>46314.24599734959</v>
      </c>
      <c r="E1886" s="4" t="n">
        <v>46314.24599734972</v>
      </c>
      <c r="F1886" t="b">
        <v>1</v>
      </c>
      <c r="G1886" t="n">
        <v/>
      </c>
      <c r="H1886" t="inlineStr">
        <is>
          <t>AHN</t>
        </is>
      </c>
      <c r="I1886" t="inlineStr">
        <is>
          <t>Athena Resources Ltd</t>
        </is>
      </c>
      <c r="J1886" t="inlineStr">
        <is>
          <t>AUD</t>
        </is>
      </c>
      <c r="K1886" s="5" t="inlineStr">
        <is>
          <t>01a152b9-6ee2-7577-bddd-382bc3853fde</t>
        </is>
      </c>
      <c r="M1886" t="inlineStr">
        <is>
          <t>UNKNOWN</t>
        </is>
      </c>
      <c r="N1886" t="inlineStr">
        <is>
          <t>DEFAULT</t>
        </is>
      </c>
      <c r="Q1886" t="n">
        <v>0</v>
      </c>
      <c r="R1886" t="inlineStr">
        <is>
          <t>AUD</t>
        </is>
      </c>
      <c r="S1886" t="n">
        <v>0</v>
      </c>
      <c r="T1886" t="inlineStr">
        <is>
          <t>AUD</t>
        </is>
      </c>
      <c r="U1886" t="n">
        <v>0</v>
      </c>
    </row>
    <row r="1887">
      <c r="A1887" s="5" t="inlineStr">
        <is>
          <t>01a152b9-8c1e-7375-b3b4-2558dd9a7806</t>
        </is>
      </c>
      <c r="C1887" s="5" t="inlineStr">
        <is>
          <t>01a152b9-6e67-75da-8adb-b03e5d07fd21</t>
        </is>
      </c>
      <c r="D1887" s="4" t="n">
        <v>46314.24599739109</v>
      </c>
      <c r="E1887" s="4" t="n">
        <v>46314.24599739121</v>
      </c>
      <c r="F1887" t="b">
        <v>1</v>
      </c>
      <c r="G1887" t="n">
        <v/>
      </c>
      <c r="H1887" t="inlineStr">
        <is>
          <t>MBK</t>
        </is>
      </c>
      <c r="I1887" t="inlineStr">
        <is>
          <t>Metal Bank Ltd</t>
        </is>
      </c>
      <c r="J1887" t="inlineStr">
        <is>
          <t>AUD</t>
        </is>
      </c>
      <c r="K1887" s="5" t="inlineStr">
        <is>
          <t>01a152b9-6ee2-7577-bddd-382bc3853fde</t>
        </is>
      </c>
      <c r="M1887" t="inlineStr">
        <is>
          <t>UNKNOWN</t>
        </is>
      </c>
      <c r="N1887" t="inlineStr">
        <is>
          <t>DEFAULT</t>
        </is>
      </c>
      <c r="Q1887" t="n">
        <v>0</v>
      </c>
      <c r="R1887" t="inlineStr">
        <is>
          <t>AUD</t>
        </is>
      </c>
      <c r="S1887" t="n">
        <v>0</v>
      </c>
      <c r="T1887" t="inlineStr">
        <is>
          <t>AUD</t>
        </is>
      </c>
      <c r="U1887" t="n">
        <v>0</v>
      </c>
    </row>
    <row r="1888">
      <c r="A1888" s="5" t="inlineStr">
        <is>
          <t>01a152b9-8c22-75b8-a9ca-893cb527bf53</t>
        </is>
      </c>
      <c r="C1888" s="5" t="inlineStr">
        <is>
          <t>01a152b9-6e67-75da-8adb-b03e5d07fd21</t>
        </is>
      </c>
      <c r="D1888" s="4" t="n">
        <v>46314.24599743565</v>
      </c>
      <c r="E1888" s="4" t="n">
        <v>46314.24599743578</v>
      </c>
      <c r="F1888" t="b">
        <v>1</v>
      </c>
      <c r="G1888" t="n">
        <v/>
      </c>
      <c r="H1888" t="inlineStr">
        <is>
          <t>ALM</t>
        </is>
      </c>
      <c r="I1888" t="inlineStr">
        <is>
          <t>Alma Metals Ltd</t>
        </is>
      </c>
      <c r="J1888" t="inlineStr">
        <is>
          <t>AUD</t>
        </is>
      </c>
      <c r="K1888" s="5" t="inlineStr">
        <is>
          <t>01a152b9-6ee2-7577-bddd-382bc3853fde</t>
        </is>
      </c>
      <c r="M1888" t="inlineStr">
        <is>
          <t>UNKNOWN</t>
        </is>
      </c>
      <c r="N1888" t="inlineStr">
        <is>
          <t>DEFAULT</t>
        </is>
      </c>
      <c r="Q1888" t="n">
        <v>0</v>
      </c>
      <c r="R1888" t="inlineStr">
        <is>
          <t>AUD</t>
        </is>
      </c>
      <c r="S1888" t="n">
        <v>0</v>
      </c>
      <c r="T1888" t="inlineStr">
        <is>
          <t>AUD</t>
        </is>
      </c>
      <c r="U1888" t="n">
        <v>0</v>
      </c>
    </row>
    <row r="1889">
      <c r="A1889" s="5" t="inlineStr">
        <is>
          <t>01a152b9-8c25-71d7-96c5-3a3f6f09dd2a</t>
        </is>
      </c>
      <c r="C1889" s="5" t="inlineStr">
        <is>
          <t>01a152b9-6e67-75da-8adb-b03e5d07fd21</t>
        </is>
      </c>
      <c r="D1889" s="4" t="n">
        <v>46314.24599747859</v>
      </c>
      <c r="E1889" s="4" t="n">
        <v>46314.24599747874</v>
      </c>
      <c r="F1889" t="b">
        <v>1</v>
      </c>
      <c r="G1889" t="n">
        <v/>
      </c>
      <c r="H1889" t="inlineStr">
        <is>
          <t>TRI</t>
        </is>
      </c>
      <c r="I1889" t="inlineStr">
        <is>
          <t>Trivarx Ltd</t>
        </is>
      </c>
      <c r="J1889" t="inlineStr">
        <is>
          <t>AUD</t>
        </is>
      </c>
      <c r="K1889" s="5" t="inlineStr">
        <is>
          <t>01a152b9-6ee2-7577-bddd-382bc3853fde</t>
        </is>
      </c>
      <c r="M1889" t="inlineStr">
        <is>
          <t>UNKNOWN</t>
        </is>
      </c>
      <c r="N1889" t="inlineStr">
        <is>
          <t>DEFAULT</t>
        </is>
      </c>
      <c r="Q1889" t="n">
        <v>0</v>
      </c>
      <c r="R1889" t="inlineStr">
        <is>
          <t>AUD</t>
        </is>
      </c>
      <c r="S1889" t="n">
        <v>0</v>
      </c>
      <c r="T1889" t="inlineStr">
        <is>
          <t>AUD</t>
        </is>
      </c>
      <c r="U1889" t="n">
        <v>0</v>
      </c>
    </row>
    <row r="1890">
      <c r="A1890" s="5" t="inlineStr">
        <is>
          <t>01a152b9-8c29-74cb-a7e2-2372c7f6443c</t>
        </is>
      </c>
      <c r="C1890" s="5" t="inlineStr">
        <is>
          <t>01a152b9-6e67-75da-8adb-b03e5d07fd21</t>
        </is>
      </c>
      <c r="D1890" s="4" t="n">
        <v>46314.24599752022</v>
      </c>
      <c r="E1890" s="4" t="n">
        <v>46314.24599752035</v>
      </c>
      <c r="F1890" t="b">
        <v>1</v>
      </c>
      <c r="G1890" t="n">
        <v/>
      </c>
      <c r="H1890" t="inlineStr">
        <is>
          <t>1MC</t>
        </is>
      </c>
      <c r="I1890" t="inlineStr">
        <is>
          <t>Morella Corporation Ltd</t>
        </is>
      </c>
      <c r="J1890" t="inlineStr">
        <is>
          <t>AUD</t>
        </is>
      </c>
      <c r="K1890" s="5" t="inlineStr">
        <is>
          <t>01a152b9-6ee2-7577-bddd-382bc3853fde</t>
        </is>
      </c>
      <c r="M1890" t="inlineStr">
        <is>
          <t>UNKNOWN</t>
        </is>
      </c>
      <c r="N1890" t="inlineStr">
        <is>
          <t>DEFAULT</t>
        </is>
      </c>
      <c r="Q1890" t="n">
        <v>0</v>
      </c>
      <c r="R1890" t="inlineStr">
        <is>
          <t>AUD</t>
        </is>
      </c>
      <c r="S1890" t="n">
        <v>0</v>
      </c>
      <c r="T1890" t="inlineStr">
        <is>
          <t>AUD</t>
        </is>
      </c>
      <c r="U1890" t="n">
        <v>0</v>
      </c>
    </row>
    <row r="1891">
      <c r="A1891" s="5" t="inlineStr">
        <is>
          <t>01a152b9-8c2d-7056-bd4d-acd9b73e528e</t>
        </is>
      </c>
      <c r="C1891" s="5" t="inlineStr">
        <is>
          <t>01a152b9-6e67-75da-8adb-b03e5d07fd21</t>
        </is>
      </c>
      <c r="D1891" s="4" t="n">
        <v>46314.24599756118</v>
      </c>
      <c r="E1891" s="4" t="n">
        <v>46314.24599756131</v>
      </c>
      <c r="F1891" t="b">
        <v>1</v>
      </c>
      <c r="G1891" t="n">
        <v/>
      </c>
      <c r="H1891" t="inlineStr">
        <is>
          <t>X2M</t>
        </is>
      </c>
      <c r="I1891" t="inlineStr">
        <is>
          <t>X2M Connect Ltd</t>
        </is>
      </c>
      <c r="J1891" t="inlineStr">
        <is>
          <t>AUD</t>
        </is>
      </c>
      <c r="K1891" s="5" t="inlineStr">
        <is>
          <t>01a152b9-6ee2-7577-bddd-382bc3853fde</t>
        </is>
      </c>
      <c r="M1891" t="inlineStr">
        <is>
          <t>UNKNOWN</t>
        </is>
      </c>
      <c r="N1891" t="inlineStr">
        <is>
          <t>DEFAULT</t>
        </is>
      </c>
      <c r="Q1891" t="n">
        <v>0</v>
      </c>
      <c r="R1891" t="inlineStr">
        <is>
          <t>AUD</t>
        </is>
      </c>
      <c r="S1891" t="n">
        <v>0</v>
      </c>
      <c r="T1891" t="inlineStr">
        <is>
          <t>AUD</t>
        </is>
      </c>
      <c r="U1891" t="n">
        <v>0</v>
      </c>
    </row>
    <row r="1892">
      <c r="A1892" s="5" t="inlineStr">
        <is>
          <t>01a152b9-8c30-7590-99b8-e4f79b0a85a7</t>
        </is>
      </c>
      <c r="C1892" s="5" t="inlineStr">
        <is>
          <t>01a152b9-6e67-75da-8adb-b03e5d07fd21</t>
        </is>
      </c>
      <c r="D1892" s="4" t="n">
        <v>46314.24599760514</v>
      </c>
      <c r="E1892" s="4" t="n">
        <v>46314.24599760526</v>
      </c>
      <c r="F1892" t="b">
        <v>1</v>
      </c>
      <c r="G1892" t="n">
        <v/>
      </c>
      <c r="H1892" t="inlineStr">
        <is>
          <t>PRS</t>
        </is>
      </c>
      <c r="I1892" t="inlineStr">
        <is>
          <t>Prospech Ltd</t>
        </is>
      </c>
      <c r="J1892" t="inlineStr">
        <is>
          <t>AUD</t>
        </is>
      </c>
      <c r="K1892" s="5" t="inlineStr">
        <is>
          <t>01a152b9-6ee2-7577-bddd-382bc3853fde</t>
        </is>
      </c>
      <c r="M1892" t="inlineStr">
        <is>
          <t>UNKNOWN</t>
        </is>
      </c>
      <c r="N1892" t="inlineStr">
        <is>
          <t>DEFAULT</t>
        </is>
      </c>
      <c r="Q1892" t="n">
        <v>0</v>
      </c>
      <c r="R1892" t="inlineStr">
        <is>
          <t>AUD</t>
        </is>
      </c>
      <c r="S1892" t="n">
        <v>0</v>
      </c>
      <c r="T1892" t="inlineStr">
        <is>
          <t>AUD</t>
        </is>
      </c>
      <c r="U1892" t="n">
        <v>0</v>
      </c>
    </row>
    <row r="1893">
      <c r="A1893" s="5" t="inlineStr">
        <is>
          <t>01a152b9-8c35-71e5-b1df-fdef1bf31163</t>
        </is>
      </c>
      <c r="C1893" s="5" t="inlineStr">
        <is>
          <t>01a152b9-6e67-75da-8adb-b03e5d07fd21</t>
        </is>
      </c>
      <c r="D1893" s="4" t="n">
        <v>46314.24599765235</v>
      </c>
      <c r="E1893" s="4" t="n">
        <v>46314.24599765248</v>
      </c>
      <c r="F1893" t="b">
        <v>1</v>
      </c>
      <c r="G1893" t="n">
        <v/>
      </c>
      <c r="H1893" t="inlineStr">
        <is>
          <t>VAR</t>
        </is>
      </c>
      <c r="I1893" t="inlineStr">
        <is>
          <t>Variscan Mines Ltd</t>
        </is>
      </c>
      <c r="J1893" t="inlineStr">
        <is>
          <t>AUD</t>
        </is>
      </c>
      <c r="K1893" s="5" t="inlineStr">
        <is>
          <t>01a152b9-6ee2-7577-bddd-382bc3853fde</t>
        </is>
      </c>
      <c r="M1893" t="inlineStr">
        <is>
          <t>UNKNOWN</t>
        </is>
      </c>
      <c r="N1893" t="inlineStr">
        <is>
          <t>DEFAULT</t>
        </is>
      </c>
      <c r="Q1893" t="n">
        <v>0</v>
      </c>
      <c r="R1893" t="inlineStr">
        <is>
          <t>AUD</t>
        </is>
      </c>
      <c r="S1893" t="n">
        <v>0</v>
      </c>
      <c r="T1893" t="inlineStr">
        <is>
          <t>AUD</t>
        </is>
      </c>
      <c r="U1893" t="n">
        <v>0</v>
      </c>
    </row>
    <row r="1894">
      <c r="A1894" s="5" t="inlineStr">
        <is>
          <t>01a152b9-8c38-7649-b7be-1c4296035b77</t>
        </is>
      </c>
      <c r="C1894" s="5" t="inlineStr">
        <is>
          <t>01a152b9-6e67-75da-8adb-b03e5d07fd21</t>
        </is>
      </c>
      <c r="D1894" s="4" t="n">
        <v>46314.24599769074</v>
      </c>
      <c r="E1894" s="4" t="n">
        <v>46314.24599769088</v>
      </c>
      <c r="F1894" t="b">
        <v>1</v>
      </c>
      <c r="G1894" t="n">
        <v/>
      </c>
      <c r="H1894" t="inlineStr">
        <is>
          <t>LIO</t>
        </is>
      </c>
      <c r="I1894" t="inlineStr">
        <is>
          <t>Lion Energy Ltd</t>
        </is>
      </c>
      <c r="J1894" t="inlineStr">
        <is>
          <t>AUD</t>
        </is>
      </c>
      <c r="K1894" s="5" t="inlineStr">
        <is>
          <t>01a152b9-6ee2-7577-bddd-382bc3853fde</t>
        </is>
      </c>
      <c r="M1894" t="inlineStr">
        <is>
          <t>UNKNOWN</t>
        </is>
      </c>
      <c r="N1894" t="inlineStr">
        <is>
          <t>DEFAULT</t>
        </is>
      </c>
      <c r="Q1894" t="n">
        <v>0</v>
      </c>
      <c r="R1894" t="inlineStr">
        <is>
          <t>AUD</t>
        </is>
      </c>
      <c r="S1894" t="n">
        <v>0</v>
      </c>
      <c r="T1894" t="inlineStr">
        <is>
          <t>AUD</t>
        </is>
      </c>
      <c r="U1894" t="n">
        <v>0</v>
      </c>
    </row>
    <row r="1895">
      <c r="A1895" s="5" t="inlineStr">
        <is>
          <t>01a152b9-8c3b-7719-8e13-2ff9438dfa37</t>
        </is>
      </c>
      <c r="C1895" s="5" t="inlineStr">
        <is>
          <t>01a152b9-6e67-75da-8adb-b03e5d07fd21</t>
        </is>
      </c>
      <c r="D1895" s="4" t="n">
        <v>46314.24599773161</v>
      </c>
      <c r="E1895" s="4" t="n">
        <v>46314.24599773173</v>
      </c>
      <c r="F1895" t="b">
        <v>1</v>
      </c>
      <c r="G1895" t="n">
        <v/>
      </c>
      <c r="H1895" t="inlineStr">
        <is>
          <t>HMI</t>
        </is>
      </c>
      <c r="I1895" t="inlineStr">
        <is>
          <t>Hiremii Ltd</t>
        </is>
      </c>
      <c r="J1895" t="inlineStr">
        <is>
          <t>AUD</t>
        </is>
      </c>
      <c r="K1895" s="5" t="inlineStr">
        <is>
          <t>01a152b9-6ee2-7577-bddd-382bc3853fde</t>
        </is>
      </c>
      <c r="M1895" t="inlineStr">
        <is>
          <t>UNKNOWN</t>
        </is>
      </c>
      <c r="N1895" t="inlineStr">
        <is>
          <t>DEFAULT</t>
        </is>
      </c>
      <c r="Q1895" t="n">
        <v>0</v>
      </c>
      <c r="R1895" t="inlineStr">
        <is>
          <t>AUD</t>
        </is>
      </c>
      <c r="S1895" t="n">
        <v>0</v>
      </c>
      <c r="T1895" t="inlineStr">
        <is>
          <t>AUD</t>
        </is>
      </c>
      <c r="U1895" t="n">
        <v>0</v>
      </c>
    </row>
    <row r="1896">
      <c r="A1896" s="5" t="inlineStr">
        <is>
          <t>01a152b9-8c3f-77cd-a7dd-f80e11e2a51e</t>
        </is>
      </c>
      <c r="C1896" s="5" t="inlineStr">
        <is>
          <t>01a152b9-6e67-75da-8adb-b03e5d07fd21</t>
        </is>
      </c>
      <c r="D1896" s="4" t="n">
        <v>46314.24599777351</v>
      </c>
      <c r="E1896" s="4" t="n">
        <v>46314.24599777367</v>
      </c>
      <c r="F1896" t="b">
        <v>1</v>
      </c>
      <c r="G1896" t="n">
        <v/>
      </c>
      <c r="H1896" t="inlineStr">
        <is>
          <t>8CO</t>
        </is>
      </c>
      <c r="I1896" t="inlineStr">
        <is>
          <t>8COMMON Ltd</t>
        </is>
      </c>
      <c r="J1896" t="inlineStr">
        <is>
          <t>AUD</t>
        </is>
      </c>
      <c r="K1896" s="5" t="inlineStr">
        <is>
          <t>01a152b9-6ee2-7577-bddd-382bc3853fde</t>
        </is>
      </c>
      <c r="M1896" t="inlineStr">
        <is>
          <t>UNKNOWN</t>
        </is>
      </c>
      <c r="N1896" t="inlineStr">
        <is>
          <t>DEFAULT</t>
        </is>
      </c>
      <c r="Q1896" t="n">
        <v>0</v>
      </c>
      <c r="R1896" t="inlineStr">
        <is>
          <t>AUD</t>
        </is>
      </c>
      <c r="S1896" t="n">
        <v>0</v>
      </c>
      <c r="T1896" t="inlineStr">
        <is>
          <t>AUD</t>
        </is>
      </c>
      <c r="U1896" t="n">
        <v>0</v>
      </c>
    </row>
    <row r="1897">
      <c r="A1897" s="5" t="inlineStr">
        <is>
          <t>01a152b9-8c43-7042-b292-68abe69b71bc</t>
        </is>
      </c>
      <c r="C1897" s="5" t="inlineStr">
        <is>
          <t>01a152b9-6e67-75da-8adb-b03e5d07fd21</t>
        </is>
      </c>
      <c r="D1897" s="4" t="n">
        <v>46314.24599781903</v>
      </c>
      <c r="E1897" s="4" t="n">
        <v>46314.24599781914</v>
      </c>
      <c r="F1897" t="b">
        <v>1</v>
      </c>
      <c r="G1897" t="n">
        <v/>
      </c>
      <c r="H1897" t="inlineStr">
        <is>
          <t>REY</t>
        </is>
      </c>
      <c r="I1897" t="inlineStr">
        <is>
          <t>REY Resources Ltd</t>
        </is>
      </c>
      <c r="J1897" t="inlineStr">
        <is>
          <t>AUD</t>
        </is>
      </c>
      <c r="K1897" s="5" t="inlineStr">
        <is>
          <t>01a152b9-6ee2-7577-bddd-382bc3853fde</t>
        </is>
      </c>
      <c r="M1897" t="inlineStr">
        <is>
          <t>UNKNOWN</t>
        </is>
      </c>
      <c r="N1897" t="inlineStr">
        <is>
          <t>DEFAULT</t>
        </is>
      </c>
      <c r="Q1897" t="n">
        <v>0</v>
      </c>
      <c r="R1897" t="inlineStr">
        <is>
          <t>AUD</t>
        </is>
      </c>
      <c r="S1897" t="n">
        <v>0</v>
      </c>
      <c r="T1897" t="inlineStr">
        <is>
          <t>AUD</t>
        </is>
      </c>
      <c r="U1897" t="n">
        <v>0</v>
      </c>
    </row>
    <row r="1898">
      <c r="A1898" s="5" t="inlineStr">
        <is>
          <t>01a152b9-8c47-7473-813d-ba78c8d32eb6</t>
        </is>
      </c>
      <c r="C1898" s="5" t="inlineStr">
        <is>
          <t>01a152b9-6e67-75da-8adb-b03e5d07fd21</t>
        </is>
      </c>
      <c r="D1898" s="4" t="n">
        <v>46314.24599786277</v>
      </c>
      <c r="E1898" s="4" t="n">
        <v>46314.24599786292</v>
      </c>
      <c r="F1898" t="b">
        <v>1</v>
      </c>
      <c r="G1898" t="n">
        <v/>
      </c>
      <c r="H1898" t="inlineStr">
        <is>
          <t>ASQ</t>
        </is>
      </c>
      <c r="I1898" t="inlineStr">
        <is>
          <t>Australian Silica Quartz Group Ltd</t>
        </is>
      </c>
      <c r="J1898" t="inlineStr">
        <is>
          <t>AUD</t>
        </is>
      </c>
      <c r="K1898" s="5" t="inlineStr">
        <is>
          <t>01a152b9-6ee2-7577-bddd-382bc3853fde</t>
        </is>
      </c>
      <c r="M1898" t="inlineStr">
        <is>
          <t>UNKNOWN</t>
        </is>
      </c>
      <c r="N1898" t="inlineStr">
        <is>
          <t>DEFAULT</t>
        </is>
      </c>
      <c r="Q1898" t="n">
        <v>0</v>
      </c>
      <c r="R1898" t="inlineStr">
        <is>
          <t>AUD</t>
        </is>
      </c>
      <c r="S1898" t="n">
        <v>0</v>
      </c>
      <c r="T1898" t="inlineStr">
        <is>
          <t>AUD</t>
        </is>
      </c>
      <c r="U1898" t="n">
        <v>0</v>
      </c>
    </row>
    <row r="1899">
      <c r="A1899" s="5" t="inlineStr">
        <is>
          <t>01a152b9-8c4b-715c-bfbc-1e5d125ffb8b</t>
        </is>
      </c>
      <c r="C1899" s="5" t="inlineStr">
        <is>
          <t>01a152b9-6e67-75da-8adb-b03e5d07fd21</t>
        </is>
      </c>
      <c r="D1899" s="4" t="n">
        <v>46314.24599791169</v>
      </c>
      <c r="E1899" s="4" t="n">
        <v>46314.24599791184</v>
      </c>
      <c r="F1899" t="b">
        <v>1</v>
      </c>
      <c r="G1899" t="n">
        <v/>
      </c>
      <c r="H1899" t="inlineStr">
        <is>
          <t>EMN</t>
        </is>
      </c>
      <c r="I1899" t="inlineStr">
        <is>
          <t>Euro Manganese Inc</t>
        </is>
      </c>
      <c r="J1899" t="inlineStr">
        <is>
          <t>AUD</t>
        </is>
      </c>
      <c r="K1899" s="5" t="inlineStr">
        <is>
          <t>01a152b9-6ee2-7577-bddd-382bc3853fde</t>
        </is>
      </c>
      <c r="M1899" t="inlineStr">
        <is>
          <t>UNKNOWN</t>
        </is>
      </c>
      <c r="N1899" t="inlineStr">
        <is>
          <t>DEFAULT</t>
        </is>
      </c>
      <c r="Q1899" t="n">
        <v>0</v>
      </c>
      <c r="R1899" t="inlineStr">
        <is>
          <t>AUD</t>
        </is>
      </c>
      <c r="S1899" t="n">
        <v>0</v>
      </c>
      <c r="T1899" t="inlineStr">
        <is>
          <t>AUD</t>
        </is>
      </c>
      <c r="U1899" t="n">
        <v>0</v>
      </c>
    </row>
    <row r="1900">
      <c r="A1900" s="5" t="inlineStr">
        <is>
          <t>01a152b9-8c4f-7740-88e9-7810971c85c9</t>
        </is>
      </c>
      <c r="C1900" s="5" t="inlineStr">
        <is>
          <t>01a152b9-6e67-75da-8adb-b03e5d07fd21</t>
        </is>
      </c>
      <c r="D1900" s="4" t="n">
        <v>46314.24599796432</v>
      </c>
      <c r="E1900" s="4" t="n">
        <v>46314.24599796447</v>
      </c>
      <c r="F1900" t="b">
        <v>1</v>
      </c>
      <c r="G1900" t="n">
        <v/>
      </c>
      <c r="H1900" t="inlineStr">
        <is>
          <t>DTR</t>
        </is>
      </c>
      <c r="I1900" t="inlineStr">
        <is>
          <t>Dateline Resources Ltd</t>
        </is>
      </c>
      <c r="J1900" t="inlineStr">
        <is>
          <t>AUD</t>
        </is>
      </c>
      <c r="K1900" s="5" t="inlineStr">
        <is>
          <t>01a152b9-6ee2-7577-bddd-382bc3853fde</t>
        </is>
      </c>
      <c r="M1900" t="inlineStr">
        <is>
          <t>UNKNOWN</t>
        </is>
      </c>
      <c r="N1900" t="inlineStr">
        <is>
          <t>DEFAULT</t>
        </is>
      </c>
      <c r="Q1900" t="n">
        <v>0</v>
      </c>
      <c r="R1900" t="inlineStr">
        <is>
          <t>AUD</t>
        </is>
      </c>
      <c r="S1900" t="n">
        <v>0</v>
      </c>
      <c r="T1900" t="inlineStr">
        <is>
          <t>AUD</t>
        </is>
      </c>
      <c r="U1900" t="n">
        <v>0</v>
      </c>
    </row>
    <row r="1901">
      <c r="A1901" s="5" t="inlineStr">
        <is>
          <t>01a152b9-8c54-70b6-a0ca-bd6bad589958</t>
        </is>
      </c>
      <c r="C1901" s="5" t="inlineStr">
        <is>
          <t>01a152b9-6e67-75da-8adb-b03e5d07fd21</t>
        </is>
      </c>
      <c r="D1901" s="4" t="n">
        <v>46314.24599801206</v>
      </c>
      <c r="E1901" s="4" t="n">
        <v>46314.24599801221</v>
      </c>
      <c r="F1901" t="b">
        <v>1</v>
      </c>
      <c r="G1901" t="n">
        <v/>
      </c>
      <c r="H1901" t="inlineStr">
        <is>
          <t>UCM</t>
        </is>
      </c>
      <c r="I1901" t="inlineStr">
        <is>
          <t>Uscom Ltd</t>
        </is>
      </c>
      <c r="J1901" t="inlineStr">
        <is>
          <t>AUD</t>
        </is>
      </c>
      <c r="K1901" s="5" t="inlineStr">
        <is>
          <t>01a152b9-6ee2-7577-bddd-382bc3853fde</t>
        </is>
      </c>
      <c r="M1901" t="inlineStr">
        <is>
          <t>UNKNOWN</t>
        </is>
      </c>
      <c r="N1901" t="inlineStr">
        <is>
          <t>DEFAULT</t>
        </is>
      </c>
      <c r="Q1901" t="n">
        <v>0</v>
      </c>
      <c r="R1901" t="inlineStr">
        <is>
          <t>AUD</t>
        </is>
      </c>
      <c r="S1901" t="n">
        <v>0</v>
      </c>
      <c r="T1901" t="inlineStr">
        <is>
          <t>AUD</t>
        </is>
      </c>
      <c r="U1901" t="n">
        <v>0</v>
      </c>
    </row>
    <row r="1902">
      <c r="A1902" s="5" t="inlineStr">
        <is>
          <t>01a152b9-8c58-7374-9289-19966c6eb285</t>
        </is>
      </c>
      <c r="C1902" s="5" t="inlineStr">
        <is>
          <t>01a152b9-6e67-75da-8adb-b03e5d07fd21</t>
        </is>
      </c>
      <c r="D1902" s="4" t="n">
        <v>46314.24599806158</v>
      </c>
      <c r="E1902" s="4" t="n">
        <v>46314.2459980617</v>
      </c>
      <c r="F1902" t="b">
        <v>1</v>
      </c>
      <c r="G1902" t="n">
        <v/>
      </c>
      <c r="H1902" t="inlineStr">
        <is>
          <t>GRE</t>
        </is>
      </c>
      <c r="I1902" t="inlineStr">
        <is>
          <t>Greentech Metals Ltd</t>
        </is>
      </c>
      <c r="J1902" t="inlineStr">
        <is>
          <t>AUD</t>
        </is>
      </c>
      <c r="K1902" s="5" t="inlineStr">
        <is>
          <t>01a152b9-6ee2-7577-bddd-382bc3853fde</t>
        </is>
      </c>
      <c r="M1902" t="inlineStr">
        <is>
          <t>UNKNOWN</t>
        </is>
      </c>
      <c r="N1902" t="inlineStr">
        <is>
          <t>DEFAULT</t>
        </is>
      </c>
      <c r="Q1902" t="n">
        <v>0</v>
      </c>
      <c r="R1902" t="inlineStr">
        <is>
          <t>AUD</t>
        </is>
      </c>
      <c r="S1902" t="n">
        <v>0</v>
      </c>
      <c r="T1902" t="inlineStr">
        <is>
          <t>AUD</t>
        </is>
      </c>
      <c r="U1902" t="n">
        <v>0</v>
      </c>
    </row>
    <row r="1903">
      <c r="A1903" s="5" t="inlineStr">
        <is>
          <t>01a152b9-8c5b-7576-aed6-d7459ac24701</t>
        </is>
      </c>
      <c r="C1903" s="5" t="inlineStr">
        <is>
          <t>01a152b9-6e67-75da-8adb-b03e5d07fd21</t>
        </is>
      </c>
      <c r="D1903" s="4" t="n">
        <v>46314.24599810061</v>
      </c>
      <c r="E1903" s="4" t="n">
        <v>46314.24599810073</v>
      </c>
      <c r="F1903" t="b">
        <v>1</v>
      </c>
      <c r="G1903" t="n">
        <v/>
      </c>
      <c r="H1903" t="inlineStr">
        <is>
          <t>YANK</t>
        </is>
      </c>
      <c r="I1903" t="inlineStr">
        <is>
          <t>Betashares Strong U.S. Dollar Fund (Hedge Fund)</t>
        </is>
      </c>
      <c r="J1903" t="inlineStr">
        <is>
          <t>AUD</t>
        </is>
      </c>
      <c r="K1903" s="5" t="inlineStr">
        <is>
          <t>01a152b9-6ee2-7577-bddd-382bc3853fde</t>
        </is>
      </c>
      <c r="M1903" t="inlineStr">
        <is>
          <t>UNKNOWN</t>
        </is>
      </c>
      <c r="N1903" t="inlineStr">
        <is>
          <t>DEFAULT</t>
        </is>
      </c>
      <c r="Q1903" t="n">
        <v>0</v>
      </c>
      <c r="R1903" t="inlineStr">
        <is>
          <t>AUD</t>
        </is>
      </c>
      <c r="S1903" t="n">
        <v>0</v>
      </c>
      <c r="T1903" t="inlineStr">
        <is>
          <t>AUD</t>
        </is>
      </c>
      <c r="U1903" t="n">
        <v>0</v>
      </c>
    </row>
    <row r="1904">
      <c r="A1904" s="5" t="inlineStr">
        <is>
          <t>01a152b9-8c5f-7779-97ea-3684fe2f34c7</t>
        </is>
      </c>
      <c r="C1904" s="5" t="inlineStr">
        <is>
          <t>01a152b9-6e67-75da-8adb-b03e5d07fd21</t>
        </is>
      </c>
      <c r="D1904" s="4" t="n">
        <v>46314.24599814875</v>
      </c>
      <c r="E1904" s="4" t="n">
        <v>46314.24599814888</v>
      </c>
      <c r="F1904" t="b">
        <v>1</v>
      </c>
      <c r="G1904" t="n">
        <v/>
      </c>
      <c r="H1904" t="inlineStr">
        <is>
          <t>AX8</t>
        </is>
      </c>
      <c r="I1904" t="inlineStr">
        <is>
          <t>Accelerate Resources Ltd</t>
        </is>
      </c>
      <c r="J1904" t="inlineStr">
        <is>
          <t>AUD</t>
        </is>
      </c>
      <c r="K1904" s="5" t="inlineStr">
        <is>
          <t>01a152b9-6ee2-7577-bddd-382bc3853fde</t>
        </is>
      </c>
      <c r="M1904" t="inlineStr">
        <is>
          <t>UNKNOWN</t>
        </is>
      </c>
      <c r="N1904" t="inlineStr">
        <is>
          <t>DEFAULT</t>
        </is>
      </c>
      <c r="Q1904" t="n">
        <v>0</v>
      </c>
      <c r="R1904" t="inlineStr">
        <is>
          <t>AUD</t>
        </is>
      </c>
      <c r="S1904" t="n">
        <v>0</v>
      </c>
      <c r="T1904" t="inlineStr">
        <is>
          <t>AUD</t>
        </is>
      </c>
      <c r="U1904" t="n">
        <v>0</v>
      </c>
    </row>
    <row r="1905">
      <c r="A1905" s="5" t="inlineStr">
        <is>
          <t>01a152b9-8c63-729f-8c19-468baa645e99</t>
        </is>
      </c>
      <c r="C1905" s="5" t="inlineStr">
        <is>
          <t>01a152b9-6e67-75da-8adb-b03e5d07fd21</t>
        </is>
      </c>
      <c r="D1905" s="4" t="n">
        <v>46314.24599819627</v>
      </c>
      <c r="E1905" s="4" t="n">
        <v>46314.24599819642</v>
      </c>
      <c r="F1905" t="b">
        <v>1</v>
      </c>
      <c r="G1905" t="n">
        <v/>
      </c>
      <c r="H1905" t="inlineStr">
        <is>
          <t>XGL</t>
        </is>
      </c>
      <c r="I1905" t="inlineStr">
        <is>
          <t>Xamble Group Ltd</t>
        </is>
      </c>
      <c r="J1905" t="inlineStr">
        <is>
          <t>AUD</t>
        </is>
      </c>
      <c r="K1905" s="5" t="inlineStr">
        <is>
          <t>01a152b9-6ee2-7577-bddd-382bc3853fde</t>
        </is>
      </c>
      <c r="M1905" t="inlineStr">
        <is>
          <t>UNKNOWN</t>
        </is>
      </c>
      <c r="N1905" t="inlineStr">
        <is>
          <t>DEFAULT</t>
        </is>
      </c>
      <c r="Q1905" t="n">
        <v>0</v>
      </c>
      <c r="R1905" t="inlineStr">
        <is>
          <t>AUD</t>
        </is>
      </c>
      <c r="S1905" t="n">
        <v>0</v>
      </c>
      <c r="T1905" t="inlineStr">
        <is>
          <t>AUD</t>
        </is>
      </c>
      <c r="U1905" t="n">
        <v>0</v>
      </c>
    </row>
    <row r="1906">
      <c r="A1906" s="5" t="inlineStr">
        <is>
          <t>01a152b9-8c68-7572-8d3c-c6839bc03657</t>
        </is>
      </c>
      <c r="C1906" s="5" t="inlineStr">
        <is>
          <t>01a152b9-6e67-75da-8adb-b03e5d07fd21</t>
        </is>
      </c>
      <c r="D1906" s="4" t="n">
        <v>46314.24599824702</v>
      </c>
      <c r="E1906" s="4" t="n">
        <v>46314.24599824712</v>
      </c>
      <c r="F1906" t="b">
        <v>1</v>
      </c>
      <c r="G1906" t="n">
        <v/>
      </c>
      <c r="H1906" t="inlineStr">
        <is>
          <t>AAU</t>
        </is>
      </c>
      <c r="I1906" t="inlineStr">
        <is>
          <t>Antilles Gold Ltd</t>
        </is>
      </c>
      <c r="J1906" t="inlineStr">
        <is>
          <t>AUD</t>
        </is>
      </c>
      <c r="K1906" s="5" t="inlineStr">
        <is>
          <t>01a152b9-6ee2-7577-bddd-382bc3853fde</t>
        </is>
      </c>
      <c r="M1906" t="inlineStr">
        <is>
          <t>UNKNOWN</t>
        </is>
      </c>
      <c r="N1906" t="inlineStr">
        <is>
          <t>DEFAULT</t>
        </is>
      </c>
      <c r="Q1906" t="n">
        <v>0</v>
      </c>
      <c r="R1906" t="inlineStr">
        <is>
          <t>AUD</t>
        </is>
      </c>
      <c r="S1906" t="n">
        <v>0</v>
      </c>
      <c r="T1906" t="inlineStr">
        <is>
          <t>AUD</t>
        </is>
      </c>
      <c r="U1906" t="n">
        <v>0</v>
      </c>
    </row>
    <row r="1907">
      <c r="A1907" s="5" t="inlineStr">
        <is>
          <t>01a152b9-8c6c-747d-ae2c-08b7b36c642e</t>
        </is>
      </c>
      <c r="C1907" s="5" t="inlineStr">
        <is>
          <t>01a152b9-6e67-75da-8adb-b03e5d07fd21</t>
        </is>
      </c>
      <c r="D1907" s="4" t="n">
        <v>46314.2459982933</v>
      </c>
      <c r="E1907" s="4" t="n">
        <v>46314.2459982934</v>
      </c>
      <c r="F1907" t="b">
        <v>1</v>
      </c>
      <c r="G1907" t="n">
        <v/>
      </c>
      <c r="H1907" t="inlineStr">
        <is>
          <t>TFL</t>
        </is>
      </c>
      <c r="I1907" t="inlineStr">
        <is>
          <t>Tasfoods Ltd</t>
        </is>
      </c>
      <c r="J1907" t="inlineStr">
        <is>
          <t>AUD</t>
        </is>
      </c>
      <c r="K1907" s="5" t="inlineStr">
        <is>
          <t>01a152b9-6ee2-7577-bddd-382bc3853fde</t>
        </is>
      </c>
      <c r="M1907" t="inlineStr">
        <is>
          <t>UNKNOWN</t>
        </is>
      </c>
      <c r="N1907" t="inlineStr">
        <is>
          <t>DEFAULT</t>
        </is>
      </c>
      <c r="Q1907" t="n">
        <v>0</v>
      </c>
      <c r="R1907" t="inlineStr">
        <is>
          <t>AUD</t>
        </is>
      </c>
      <c r="S1907" t="n">
        <v>0</v>
      </c>
      <c r="T1907" t="inlineStr">
        <is>
          <t>AUD</t>
        </is>
      </c>
      <c r="U1907" t="n">
        <v>0</v>
      </c>
    </row>
    <row r="1908">
      <c r="A1908" s="5" t="inlineStr">
        <is>
          <t>01a152b9-8c70-7017-8a65-dd9e0c8fab9e</t>
        </is>
      </c>
      <c r="C1908" s="5" t="inlineStr">
        <is>
          <t>01a152b9-6e67-75da-8adb-b03e5d07fd21</t>
        </is>
      </c>
      <c r="D1908" s="4" t="n">
        <v>46314.24599833662</v>
      </c>
      <c r="E1908" s="4" t="n">
        <v>46314.24599833672</v>
      </c>
      <c r="F1908" t="b">
        <v>1</v>
      </c>
      <c r="G1908" t="n">
        <v/>
      </c>
      <c r="H1908" t="inlineStr">
        <is>
          <t>MRI</t>
        </is>
      </c>
      <c r="I1908" t="inlineStr">
        <is>
          <t>My Rewards International Ltd</t>
        </is>
      </c>
      <c r="J1908" t="inlineStr">
        <is>
          <t>AUD</t>
        </is>
      </c>
      <c r="K1908" s="5" t="inlineStr">
        <is>
          <t>01a152b9-6ee2-7577-bddd-382bc3853fde</t>
        </is>
      </c>
      <c r="M1908" t="inlineStr">
        <is>
          <t>UNKNOWN</t>
        </is>
      </c>
      <c r="N1908" t="inlineStr">
        <is>
          <t>DEFAULT</t>
        </is>
      </c>
      <c r="Q1908" t="n">
        <v>0</v>
      </c>
      <c r="R1908" t="inlineStr">
        <is>
          <t>AUD</t>
        </is>
      </c>
      <c r="S1908" t="n">
        <v>0</v>
      </c>
      <c r="T1908" t="inlineStr">
        <is>
          <t>AUD</t>
        </is>
      </c>
      <c r="U1908" t="n">
        <v>0</v>
      </c>
    </row>
    <row r="1909">
      <c r="A1909" s="5" t="inlineStr">
        <is>
          <t>01a152b9-8c73-76c6-aaaa-90c5752bd71e</t>
        </is>
      </c>
      <c r="C1909" s="5" t="inlineStr">
        <is>
          <t>01a152b9-6e67-75da-8adb-b03e5d07fd21</t>
        </is>
      </c>
      <c r="D1909" s="4" t="n">
        <v>46314.24599837835</v>
      </c>
      <c r="E1909" s="4" t="n">
        <v>46314.24599837845</v>
      </c>
      <c r="F1909" t="b">
        <v>1</v>
      </c>
      <c r="G1909" t="n">
        <v/>
      </c>
      <c r="H1909" t="inlineStr">
        <is>
          <t>VSR</t>
        </is>
      </c>
      <c r="I1909" t="inlineStr">
        <is>
          <t>Voltaic Strategic Resources Ltd</t>
        </is>
      </c>
      <c r="J1909" t="inlineStr">
        <is>
          <t>AUD</t>
        </is>
      </c>
      <c r="K1909" s="5" t="inlineStr">
        <is>
          <t>01a152b9-6ee2-7577-bddd-382bc3853fde</t>
        </is>
      </c>
      <c r="M1909" t="inlineStr">
        <is>
          <t>UNKNOWN</t>
        </is>
      </c>
      <c r="N1909" t="inlineStr">
        <is>
          <t>DEFAULT</t>
        </is>
      </c>
      <c r="Q1909" t="n">
        <v>0</v>
      </c>
      <c r="R1909" t="inlineStr">
        <is>
          <t>AUD</t>
        </is>
      </c>
      <c r="S1909" t="n">
        <v>0</v>
      </c>
      <c r="T1909" t="inlineStr">
        <is>
          <t>AUD</t>
        </is>
      </c>
      <c r="U1909" t="n">
        <v>0</v>
      </c>
    </row>
    <row r="1910">
      <c r="A1910" s="5" t="inlineStr">
        <is>
          <t>01a152b9-8c77-77f7-9a06-fe939cd40f67</t>
        </is>
      </c>
      <c r="C1910" s="5" t="inlineStr">
        <is>
          <t>01a152b9-6e67-75da-8adb-b03e5d07fd21</t>
        </is>
      </c>
      <c r="D1910" s="4" t="n">
        <v>46314.24599842216</v>
      </c>
      <c r="E1910" s="4" t="n">
        <v>46314.24599842228</v>
      </c>
      <c r="F1910" t="b">
        <v>1</v>
      </c>
      <c r="G1910" t="n">
        <v/>
      </c>
      <c r="H1910" t="inlineStr">
        <is>
          <t>LHM</t>
        </is>
      </c>
      <c r="I1910" t="inlineStr">
        <is>
          <t>Land &amp; Homes Group Ltd</t>
        </is>
      </c>
      <c r="J1910" t="inlineStr">
        <is>
          <t>AUD</t>
        </is>
      </c>
      <c r="K1910" s="5" t="inlineStr">
        <is>
          <t>01a152b9-6ee2-7577-bddd-382bc3853fde</t>
        </is>
      </c>
      <c r="M1910" t="inlineStr">
        <is>
          <t>UNKNOWN</t>
        </is>
      </c>
      <c r="N1910" t="inlineStr">
        <is>
          <t>DEFAULT</t>
        </is>
      </c>
      <c r="Q1910" t="n">
        <v>0</v>
      </c>
      <c r="R1910" t="inlineStr">
        <is>
          <t>AUD</t>
        </is>
      </c>
      <c r="S1910" t="n">
        <v>0</v>
      </c>
      <c r="T1910" t="inlineStr">
        <is>
          <t>AUD</t>
        </is>
      </c>
      <c r="U1910" t="n">
        <v>0</v>
      </c>
    </row>
    <row r="1911">
      <c r="A1911" s="5" t="inlineStr">
        <is>
          <t>01a152b9-8c7b-74c4-b6fc-ab91b65e806e</t>
        </is>
      </c>
      <c r="C1911" s="5" t="inlineStr">
        <is>
          <t>01a152b9-6e67-75da-8adb-b03e5d07fd21</t>
        </is>
      </c>
      <c r="D1911" s="4" t="n">
        <v>46314.24599846882</v>
      </c>
      <c r="E1911" s="4" t="n">
        <v>46314.24599846893</v>
      </c>
      <c r="F1911" t="b">
        <v>1</v>
      </c>
      <c r="G1911" t="n">
        <v/>
      </c>
      <c r="H1911" t="inlineStr">
        <is>
          <t>UYLD</t>
        </is>
      </c>
      <c r="I1911" t="inlineStr">
        <is>
          <t>Global X S&amp;P 500 Covered Call ETF</t>
        </is>
      </c>
      <c r="J1911" t="inlineStr">
        <is>
          <t>AUD</t>
        </is>
      </c>
      <c r="K1911" s="5" t="inlineStr">
        <is>
          <t>01a152b9-6ee2-7577-bddd-382bc3853fde</t>
        </is>
      </c>
      <c r="M1911" t="inlineStr">
        <is>
          <t>UNKNOWN</t>
        </is>
      </c>
      <c r="N1911" t="inlineStr">
        <is>
          <t>DEFAULT</t>
        </is>
      </c>
      <c r="Q1911" t="n">
        <v>0</v>
      </c>
      <c r="R1911" t="inlineStr">
        <is>
          <t>AUD</t>
        </is>
      </c>
      <c r="S1911" t="n">
        <v>0</v>
      </c>
      <c r="T1911" t="inlineStr">
        <is>
          <t>AUD</t>
        </is>
      </c>
      <c r="U1911" t="n">
        <v>0</v>
      </c>
    </row>
    <row r="1912">
      <c r="A1912" s="5" t="inlineStr">
        <is>
          <t>01a152b9-8c7e-709d-a711-4eb475785a06</t>
        </is>
      </c>
      <c r="C1912" s="5" t="inlineStr">
        <is>
          <t>01a152b9-6e67-75da-8adb-b03e5d07fd21</t>
        </is>
      </c>
      <c r="D1912" s="4" t="n">
        <v>46314.24599850747</v>
      </c>
      <c r="E1912" s="4" t="n">
        <v>46314.24599850755</v>
      </c>
      <c r="F1912" t="b">
        <v>1</v>
      </c>
      <c r="G1912" t="n">
        <v/>
      </c>
      <c r="H1912" t="inlineStr">
        <is>
          <t>DVL</t>
        </is>
      </c>
      <c r="I1912" t="inlineStr">
        <is>
          <t>Dorsavi Ltd</t>
        </is>
      </c>
      <c r="J1912" t="inlineStr">
        <is>
          <t>AUD</t>
        </is>
      </c>
      <c r="K1912" s="5" t="inlineStr">
        <is>
          <t>01a152b9-6ee2-7577-bddd-382bc3853fde</t>
        </is>
      </c>
      <c r="M1912" t="inlineStr">
        <is>
          <t>UNKNOWN</t>
        </is>
      </c>
      <c r="N1912" t="inlineStr">
        <is>
          <t>DEFAULT</t>
        </is>
      </c>
      <c r="Q1912" t="n">
        <v>0</v>
      </c>
      <c r="R1912" t="inlineStr">
        <is>
          <t>AUD</t>
        </is>
      </c>
      <c r="S1912" t="n">
        <v>0</v>
      </c>
      <c r="T1912" t="inlineStr">
        <is>
          <t>AUD</t>
        </is>
      </c>
      <c r="U1912" t="n">
        <v>0</v>
      </c>
    </row>
    <row r="1913">
      <c r="A1913" s="5" t="inlineStr">
        <is>
          <t>01a152b9-8c82-758a-b19b-08de525f5e96</t>
        </is>
      </c>
      <c r="C1913" s="5" t="inlineStr">
        <is>
          <t>01a152b9-6e67-75da-8adb-b03e5d07fd21</t>
        </is>
      </c>
      <c r="D1913" s="4" t="n">
        <v>46314.24599854591</v>
      </c>
      <c r="E1913" s="4" t="n">
        <v>46314.24599854599</v>
      </c>
      <c r="F1913" t="b">
        <v>1</v>
      </c>
      <c r="G1913" t="n">
        <v/>
      </c>
      <c r="H1913" t="inlineStr">
        <is>
          <t>THB</t>
        </is>
      </c>
      <c r="I1913" t="inlineStr">
        <is>
          <t>Thunderbird Resources Ltd</t>
        </is>
      </c>
      <c r="J1913" t="inlineStr">
        <is>
          <t>AUD</t>
        </is>
      </c>
      <c r="K1913" s="5" t="inlineStr">
        <is>
          <t>01a152b9-6ee2-7577-bddd-382bc3853fde</t>
        </is>
      </c>
      <c r="M1913" t="inlineStr">
        <is>
          <t>UNKNOWN</t>
        </is>
      </c>
      <c r="N1913" t="inlineStr">
        <is>
          <t>DEFAULT</t>
        </is>
      </c>
      <c r="Q1913" t="n">
        <v>0</v>
      </c>
      <c r="R1913" t="inlineStr">
        <is>
          <t>AUD</t>
        </is>
      </c>
      <c r="S1913" t="n">
        <v>0</v>
      </c>
      <c r="T1913" t="inlineStr">
        <is>
          <t>AUD</t>
        </is>
      </c>
      <c r="U1913" t="n">
        <v>0</v>
      </c>
    </row>
    <row r="1914">
      <c r="A1914" s="5" t="inlineStr">
        <is>
          <t>01a152b9-8c85-7424-bbea-f0fa2f7b628d</t>
        </is>
      </c>
      <c r="C1914" s="5" t="inlineStr">
        <is>
          <t>01a152b9-6e67-75da-8adb-b03e5d07fd21</t>
        </is>
      </c>
      <c r="D1914" s="4" t="n">
        <v>46314.24599858304</v>
      </c>
      <c r="E1914" s="4" t="n">
        <v>46314.24599858312</v>
      </c>
      <c r="F1914" t="b">
        <v>1</v>
      </c>
      <c r="G1914" t="n">
        <v/>
      </c>
      <c r="H1914" t="inlineStr">
        <is>
          <t>RON</t>
        </is>
      </c>
      <c r="I1914" t="inlineStr">
        <is>
          <t>Ronin Resources Ltd</t>
        </is>
      </c>
      <c r="J1914" t="inlineStr">
        <is>
          <t>AUD</t>
        </is>
      </c>
      <c r="K1914" s="5" t="inlineStr">
        <is>
          <t>01a152b9-6ee2-7577-bddd-382bc3853fde</t>
        </is>
      </c>
      <c r="M1914" t="inlineStr">
        <is>
          <t>UNKNOWN</t>
        </is>
      </c>
      <c r="N1914" t="inlineStr">
        <is>
          <t>DEFAULT</t>
        </is>
      </c>
      <c r="Q1914" t="n">
        <v>0</v>
      </c>
      <c r="R1914" t="inlineStr">
        <is>
          <t>AUD</t>
        </is>
      </c>
      <c r="S1914" t="n">
        <v>0</v>
      </c>
      <c r="T1914" t="inlineStr">
        <is>
          <t>AUD</t>
        </is>
      </c>
      <c r="U1914" t="n">
        <v>0</v>
      </c>
    </row>
    <row r="1915">
      <c r="A1915" s="5" t="inlineStr">
        <is>
          <t>01a152b9-8c88-754e-be37-ea60daf5bd9b</t>
        </is>
      </c>
      <c r="C1915" s="5" t="inlineStr">
        <is>
          <t>01a152b9-6e67-75da-8adb-b03e5d07fd21</t>
        </is>
      </c>
      <c r="D1915" s="4" t="n">
        <v>46314.2459986199</v>
      </c>
      <c r="E1915" s="4" t="n">
        <v>46314.24599862</v>
      </c>
      <c r="F1915" t="b">
        <v>1</v>
      </c>
      <c r="G1915" t="n">
        <v/>
      </c>
      <c r="H1915" t="inlineStr">
        <is>
          <t>PVT</t>
        </is>
      </c>
      <c r="I1915" t="inlineStr">
        <is>
          <t>Pivotal Metals Ltd</t>
        </is>
      </c>
      <c r="J1915" t="inlineStr">
        <is>
          <t>AUD</t>
        </is>
      </c>
      <c r="K1915" s="5" t="inlineStr">
        <is>
          <t>01a152b9-6ee2-7577-bddd-382bc3853fde</t>
        </is>
      </c>
      <c r="M1915" t="inlineStr">
        <is>
          <t>UNKNOWN</t>
        </is>
      </c>
      <c r="N1915" t="inlineStr">
        <is>
          <t>DEFAULT</t>
        </is>
      </c>
      <c r="Q1915" t="n">
        <v>0</v>
      </c>
      <c r="R1915" t="inlineStr">
        <is>
          <t>AUD</t>
        </is>
      </c>
      <c r="S1915" t="n">
        <v>0</v>
      </c>
      <c r="T1915" t="inlineStr">
        <is>
          <t>AUD</t>
        </is>
      </c>
      <c r="U1915" t="n">
        <v>0</v>
      </c>
    </row>
    <row r="1916">
      <c r="A1916" s="5" t="inlineStr">
        <is>
          <t>01a152b9-8c8b-7012-8bd3-5539c49d43b1</t>
        </is>
      </c>
      <c r="C1916" s="5" t="inlineStr">
        <is>
          <t>01a152b9-6e67-75da-8adb-b03e5d07fd21</t>
        </is>
      </c>
      <c r="D1916" s="4" t="n">
        <v>46314.24599865882</v>
      </c>
      <c r="E1916" s="4" t="n">
        <v>46314.24599865892</v>
      </c>
      <c r="F1916" t="b">
        <v>1</v>
      </c>
      <c r="G1916" t="n">
        <v/>
      </c>
      <c r="H1916" t="inlineStr">
        <is>
          <t>GLL</t>
        </is>
      </c>
      <c r="I1916" t="inlineStr">
        <is>
          <t>Galilee Energy Ltd</t>
        </is>
      </c>
      <c r="J1916" t="inlineStr">
        <is>
          <t>AUD</t>
        </is>
      </c>
      <c r="K1916" s="5" t="inlineStr">
        <is>
          <t>01a152b9-6ee2-7577-bddd-382bc3853fde</t>
        </is>
      </c>
      <c r="M1916" t="inlineStr">
        <is>
          <t>UNKNOWN</t>
        </is>
      </c>
      <c r="N1916" t="inlineStr">
        <is>
          <t>DEFAULT</t>
        </is>
      </c>
      <c r="Q1916" t="n">
        <v>0</v>
      </c>
      <c r="R1916" t="inlineStr">
        <is>
          <t>AUD</t>
        </is>
      </c>
      <c r="S1916" t="n">
        <v>0</v>
      </c>
      <c r="T1916" t="inlineStr">
        <is>
          <t>AUD</t>
        </is>
      </c>
      <c r="U1916" t="n">
        <v>0</v>
      </c>
    </row>
    <row r="1917">
      <c r="A1917" s="5" t="inlineStr">
        <is>
          <t>01a152b9-8c8f-7268-9336-e0ebe4a96617</t>
        </is>
      </c>
      <c r="C1917" s="5" t="inlineStr">
        <is>
          <t>01a152b9-6e67-75da-8adb-b03e5d07fd21</t>
        </is>
      </c>
      <c r="D1917" s="4" t="n">
        <v>46314.24599869779</v>
      </c>
      <c r="E1917" s="4" t="n">
        <v>46314.24599869793</v>
      </c>
      <c r="F1917" t="b">
        <v>1</v>
      </c>
      <c r="G1917" t="n">
        <v/>
      </c>
      <c r="H1917" t="inlineStr">
        <is>
          <t>TMX</t>
        </is>
      </c>
      <c r="I1917" t="inlineStr">
        <is>
          <t>Terrain Minerals Ltd</t>
        </is>
      </c>
      <c r="J1917" t="inlineStr">
        <is>
          <t>AUD</t>
        </is>
      </c>
      <c r="K1917" s="5" t="inlineStr">
        <is>
          <t>01a152b9-6ee2-7577-bddd-382bc3853fde</t>
        </is>
      </c>
      <c r="M1917" t="inlineStr">
        <is>
          <t>UNKNOWN</t>
        </is>
      </c>
      <c r="N1917" t="inlineStr">
        <is>
          <t>DEFAULT</t>
        </is>
      </c>
      <c r="Q1917" t="n">
        <v>0</v>
      </c>
      <c r="R1917" t="inlineStr">
        <is>
          <t>AUD</t>
        </is>
      </c>
      <c r="S1917" t="n">
        <v>0</v>
      </c>
      <c r="T1917" t="inlineStr">
        <is>
          <t>AUD</t>
        </is>
      </c>
      <c r="U1917" t="n">
        <v>0</v>
      </c>
    </row>
    <row r="1918">
      <c r="A1918" s="5" t="inlineStr">
        <is>
          <t>01a152b9-8c93-720a-8771-7cb9a26d84cd</t>
        </is>
      </c>
      <c r="C1918" s="5" t="inlineStr">
        <is>
          <t>01a152b9-6e67-75da-8adb-b03e5d07fd21</t>
        </is>
      </c>
      <c r="D1918" s="4" t="n">
        <v>46314.24599874866</v>
      </c>
      <c r="E1918" s="4" t="n">
        <v>46314.2459987488</v>
      </c>
      <c r="F1918" t="b">
        <v>1</v>
      </c>
      <c r="G1918" t="n">
        <v/>
      </c>
      <c r="H1918" t="inlineStr">
        <is>
          <t>IVG</t>
        </is>
      </c>
      <c r="I1918" t="inlineStr">
        <is>
          <t>Invert Graphite Ltd</t>
        </is>
      </c>
      <c r="J1918" t="inlineStr">
        <is>
          <t>AUD</t>
        </is>
      </c>
      <c r="K1918" s="5" t="inlineStr">
        <is>
          <t>01a152b9-6ee2-7577-bddd-382bc3853fde</t>
        </is>
      </c>
      <c r="M1918" t="inlineStr">
        <is>
          <t>UNKNOWN</t>
        </is>
      </c>
      <c r="N1918" t="inlineStr">
        <is>
          <t>DEFAULT</t>
        </is>
      </c>
      <c r="Q1918" t="n">
        <v>0</v>
      </c>
      <c r="R1918" t="inlineStr">
        <is>
          <t>AUD</t>
        </is>
      </c>
      <c r="S1918" t="n">
        <v>0</v>
      </c>
      <c r="T1918" t="inlineStr">
        <is>
          <t>AUD</t>
        </is>
      </c>
      <c r="U1918" t="n">
        <v>0</v>
      </c>
    </row>
    <row r="1919">
      <c r="A1919" s="5" t="inlineStr">
        <is>
          <t>01a152b9-8c97-7498-b17f-109093507791</t>
        </is>
      </c>
      <c r="C1919" s="5" t="inlineStr">
        <is>
          <t>01a152b9-6e67-75da-8adb-b03e5d07fd21</t>
        </is>
      </c>
      <c r="D1919" s="4" t="n">
        <v>46314.24599879135</v>
      </c>
      <c r="E1919" s="4" t="n">
        <v>46314.24599879146</v>
      </c>
      <c r="F1919" t="b">
        <v>1</v>
      </c>
      <c r="G1919" t="n">
        <v/>
      </c>
      <c r="H1919" t="inlineStr">
        <is>
          <t>ROC</t>
        </is>
      </c>
      <c r="I1919" t="inlineStr">
        <is>
          <t>Rocketboots Ltd</t>
        </is>
      </c>
      <c r="J1919" t="inlineStr">
        <is>
          <t>AUD</t>
        </is>
      </c>
      <c r="K1919" s="5" t="inlineStr">
        <is>
          <t>01a152b9-6ee2-7577-bddd-382bc3853fde</t>
        </is>
      </c>
      <c r="M1919" t="inlineStr">
        <is>
          <t>UNKNOWN</t>
        </is>
      </c>
      <c r="N1919" t="inlineStr">
        <is>
          <t>DEFAULT</t>
        </is>
      </c>
      <c r="Q1919" t="n">
        <v>0</v>
      </c>
      <c r="R1919" t="inlineStr">
        <is>
          <t>AUD</t>
        </is>
      </c>
      <c r="S1919" t="n">
        <v>0</v>
      </c>
      <c r="T1919" t="inlineStr">
        <is>
          <t>AUD</t>
        </is>
      </c>
      <c r="U1919" t="n">
        <v>0</v>
      </c>
    </row>
    <row r="1920">
      <c r="A1920" s="5" t="inlineStr">
        <is>
          <t>01a152b9-8c9b-7705-ab4a-e98beaa1dc28</t>
        </is>
      </c>
      <c r="C1920" s="5" t="inlineStr">
        <is>
          <t>01a152b9-6e67-75da-8adb-b03e5d07fd21</t>
        </is>
      </c>
      <c r="D1920" s="4" t="n">
        <v>46314.24599883331</v>
      </c>
      <c r="E1920" s="4" t="n">
        <v>46314.24599883342</v>
      </c>
      <c r="F1920" t="b">
        <v>1</v>
      </c>
      <c r="G1920" t="n">
        <v/>
      </c>
      <c r="H1920" t="inlineStr">
        <is>
          <t>WEC</t>
        </is>
      </c>
      <c r="I1920" t="inlineStr">
        <is>
          <t>White Energy Company Ltd</t>
        </is>
      </c>
      <c r="J1920" t="inlineStr">
        <is>
          <t>AUD</t>
        </is>
      </c>
      <c r="K1920" s="5" t="inlineStr">
        <is>
          <t>01a152b9-6ee2-7577-bddd-382bc3853fde</t>
        </is>
      </c>
      <c r="M1920" t="inlineStr">
        <is>
          <t>UNKNOWN</t>
        </is>
      </c>
      <c r="N1920" t="inlineStr">
        <is>
          <t>DEFAULT</t>
        </is>
      </c>
      <c r="Q1920" t="n">
        <v>0</v>
      </c>
      <c r="R1920" t="inlineStr">
        <is>
          <t>AUD</t>
        </is>
      </c>
      <c r="S1920" t="n">
        <v>0</v>
      </c>
      <c r="T1920" t="inlineStr">
        <is>
          <t>AUD</t>
        </is>
      </c>
      <c r="U1920" t="n">
        <v>0</v>
      </c>
    </row>
    <row r="1921">
      <c r="A1921" s="5" t="inlineStr">
        <is>
          <t>01a152b9-8c9e-73eb-a66a-a045ea8e6578</t>
        </is>
      </c>
      <c r="C1921" s="5" t="inlineStr">
        <is>
          <t>01a152b9-6e67-75da-8adb-b03e5d07fd21</t>
        </is>
      </c>
      <c r="D1921" s="4" t="n">
        <v>46314.24599886911</v>
      </c>
      <c r="E1921" s="4" t="n">
        <v>46314.2459988692</v>
      </c>
      <c r="F1921" t="b">
        <v>1</v>
      </c>
      <c r="G1921" t="n">
        <v/>
      </c>
      <c r="H1921" t="inlineStr">
        <is>
          <t>BCA</t>
        </is>
      </c>
      <c r="I1921" t="inlineStr">
        <is>
          <t>Black Canyon Ltd</t>
        </is>
      </c>
      <c r="J1921" t="inlineStr">
        <is>
          <t>AUD</t>
        </is>
      </c>
      <c r="K1921" s="5" t="inlineStr">
        <is>
          <t>01a152b9-6ee2-7577-bddd-382bc3853fde</t>
        </is>
      </c>
      <c r="M1921" t="inlineStr">
        <is>
          <t>UNKNOWN</t>
        </is>
      </c>
      <c r="N1921" t="inlineStr">
        <is>
          <t>DEFAULT</t>
        </is>
      </c>
      <c r="Q1921" t="n">
        <v>0</v>
      </c>
      <c r="R1921" t="inlineStr">
        <is>
          <t>AUD</t>
        </is>
      </c>
      <c r="S1921" t="n">
        <v>0</v>
      </c>
      <c r="T1921" t="inlineStr">
        <is>
          <t>AUD</t>
        </is>
      </c>
      <c r="U1921" t="n">
        <v>0</v>
      </c>
    </row>
    <row r="1922">
      <c r="A1922" s="5" t="inlineStr">
        <is>
          <t>01a152b9-8ca1-75a6-b28b-b09f8fc13844</t>
        </is>
      </c>
      <c r="C1922" s="5" t="inlineStr">
        <is>
          <t>01a152b9-6e67-75da-8adb-b03e5d07fd21</t>
        </is>
      </c>
      <c r="D1922" s="4" t="n">
        <v>46314.24599890463</v>
      </c>
      <c r="E1922" s="4" t="n">
        <v>46314.24599890472</v>
      </c>
      <c r="F1922" t="b">
        <v>1</v>
      </c>
      <c r="G1922" t="n">
        <v/>
      </c>
      <c r="H1922" t="inlineStr">
        <is>
          <t>SIV</t>
        </is>
      </c>
      <c r="I1922" t="inlineStr">
        <is>
          <t>SIV Capital Ltd</t>
        </is>
      </c>
      <c r="J1922" t="inlineStr">
        <is>
          <t>AUD</t>
        </is>
      </c>
      <c r="K1922" s="5" t="inlineStr">
        <is>
          <t>01a152b9-6ee2-7577-bddd-382bc3853fde</t>
        </is>
      </c>
      <c r="M1922" t="inlineStr">
        <is>
          <t>UNKNOWN</t>
        </is>
      </c>
      <c r="N1922" t="inlineStr">
        <is>
          <t>DEFAULT</t>
        </is>
      </c>
      <c r="Q1922" t="n">
        <v>0</v>
      </c>
      <c r="R1922" t="inlineStr">
        <is>
          <t>AUD</t>
        </is>
      </c>
      <c r="S1922" t="n">
        <v>0</v>
      </c>
      <c r="T1922" t="inlineStr">
        <is>
          <t>AUD</t>
        </is>
      </c>
      <c r="U1922" t="n">
        <v>0</v>
      </c>
    </row>
    <row r="1923">
      <c r="A1923" s="5" t="inlineStr">
        <is>
          <t>01a152b9-8ca4-74aa-8445-9ec14db15d36</t>
        </is>
      </c>
      <c r="C1923" s="5" t="inlineStr">
        <is>
          <t>01a152b9-6e67-75da-8adb-b03e5d07fd21</t>
        </is>
      </c>
      <c r="D1923" s="4" t="n">
        <v>46314.24599893911</v>
      </c>
      <c r="E1923" s="4" t="n">
        <v>46314.2459989392</v>
      </c>
      <c r="F1923" t="b">
        <v>1</v>
      </c>
      <c r="G1923" t="n">
        <v/>
      </c>
      <c r="H1923" t="inlineStr">
        <is>
          <t>PO3</t>
        </is>
      </c>
      <c r="I1923" t="inlineStr">
        <is>
          <t>Purifloh Ltd</t>
        </is>
      </c>
      <c r="J1923" t="inlineStr">
        <is>
          <t>AUD</t>
        </is>
      </c>
      <c r="K1923" s="5" t="inlineStr">
        <is>
          <t>01a152b9-6ee2-7577-bddd-382bc3853fde</t>
        </is>
      </c>
      <c r="M1923" t="inlineStr">
        <is>
          <t>UNKNOWN</t>
        </is>
      </c>
      <c r="N1923" t="inlineStr">
        <is>
          <t>DEFAULT</t>
        </is>
      </c>
      <c r="Q1923" t="n">
        <v>0</v>
      </c>
      <c r="R1923" t="inlineStr">
        <is>
          <t>AUD</t>
        </is>
      </c>
      <c r="S1923" t="n">
        <v>0</v>
      </c>
      <c r="T1923" t="inlineStr">
        <is>
          <t>AUD</t>
        </is>
      </c>
      <c r="U1923" t="n">
        <v>0</v>
      </c>
    </row>
    <row r="1924">
      <c r="A1924" s="5" t="inlineStr">
        <is>
          <t>01a152b9-8ca7-7214-8fe1-45beb647da10</t>
        </is>
      </c>
      <c r="C1924" s="5" t="inlineStr">
        <is>
          <t>01a152b9-6e67-75da-8adb-b03e5d07fd21</t>
        </is>
      </c>
      <c r="D1924" s="4" t="n">
        <v>46314.24599897692</v>
      </c>
      <c r="E1924" s="4" t="n">
        <v>46314.24599897701</v>
      </c>
      <c r="F1924" t="b">
        <v>1</v>
      </c>
      <c r="G1924" t="n">
        <v/>
      </c>
      <c r="H1924" t="inlineStr">
        <is>
          <t>LU7</t>
        </is>
      </c>
      <c r="I1924" t="inlineStr">
        <is>
          <t>Lithium Universe Ltd</t>
        </is>
      </c>
      <c r="J1924" t="inlineStr">
        <is>
          <t>AUD</t>
        </is>
      </c>
      <c r="K1924" s="5" t="inlineStr">
        <is>
          <t>01a152b9-6ee2-7577-bddd-382bc3853fde</t>
        </is>
      </c>
      <c r="M1924" t="inlineStr">
        <is>
          <t>UNKNOWN</t>
        </is>
      </c>
      <c r="N1924" t="inlineStr">
        <is>
          <t>DEFAULT</t>
        </is>
      </c>
      <c r="Q1924" t="n">
        <v>0</v>
      </c>
      <c r="R1924" t="inlineStr">
        <is>
          <t>AUD</t>
        </is>
      </c>
      <c r="S1924" t="n">
        <v>0</v>
      </c>
      <c r="T1924" t="inlineStr">
        <is>
          <t>AUD</t>
        </is>
      </c>
      <c r="U1924" t="n">
        <v>0</v>
      </c>
    </row>
    <row r="1925">
      <c r="A1925" s="5" t="inlineStr">
        <is>
          <t>01a152b9-8cab-769f-a6a8-c807040fa263</t>
        </is>
      </c>
      <c r="C1925" s="5" t="inlineStr">
        <is>
          <t>01a152b9-6e67-75da-8adb-b03e5d07fd21</t>
        </is>
      </c>
      <c r="D1925" s="4" t="n">
        <v>46314.2459990206</v>
      </c>
      <c r="E1925" s="4" t="n">
        <v>46314.24599902069</v>
      </c>
      <c r="F1925" t="b">
        <v>1</v>
      </c>
      <c r="G1925" t="n">
        <v/>
      </c>
      <c r="H1925" t="inlineStr">
        <is>
          <t>D3E</t>
        </is>
      </c>
      <c r="I1925" t="inlineStr">
        <is>
          <t>D3 Energy Ltd</t>
        </is>
      </c>
      <c r="J1925" t="inlineStr">
        <is>
          <t>AUD</t>
        </is>
      </c>
      <c r="K1925" s="5" t="inlineStr">
        <is>
          <t>01a152b9-6ee2-7577-bddd-382bc3853fde</t>
        </is>
      </c>
      <c r="M1925" t="inlineStr">
        <is>
          <t>UNKNOWN</t>
        </is>
      </c>
      <c r="N1925" t="inlineStr">
        <is>
          <t>DEFAULT</t>
        </is>
      </c>
      <c r="Q1925" t="n">
        <v>0</v>
      </c>
      <c r="R1925" t="inlineStr">
        <is>
          <t>AUD</t>
        </is>
      </c>
      <c r="S1925" t="n">
        <v>0</v>
      </c>
      <c r="T1925" t="inlineStr">
        <is>
          <t>AUD</t>
        </is>
      </c>
      <c r="U1925" t="n">
        <v>0</v>
      </c>
    </row>
    <row r="1926">
      <c r="A1926" s="5" t="inlineStr">
        <is>
          <t>01a152b9-8cae-77ba-a183-da92decb8b20</t>
        </is>
      </c>
      <c r="C1926" s="5" t="inlineStr">
        <is>
          <t>01a152b9-6e67-75da-8adb-b03e5d07fd21</t>
        </is>
      </c>
      <c r="D1926" s="4" t="n">
        <v>46314.24599905632</v>
      </c>
      <c r="E1926" s="4" t="n">
        <v>46314.24599905641</v>
      </c>
      <c r="F1926" t="b">
        <v>1</v>
      </c>
      <c r="G1926" t="n">
        <v/>
      </c>
      <c r="H1926" t="inlineStr">
        <is>
          <t>TAR</t>
        </is>
      </c>
      <c r="I1926" t="inlineStr">
        <is>
          <t>Taruga Minerals Ltd</t>
        </is>
      </c>
      <c r="J1926" t="inlineStr">
        <is>
          <t>AUD</t>
        </is>
      </c>
      <c r="K1926" s="5" t="inlineStr">
        <is>
          <t>01a152b9-6ee2-7577-bddd-382bc3853fde</t>
        </is>
      </c>
      <c r="M1926" t="inlineStr">
        <is>
          <t>UNKNOWN</t>
        </is>
      </c>
      <c r="N1926" t="inlineStr">
        <is>
          <t>DEFAULT</t>
        </is>
      </c>
      <c r="Q1926" t="n">
        <v>0</v>
      </c>
      <c r="R1926" t="inlineStr">
        <is>
          <t>AUD</t>
        </is>
      </c>
      <c r="S1926" t="n">
        <v>0</v>
      </c>
      <c r="T1926" t="inlineStr">
        <is>
          <t>AUD</t>
        </is>
      </c>
      <c r="U1926" t="n">
        <v>0</v>
      </c>
    </row>
    <row r="1927">
      <c r="A1927" s="5" t="inlineStr">
        <is>
          <t>01a152b9-8cb1-70a0-bce0-2152cc7fdba1</t>
        </is>
      </c>
      <c r="C1927" s="5" t="inlineStr">
        <is>
          <t>01a152b9-6e67-75da-8adb-b03e5d07fd21</t>
        </is>
      </c>
      <c r="D1927" s="4" t="n">
        <v>46314.24599909477</v>
      </c>
      <c r="E1927" s="4" t="n">
        <v>46314.24599909486</v>
      </c>
      <c r="F1927" t="b">
        <v>1</v>
      </c>
      <c r="G1927" t="n">
        <v/>
      </c>
      <c r="H1927" t="inlineStr">
        <is>
          <t>BUS</t>
        </is>
      </c>
      <c r="I1927" t="inlineStr">
        <is>
          <t>Bubalus Resources Ltd</t>
        </is>
      </c>
      <c r="J1927" t="inlineStr">
        <is>
          <t>AUD</t>
        </is>
      </c>
      <c r="K1927" s="5" t="inlineStr">
        <is>
          <t>01a152b9-6ee2-7577-bddd-382bc3853fde</t>
        </is>
      </c>
      <c r="M1927" t="inlineStr">
        <is>
          <t>UNKNOWN</t>
        </is>
      </c>
      <c r="N1927" t="inlineStr">
        <is>
          <t>DEFAULT</t>
        </is>
      </c>
      <c r="Q1927" t="n">
        <v>0</v>
      </c>
      <c r="R1927" t="inlineStr">
        <is>
          <t>AUD</t>
        </is>
      </c>
      <c r="S1927" t="n">
        <v>0</v>
      </c>
      <c r="T1927" t="inlineStr">
        <is>
          <t>AUD</t>
        </is>
      </c>
      <c r="U1927" t="n">
        <v>0</v>
      </c>
    </row>
    <row r="1928">
      <c r="A1928" s="5" t="inlineStr">
        <is>
          <t>01a152b9-8cb5-7122-8d56-c0539f1734b9</t>
        </is>
      </c>
      <c r="C1928" s="5" t="inlineStr">
        <is>
          <t>01a152b9-6e67-75da-8adb-b03e5d07fd21</t>
        </is>
      </c>
      <c r="D1928" s="4" t="n">
        <v>46314.24599913391</v>
      </c>
      <c r="E1928" s="4" t="n">
        <v>46314.24599913404</v>
      </c>
      <c r="F1928" t="b">
        <v>1</v>
      </c>
      <c r="G1928" t="n">
        <v/>
      </c>
      <c r="H1928" t="inlineStr">
        <is>
          <t>AD1</t>
        </is>
      </c>
      <c r="I1928" t="inlineStr">
        <is>
          <t>Adneo Ltd</t>
        </is>
      </c>
      <c r="J1928" t="inlineStr">
        <is>
          <t>AUD</t>
        </is>
      </c>
      <c r="K1928" s="5" t="inlineStr">
        <is>
          <t>01a152b9-6ee2-7577-bddd-382bc3853fde</t>
        </is>
      </c>
      <c r="M1928" t="inlineStr">
        <is>
          <t>UNKNOWN</t>
        </is>
      </c>
      <c r="N1928" t="inlineStr">
        <is>
          <t>DEFAULT</t>
        </is>
      </c>
      <c r="Q1928" t="n">
        <v>0</v>
      </c>
      <c r="R1928" t="inlineStr">
        <is>
          <t>AUD</t>
        </is>
      </c>
      <c r="S1928" t="n">
        <v>0</v>
      </c>
      <c r="T1928" t="inlineStr">
        <is>
          <t>AUD</t>
        </is>
      </c>
      <c r="U1928" t="n">
        <v>0</v>
      </c>
    </row>
    <row r="1929">
      <c r="A1929" s="5" t="inlineStr">
        <is>
          <t>01a152b9-8cb9-77a7-9fc5-73c377d62799</t>
        </is>
      </c>
      <c r="C1929" s="5" t="inlineStr">
        <is>
          <t>01a152b9-6e67-75da-8adb-b03e5d07fd21</t>
        </is>
      </c>
      <c r="D1929" s="4" t="n">
        <v>46314.24599918327</v>
      </c>
      <c r="E1929" s="4" t="n">
        <v>46314.24599918337</v>
      </c>
      <c r="F1929" t="b">
        <v>1</v>
      </c>
      <c r="G1929" t="n">
        <v/>
      </c>
      <c r="H1929" t="inlineStr">
        <is>
          <t>KNM</t>
        </is>
      </c>
      <c r="I1929" t="inlineStr">
        <is>
          <t>Kneomedia Ltd</t>
        </is>
      </c>
      <c r="J1929" t="inlineStr">
        <is>
          <t>AUD</t>
        </is>
      </c>
      <c r="K1929" s="5" t="inlineStr">
        <is>
          <t>01a152b9-6ee2-7577-bddd-382bc3853fde</t>
        </is>
      </c>
      <c r="M1929" t="inlineStr">
        <is>
          <t>UNKNOWN</t>
        </is>
      </c>
      <c r="N1929" t="inlineStr">
        <is>
          <t>DEFAULT</t>
        </is>
      </c>
      <c r="Q1929" t="n">
        <v>0</v>
      </c>
      <c r="R1929" t="inlineStr">
        <is>
          <t>AUD</t>
        </is>
      </c>
      <c r="S1929" t="n">
        <v>0</v>
      </c>
      <c r="T1929" t="inlineStr">
        <is>
          <t>AUD</t>
        </is>
      </c>
      <c r="U1929" t="n">
        <v>0</v>
      </c>
    </row>
    <row r="1930">
      <c r="A1930" s="5" t="inlineStr">
        <is>
          <t>01a152b9-8cbd-72fc-ad7e-df011788af62</t>
        </is>
      </c>
      <c r="C1930" s="5" t="inlineStr">
        <is>
          <t>01a152b9-6e67-75da-8adb-b03e5d07fd21</t>
        </is>
      </c>
      <c r="D1930" s="4" t="n">
        <v>46314.24599923271</v>
      </c>
      <c r="E1930" s="4" t="n">
        <v>46314.24599923282</v>
      </c>
      <c r="F1930" t="b">
        <v>1</v>
      </c>
      <c r="G1930" t="n">
        <v/>
      </c>
      <c r="H1930" t="inlineStr">
        <is>
          <t>NRX</t>
        </is>
      </c>
      <c r="I1930" t="inlineStr">
        <is>
          <t>Noronex Ltd</t>
        </is>
      </c>
      <c r="J1930" t="inlineStr">
        <is>
          <t>AUD</t>
        </is>
      </c>
      <c r="K1930" s="5" t="inlineStr">
        <is>
          <t>01a152b9-6ee2-7577-bddd-382bc3853fde</t>
        </is>
      </c>
      <c r="M1930" t="inlineStr">
        <is>
          <t>UNKNOWN</t>
        </is>
      </c>
      <c r="N1930" t="inlineStr">
        <is>
          <t>DEFAULT</t>
        </is>
      </c>
      <c r="Q1930" t="n">
        <v>0</v>
      </c>
      <c r="R1930" t="inlineStr">
        <is>
          <t>AUD</t>
        </is>
      </c>
      <c r="S1930" t="n">
        <v>0</v>
      </c>
      <c r="T1930" t="inlineStr">
        <is>
          <t>AUD</t>
        </is>
      </c>
      <c r="U1930" t="n">
        <v>0</v>
      </c>
    </row>
    <row r="1931">
      <c r="A1931" s="5" t="inlineStr">
        <is>
          <t>01a152b9-8cc1-7522-baee-a77336183c8a</t>
        </is>
      </c>
      <c r="C1931" s="5" t="inlineStr">
        <is>
          <t>01a152b9-6e67-75da-8adb-b03e5d07fd21</t>
        </is>
      </c>
      <c r="D1931" s="4" t="n">
        <v>46314.24599927992</v>
      </c>
      <c r="E1931" s="4" t="n">
        <v>46314.24599928004</v>
      </c>
      <c r="F1931" t="b">
        <v>1</v>
      </c>
      <c r="G1931" t="n">
        <v/>
      </c>
      <c r="H1931" t="inlineStr">
        <is>
          <t>C29</t>
        </is>
      </c>
      <c r="I1931" t="inlineStr">
        <is>
          <t>C29 Metals Ltd</t>
        </is>
      </c>
      <c r="J1931" t="inlineStr">
        <is>
          <t>AUD</t>
        </is>
      </c>
      <c r="K1931" s="5" t="inlineStr">
        <is>
          <t>01a152b9-6ee2-7577-bddd-382bc3853fde</t>
        </is>
      </c>
      <c r="M1931" t="inlineStr">
        <is>
          <t>UNKNOWN</t>
        </is>
      </c>
      <c r="N1931" t="inlineStr">
        <is>
          <t>DEFAULT</t>
        </is>
      </c>
      <c r="Q1931" t="n">
        <v>0</v>
      </c>
      <c r="R1931" t="inlineStr">
        <is>
          <t>AUD</t>
        </is>
      </c>
      <c r="S1931" t="n">
        <v>0</v>
      </c>
      <c r="T1931" t="inlineStr">
        <is>
          <t>AUD</t>
        </is>
      </c>
      <c r="U1931" t="n">
        <v>0</v>
      </c>
    </row>
    <row r="1932">
      <c r="A1932" s="5" t="inlineStr">
        <is>
          <t>01a152b9-8cc6-7299-b499-256b898daf33</t>
        </is>
      </c>
      <c r="C1932" s="5" t="inlineStr">
        <is>
          <t>01a152b9-6e67-75da-8adb-b03e5d07fd21</t>
        </is>
      </c>
      <c r="D1932" s="4" t="n">
        <v>46314.245999331</v>
      </c>
      <c r="E1932" s="4" t="n">
        <v>46314.24599933113</v>
      </c>
      <c r="F1932" t="b">
        <v>1</v>
      </c>
      <c r="G1932" t="n">
        <v/>
      </c>
      <c r="H1932" t="inlineStr">
        <is>
          <t>TOY</t>
        </is>
      </c>
      <c r="I1932" t="inlineStr">
        <is>
          <t>Toys'R'US ANZ Ltd</t>
        </is>
      </c>
      <c r="J1932" t="inlineStr">
        <is>
          <t>AUD</t>
        </is>
      </c>
      <c r="K1932" s="5" t="inlineStr">
        <is>
          <t>01a152b9-6ee2-7577-bddd-382bc3853fde</t>
        </is>
      </c>
      <c r="M1932" t="inlineStr">
        <is>
          <t>UNKNOWN</t>
        </is>
      </c>
      <c r="N1932" t="inlineStr">
        <is>
          <t>DEFAULT</t>
        </is>
      </c>
      <c r="Q1932" t="n">
        <v>0</v>
      </c>
      <c r="R1932" t="inlineStr">
        <is>
          <t>AUD</t>
        </is>
      </c>
      <c r="S1932" t="n">
        <v>0</v>
      </c>
      <c r="T1932" t="inlineStr">
        <is>
          <t>AUD</t>
        </is>
      </c>
      <c r="U1932" t="n">
        <v>0</v>
      </c>
    </row>
    <row r="1933">
      <c r="A1933" s="5" t="inlineStr">
        <is>
          <t>01a152b9-8cca-71dd-b032-a4176399d80d</t>
        </is>
      </c>
      <c r="C1933" s="5" t="inlineStr">
        <is>
          <t>01a152b9-6e67-75da-8adb-b03e5d07fd21</t>
        </is>
      </c>
      <c r="D1933" s="4" t="n">
        <v>46314.2459993806</v>
      </c>
      <c r="E1933" s="4" t="n">
        <v>46314.24599938071</v>
      </c>
      <c r="F1933" t="b">
        <v>1</v>
      </c>
      <c r="G1933" t="n">
        <v/>
      </c>
      <c r="H1933" t="inlineStr">
        <is>
          <t>ASR</t>
        </is>
      </c>
      <c r="I1933" t="inlineStr">
        <is>
          <t>Asra Minerals Ltd</t>
        </is>
      </c>
      <c r="J1933" t="inlineStr">
        <is>
          <t>AUD</t>
        </is>
      </c>
      <c r="K1933" s="5" t="inlineStr">
        <is>
          <t>01a152b9-6ee2-7577-bddd-382bc3853fde</t>
        </is>
      </c>
      <c r="M1933" t="inlineStr">
        <is>
          <t>UNKNOWN</t>
        </is>
      </c>
      <c r="N1933" t="inlineStr">
        <is>
          <t>DEFAULT</t>
        </is>
      </c>
      <c r="Q1933" t="n">
        <v>0</v>
      </c>
      <c r="R1933" t="inlineStr">
        <is>
          <t>AUD</t>
        </is>
      </c>
      <c r="S1933" t="n">
        <v>0</v>
      </c>
      <c r="T1933" t="inlineStr">
        <is>
          <t>AUD</t>
        </is>
      </c>
      <c r="U1933" t="n">
        <v>0</v>
      </c>
    </row>
    <row r="1934">
      <c r="A1934" s="5" t="inlineStr">
        <is>
          <t>01a152b9-8ccf-7020-b579-f871dd06d37e</t>
        </is>
      </c>
      <c r="C1934" s="5" t="inlineStr">
        <is>
          <t>01a152b9-6e67-75da-8adb-b03e5d07fd21</t>
        </is>
      </c>
      <c r="D1934" s="4" t="n">
        <v>46314.2459994411</v>
      </c>
      <c r="E1934" s="4" t="n">
        <v>46314.24599944125</v>
      </c>
      <c r="F1934" t="b">
        <v>1</v>
      </c>
      <c r="G1934" t="n">
        <v/>
      </c>
      <c r="H1934" t="inlineStr">
        <is>
          <t>VMG</t>
        </is>
      </c>
      <c r="I1934" t="inlineStr">
        <is>
          <t>VDM Group Ltd</t>
        </is>
      </c>
      <c r="J1934" t="inlineStr">
        <is>
          <t>AUD</t>
        </is>
      </c>
      <c r="K1934" s="5" t="inlineStr">
        <is>
          <t>01a152b9-6ee2-7577-bddd-382bc3853fde</t>
        </is>
      </c>
      <c r="M1934" t="inlineStr">
        <is>
          <t>UNKNOWN</t>
        </is>
      </c>
      <c r="N1934" t="inlineStr">
        <is>
          <t>DEFAULT</t>
        </is>
      </c>
      <c r="Q1934" t="n">
        <v>0</v>
      </c>
      <c r="R1934" t="inlineStr">
        <is>
          <t>AUD</t>
        </is>
      </c>
      <c r="S1934" t="n">
        <v>0</v>
      </c>
      <c r="T1934" t="inlineStr">
        <is>
          <t>AUD</t>
        </is>
      </c>
      <c r="U1934" t="n">
        <v>0</v>
      </c>
    </row>
    <row r="1935">
      <c r="A1935" s="5" t="inlineStr">
        <is>
          <t>01a152b9-8cd4-7395-9305-531371a33a6f</t>
        </is>
      </c>
      <c r="C1935" s="5" t="inlineStr">
        <is>
          <t>01a152b9-6e67-75da-8adb-b03e5d07fd21</t>
        </is>
      </c>
      <c r="D1935" s="4" t="n">
        <v>46314.24599949933</v>
      </c>
      <c r="E1935" s="4" t="n">
        <v>46314.24599950034</v>
      </c>
      <c r="F1935" t="b">
        <v>1</v>
      </c>
      <c r="G1935" t="n">
        <v/>
      </c>
      <c r="H1935" t="inlineStr">
        <is>
          <t>MVL</t>
        </is>
      </c>
      <c r="I1935" t="inlineStr">
        <is>
          <t>Marvel Gold Ltd</t>
        </is>
      </c>
      <c r="J1935" t="inlineStr">
        <is>
          <t>AUD</t>
        </is>
      </c>
      <c r="K1935" s="5" t="inlineStr">
        <is>
          <t>01a152b9-6ee2-7577-bddd-382bc3853fde</t>
        </is>
      </c>
      <c r="M1935" t="inlineStr">
        <is>
          <t>UNKNOWN</t>
        </is>
      </c>
      <c r="N1935" t="inlineStr">
        <is>
          <t>DEFAULT</t>
        </is>
      </c>
      <c r="Q1935" t="n">
        <v>0</v>
      </c>
      <c r="R1935" t="inlineStr">
        <is>
          <t>AUD</t>
        </is>
      </c>
      <c r="S1935" t="n">
        <v>0</v>
      </c>
      <c r="T1935" t="inlineStr">
        <is>
          <t>AUD</t>
        </is>
      </c>
      <c r="U1935" t="n">
        <v>0</v>
      </c>
    </row>
    <row r="1936">
      <c r="A1936" s="5" t="inlineStr">
        <is>
          <t>01a152b9-8cd8-73c4-8652-d6521be5712f</t>
        </is>
      </c>
      <c r="C1936" s="5" t="inlineStr">
        <is>
          <t>01a152b9-6e67-75da-8adb-b03e5d07fd21</t>
        </is>
      </c>
      <c r="D1936" s="4" t="n">
        <v>46314.24599954917</v>
      </c>
      <c r="E1936" s="4" t="n">
        <v>46314.24599954933</v>
      </c>
      <c r="F1936" t="b">
        <v>1</v>
      </c>
      <c r="G1936" t="n">
        <v/>
      </c>
      <c r="H1936" t="inlineStr">
        <is>
          <t>KCC</t>
        </is>
      </c>
      <c r="I1936" t="inlineStr">
        <is>
          <t>Kincora Copper Ltd</t>
        </is>
      </c>
      <c r="J1936" t="inlineStr">
        <is>
          <t>AUD</t>
        </is>
      </c>
      <c r="K1936" s="5" t="inlineStr">
        <is>
          <t>01a152b9-6ee2-7577-bddd-382bc3853fde</t>
        </is>
      </c>
      <c r="M1936" t="inlineStr">
        <is>
          <t>UNKNOWN</t>
        </is>
      </c>
      <c r="N1936" t="inlineStr">
        <is>
          <t>DEFAULT</t>
        </is>
      </c>
      <c r="Q1936" t="n">
        <v>0</v>
      </c>
      <c r="R1936" t="inlineStr">
        <is>
          <t>AUD</t>
        </is>
      </c>
      <c r="S1936" t="n">
        <v>0</v>
      </c>
      <c r="T1936" t="inlineStr">
        <is>
          <t>AUD</t>
        </is>
      </c>
      <c r="U1936" t="n">
        <v>0</v>
      </c>
    </row>
    <row r="1937">
      <c r="A1937" s="5" t="inlineStr">
        <is>
          <t>01a152b9-8cdc-7185-baa3-f73556125397</t>
        </is>
      </c>
      <c r="C1937" s="5" t="inlineStr">
        <is>
          <t>01a152b9-6e67-75da-8adb-b03e5d07fd21</t>
        </is>
      </c>
      <c r="D1937" s="4" t="n">
        <v>46314.24599959626</v>
      </c>
      <c r="E1937" s="4" t="n">
        <v>46314.2459995964</v>
      </c>
      <c r="F1937" t="b">
        <v>1</v>
      </c>
      <c r="G1937" t="n">
        <v/>
      </c>
      <c r="H1937" t="inlineStr">
        <is>
          <t>HCT</t>
        </is>
      </c>
      <c r="I1937" t="inlineStr">
        <is>
          <t>Holista Colltech Ltd</t>
        </is>
      </c>
      <c r="J1937" t="inlineStr">
        <is>
          <t>AUD</t>
        </is>
      </c>
      <c r="K1937" s="5" t="inlineStr">
        <is>
          <t>01a152b9-6ee2-7577-bddd-382bc3853fde</t>
        </is>
      </c>
      <c r="M1937" t="inlineStr">
        <is>
          <t>UNKNOWN</t>
        </is>
      </c>
      <c r="N1937" t="inlineStr">
        <is>
          <t>DEFAULT</t>
        </is>
      </c>
      <c r="Q1937" t="n">
        <v>0</v>
      </c>
      <c r="R1937" t="inlineStr">
        <is>
          <t>AUD</t>
        </is>
      </c>
      <c r="S1937" t="n">
        <v>0</v>
      </c>
      <c r="T1937" t="inlineStr">
        <is>
          <t>AUD</t>
        </is>
      </c>
      <c r="U1937" t="n">
        <v>0</v>
      </c>
    </row>
    <row r="1938">
      <c r="A1938" s="5" t="inlineStr">
        <is>
          <t>01a152b9-8ce1-74c1-aae3-536f1763a2fa</t>
        </is>
      </c>
      <c r="C1938" s="5" t="inlineStr">
        <is>
          <t>01a152b9-6e67-75da-8adb-b03e5d07fd21</t>
        </is>
      </c>
      <c r="D1938" s="4" t="n">
        <v>46314.24599964935</v>
      </c>
      <c r="E1938" s="4" t="n">
        <v>46314.24599964955</v>
      </c>
      <c r="F1938" t="b">
        <v>1</v>
      </c>
      <c r="G1938" t="n">
        <v/>
      </c>
      <c r="H1938" t="inlineStr">
        <is>
          <t>PLN</t>
        </is>
      </c>
      <c r="I1938" t="inlineStr">
        <is>
          <t>Pioneer Lithium Ltd</t>
        </is>
      </c>
      <c r="J1938" t="inlineStr">
        <is>
          <t>AUD</t>
        </is>
      </c>
      <c r="K1938" s="5" t="inlineStr">
        <is>
          <t>01a152b9-6ee2-7577-bddd-382bc3853fde</t>
        </is>
      </c>
      <c r="M1938" t="inlineStr">
        <is>
          <t>UNKNOWN</t>
        </is>
      </c>
      <c r="N1938" t="inlineStr">
        <is>
          <t>DEFAULT</t>
        </is>
      </c>
      <c r="Q1938" t="n">
        <v>0</v>
      </c>
      <c r="R1938" t="inlineStr">
        <is>
          <t>AUD</t>
        </is>
      </c>
      <c r="S1938" t="n">
        <v>0</v>
      </c>
      <c r="T1938" t="inlineStr">
        <is>
          <t>AUD</t>
        </is>
      </c>
      <c r="U1938" t="n">
        <v>0</v>
      </c>
    </row>
    <row r="1939">
      <c r="A1939" s="5" t="inlineStr">
        <is>
          <t>01a152b9-8ce7-7620-8c7a-81d4af81fd30</t>
        </is>
      </c>
      <c r="C1939" s="5" t="inlineStr">
        <is>
          <t>01a152b9-6e67-75da-8adb-b03e5d07fd21</t>
        </is>
      </c>
      <c r="D1939" s="4" t="n">
        <v>46314.24599971312</v>
      </c>
      <c r="E1939" s="4" t="n">
        <v>46314.2459997133</v>
      </c>
      <c r="F1939" t="b">
        <v>1</v>
      </c>
      <c r="G1939" t="n">
        <v/>
      </c>
      <c r="H1939" t="inlineStr">
        <is>
          <t>GLA</t>
        </is>
      </c>
      <c r="I1939" t="inlineStr">
        <is>
          <t>Gladiator Resources Ltd</t>
        </is>
      </c>
      <c r="J1939" t="inlineStr">
        <is>
          <t>AUD</t>
        </is>
      </c>
      <c r="K1939" s="5" t="inlineStr">
        <is>
          <t>01a152b9-6ee2-7577-bddd-382bc3853fde</t>
        </is>
      </c>
      <c r="M1939" t="inlineStr">
        <is>
          <t>UNKNOWN</t>
        </is>
      </c>
      <c r="N1939" t="inlineStr">
        <is>
          <t>DEFAULT</t>
        </is>
      </c>
      <c r="Q1939" t="n">
        <v>0</v>
      </c>
      <c r="R1939" t="inlineStr">
        <is>
          <t>AUD</t>
        </is>
      </c>
      <c r="S1939" t="n">
        <v>0</v>
      </c>
      <c r="T1939" t="inlineStr">
        <is>
          <t>AUD</t>
        </is>
      </c>
      <c r="U1939" t="n">
        <v>0</v>
      </c>
    </row>
    <row r="1940">
      <c r="A1940" s="5" t="inlineStr">
        <is>
          <t>01a152b9-8cea-7765-91df-f1590c77df31</t>
        </is>
      </c>
      <c r="C1940" s="5" t="inlineStr">
        <is>
          <t>01a152b9-6e67-75da-8adb-b03e5d07fd21</t>
        </is>
      </c>
      <c r="D1940" s="4" t="n">
        <v>46314.24599975315</v>
      </c>
      <c r="E1940" s="4" t="n">
        <v>46314.24599975328</v>
      </c>
      <c r="F1940" t="b">
        <v>1</v>
      </c>
      <c r="G1940" t="n">
        <v/>
      </c>
      <c r="H1940" t="inlineStr">
        <is>
          <t>REE</t>
        </is>
      </c>
      <c r="I1940" t="inlineStr">
        <is>
          <t>RAREX Ltd</t>
        </is>
      </c>
      <c r="J1940" t="inlineStr">
        <is>
          <t>AUD</t>
        </is>
      </c>
      <c r="K1940" s="5" t="inlineStr">
        <is>
          <t>01a152b9-6ee2-7577-bddd-382bc3853fde</t>
        </is>
      </c>
      <c r="M1940" t="inlineStr">
        <is>
          <t>UNKNOWN</t>
        </is>
      </c>
      <c r="N1940" t="inlineStr">
        <is>
          <t>DEFAULT</t>
        </is>
      </c>
      <c r="Q1940" t="n">
        <v>0</v>
      </c>
      <c r="R1940" t="inlineStr">
        <is>
          <t>AUD</t>
        </is>
      </c>
      <c r="S1940" t="n">
        <v>0</v>
      </c>
      <c r="T1940" t="inlineStr">
        <is>
          <t>AUD</t>
        </is>
      </c>
      <c r="U1940" t="n">
        <v>0</v>
      </c>
    </row>
    <row r="1941">
      <c r="A1941" s="5" t="inlineStr">
        <is>
          <t>01a152b9-8cee-7488-a520-8fb66f42b5b9</t>
        </is>
      </c>
      <c r="C1941" s="5" t="inlineStr">
        <is>
          <t>01a152b9-6e67-75da-8adb-b03e5d07fd21</t>
        </is>
      </c>
      <c r="D1941" s="4" t="n">
        <v>46314.24599979988</v>
      </c>
      <c r="E1941" s="4" t="n">
        <v>46314.24599980003</v>
      </c>
      <c r="F1941" t="b">
        <v>1</v>
      </c>
      <c r="G1941" t="n">
        <v/>
      </c>
      <c r="H1941" t="inlineStr">
        <is>
          <t>NWM</t>
        </is>
      </c>
      <c r="I1941" t="inlineStr">
        <is>
          <t>Norwest Minerals Ltd</t>
        </is>
      </c>
      <c r="J1941" t="inlineStr">
        <is>
          <t>AUD</t>
        </is>
      </c>
      <c r="K1941" s="5" t="inlineStr">
        <is>
          <t>01a152b9-6ee2-7577-bddd-382bc3853fde</t>
        </is>
      </c>
      <c r="M1941" t="inlineStr">
        <is>
          <t>UNKNOWN</t>
        </is>
      </c>
      <c r="N1941" t="inlineStr">
        <is>
          <t>DEFAULT</t>
        </is>
      </c>
      <c r="Q1941" t="n">
        <v>0</v>
      </c>
      <c r="R1941" t="inlineStr">
        <is>
          <t>AUD</t>
        </is>
      </c>
      <c r="S1941" t="n">
        <v>0</v>
      </c>
      <c r="T1941" t="inlineStr">
        <is>
          <t>AUD</t>
        </is>
      </c>
      <c r="U1941" t="n">
        <v>0</v>
      </c>
    </row>
    <row r="1942">
      <c r="A1942" s="5" t="inlineStr">
        <is>
          <t>01a152b9-8cf2-777a-924f-7f1b8c225b1c</t>
        </is>
      </c>
      <c r="C1942" s="5" t="inlineStr">
        <is>
          <t>01a152b9-6e67-75da-8adb-b03e5d07fd21</t>
        </is>
      </c>
      <c r="D1942" s="4" t="n">
        <v>46314.24599984688</v>
      </c>
      <c r="E1942" s="4" t="n">
        <v>46314.24599984704</v>
      </c>
      <c r="F1942" t="b">
        <v>1</v>
      </c>
      <c r="G1942" t="n">
        <v/>
      </c>
      <c r="H1942" t="inlineStr">
        <is>
          <t>PUR</t>
        </is>
      </c>
      <c r="I1942" t="inlineStr">
        <is>
          <t>Pursuit Minerals Ltd</t>
        </is>
      </c>
      <c r="J1942" t="inlineStr">
        <is>
          <t>AUD</t>
        </is>
      </c>
      <c r="K1942" s="5" t="inlineStr">
        <is>
          <t>01a152b9-6ee2-7577-bddd-382bc3853fde</t>
        </is>
      </c>
      <c r="M1942" t="inlineStr">
        <is>
          <t>UNKNOWN</t>
        </is>
      </c>
      <c r="N1942" t="inlineStr">
        <is>
          <t>DEFAULT</t>
        </is>
      </c>
      <c r="Q1942" t="n">
        <v>0</v>
      </c>
      <c r="R1942" t="inlineStr">
        <is>
          <t>AUD</t>
        </is>
      </c>
      <c r="S1942" t="n">
        <v>0</v>
      </c>
      <c r="T1942" t="inlineStr">
        <is>
          <t>AUD</t>
        </is>
      </c>
      <c r="U1942" t="n">
        <v>0</v>
      </c>
    </row>
    <row r="1943">
      <c r="A1943" s="5" t="inlineStr">
        <is>
          <t>01a152b9-8cf7-707f-832c-be08a440e29c</t>
        </is>
      </c>
      <c r="C1943" s="5" t="inlineStr">
        <is>
          <t>01a152b9-6e67-75da-8adb-b03e5d07fd21</t>
        </is>
      </c>
      <c r="D1943" s="4" t="n">
        <v>46314.24599990774</v>
      </c>
      <c r="E1943" s="4" t="n">
        <v>46314.24599990793</v>
      </c>
      <c r="F1943" t="b">
        <v>1</v>
      </c>
      <c r="G1943" t="n">
        <v/>
      </c>
      <c r="H1943" t="inlineStr">
        <is>
          <t>AVM</t>
        </is>
      </c>
      <c r="I1943" t="inlineStr">
        <is>
          <t>Advance Metals Ltd</t>
        </is>
      </c>
      <c r="J1943" t="inlineStr">
        <is>
          <t>AUD</t>
        </is>
      </c>
      <c r="K1943" s="5" t="inlineStr">
        <is>
          <t>01a152b9-6ee2-7577-bddd-382bc3853fde</t>
        </is>
      </c>
      <c r="M1943" t="inlineStr">
        <is>
          <t>UNKNOWN</t>
        </is>
      </c>
      <c r="N1943" t="inlineStr">
        <is>
          <t>DEFAULT</t>
        </is>
      </c>
      <c r="Q1943" t="n">
        <v>0</v>
      </c>
      <c r="R1943" t="inlineStr">
        <is>
          <t>AUD</t>
        </is>
      </c>
      <c r="S1943" t="n">
        <v>0</v>
      </c>
      <c r="T1943" t="inlineStr">
        <is>
          <t>AUD</t>
        </is>
      </c>
      <c r="U1943" t="n">
        <v>0</v>
      </c>
    </row>
    <row r="1944">
      <c r="A1944" s="5" t="inlineStr">
        <is>
          <t>01a152b9-8cfb-72f4-a963-9e39c1b2bd89</t>
        </is>
      </c>
      <c r="C1944" s="5" t="inlineStr">
        <is>
          <t>01a152b9-6e67-75da-8adb-b03e5d07fd21</t>
        </is>
      </c>
      <c r="D1944" s="4" t="n">
        <v>46314.24599995214</v>
      </c>
      <c r="E1944" s="4" t="n">
        <v>46314.24599995227</v>
      </c>
      <c r="F1944" t="b">
        <v>1</v>
      </c>
      <c r="G1944" t="n">
        <v/>
      </c>
      <c r="H1944" t="inlineStr">
        <is>
          <t>WHK</t>
        </is>
      </c>
      <c r="I1944" t="inlineStr">
        <is>
          <t>Whitehawk Ltd</t>
        </is>
      </c>
      <c r="J1944" t="inlineStr">
        <is>
          <t>AUD</t>
        </is>
      </c>
      <c r="K1944" s="5" t="inlineStr">
        <is>
          <t>01a152b9-6ee2-7577-bddd-382bc3853fde</t>
        </is>
      </c>
      <c r="M1944" t="inlineStr">
        <is>
          <t>UNKNOWN</t>
        </is>
      </c>
      <c r="N1944" t="inlineStr">
        <is>
          <t>DEFAULT</t>
        </is>
      </c>
      <c r="Q1944" t="n">
        <v>0</v>
      </c>
      <c r="R1944" t="inlineStr">
        <is>
          <t>AUD</t>
        </is>
      </c>
      <c r="S1944" t="n">
        <v>0</v>
      </c>
      <c r="T1944" t="inlineStr">
        <is>
          <t>AUD</t>
        </is>
      </c>
      <c r="U1944" t="n">
        <v>0</v>
      </c>
    </row>
    <row r="1945">
      <c r="A1945" s="5" t="inlineStr">
        <is>
          <t>01a152b9-8cff-761d-b45b-b9d6f7281b60</t>
        </is>
      </c>
      <c r="C1945" s="5" t="inlineStr">
        <is>
          <t>01a152b9-6e67-75da-8adb-b03e5d07fd21</t>
        </is>
      </c>
      <c r="D1945" s="4" t="n">
        <v>46314.24600000131</v>
      </c>
      <c r="E1945" s="4" t="n">
        <v>46314.24600000149</v>
      </c>
      <c r="F1945" t="b">
        <v>1</v>
      </c>
      <c r="G1945" t="n">
        <v/>
      </c>
      <c r="H1945" t="inlineStr">
        <is>
          <t>ADG</t>
        </is>
      </c>
      <c r="I1945" t="inlineStr">
        <is>
          <t>Adelong Gold Ltd</t>
        </is>
      </c>
      <c r="J1945" t="inlineStr">
        <is>
          <t>AUD</t>
        </is>
      </c>
      <c r="K1945" s="5" t="inlineStr">
        <is>
          <t>01a152b9-6ee2-7577-bddd-382bc3853fde</t>
        </is>
      </c>
      <c r="M1945" t="inlineStr">
        <is>
          <t>UNKNOWN</t>
        </is>
      </c>
      <c r="N1945" t="inlineStr">
        <is>
          <t>DEFAULT</t>
        </is>
      </c>
      <c r="Q1945" t="n">
        <v>0</v>
      </c>
      <c r="R1945" t="inlineStr">
        <is>
          <t>AUD</t>
        </is>
      </c>
      <c r="S1945" t="n">
        <v>0</v>
      </c>
      <c r="T1945" t="inlineStr">
        <is>
          <t>AUD</t>
        </is>
      </c>
      <c r="U1945" t="n">
        <v>0</v>
      </c>
    </row>
    <row r="1946">
      <c r="A1946" s="5" t="inlineStr">
        <is>
          <t>01a152b9-8d04-74ef-9432-ea5074ad3630</t>
        </is>
      </c>
      <c r="C1946" s="5" t="inlineStr">
        <is>
          <t>01a152b9-6e67-75da-8adb-b03e5d07fd21</t>
        </is>
      </c>
      <c r="D1946" s="4" t="n">
        <v>46314.24600005089</v>
      </c>
      <c r="E1946" s="4" t="n">
        <v>46314.24600005105</v>
      </c>
      <c r="F1946" t="b">
        <v>1</v>
      </c>
      <c r="G1946" t="n">
        <v/>
      </c>
      <c r="H1946" t="inlineStr">
        <is>
          <t>MTAV</t>
        </is>
      </c>
      <c r="I1946" t="inlineStr">
        <is>
          <t>Betashares Metaverse ETF</t>
        </is>
      </c>
      <c r="J1946" t="inlineStr">
        <is>
          <t>AUD</t>
        </is>
      </c>
      <c r="K1946" s="5" t="inlineStr">
        <is>
          <t>01a152b9-6ee2-7577-bddd-382bc3853fde</t>
        </is>
      </c>
      <c r="M1946" t="inlineStr">
        <is>
          <t>UNKNOWN</t>
        </is>
      </c>
      <c r="N1946" t="inlineStr">
        <is>
          <t>DEFAULT</t>
        </is>
      </c>
      <c r="Q1946" t="n">
        <v>0</v>
      </c>
      <c r="R1946" t="inlineStr">
        <is>
          <t>AUD</t>
        </is>
      </c>
      <c r="S1946" t="n">
        <v>0</v>
      </c>
      <c r="T1946" t="inlineStr">
        <is>
          <t>AUD</t>
        </is>
      </c>
      <c r="U1946" t="n">
        <v>0</v>
      </c>
    </row>
    <row r="1947">
      <c r="A1947" s="5" t="inlineStr">
        <is>
          <t>01a152b9-8d08-7038-b5a5-91ba41a1f621</t>
        </is>
      </c>
      <c r="C1947" s="5" t="inlineStr">
        <is>
          <t>01a152b9-6e67-75da-8adb-b03e5d07fd21</t>
        </is>
      </c>
      <c r="D1947" s="4" t="n">
        <v>46314.24600010133</v>
      </c>
      <c r="E1947" s="4" t="n">
        <v>46314.24600010149</v>
      </c>
      <c r="F1947" t="b">
        <v>1</v>
      </c>
      <c r="G1947" t="n">
        <v/>
      </c>
      <c r="H1947" t="inlineStr">
        <is>
          <t>ICG</t>
        </is>
      </c>
      <c r="I1947" t="inlineStr">
        <is>
          <t>Inca Minerals Ltd</t>
        </is>
      </c>
      <c r="J1947" t="inlineStr">
        <is>
          <t>AUD</t>
        </is>
      </c>
      <c r="K1947" s="5" t="inlineStr">
        <is>
          <t>01a152b9-6ee2-7577-bddd-382bc3853fde</t>
        </is>
      </c>
      <c r="M1947" t="inlineStr">
        <is>
          <t>UNKNOWN</t>
        </is>
      </c>
      <c r="N1947" t="inlineStr">
        <is>
          <t>DEFAULT</t>
        </is>
      </c>
      <c r="Q1947" t="n">
        <v>0</v>
      </c>
      <c r="R1947" t="inlineStr">
        <is>
          <t>AUD</t>
        </is>
      </c>
      <c r="S1947" t="n">
        <v>0</v>
      </c>
      <c r="T1947" t="inlineStr">
        <is>
          <t>AUD</t>
        </is>
      </c>
      <c r="U1947" t="n">
        <v>0</v>
      </c>
    </row>
    <row r="1948">
      <c r="A1948" s="5" t="inlineStr">
        <is>
          <t>01a152b9-8d0d-7644-9b58-acd3bdd63d2d</t>
        </is>
      </c>
      <c r="C1948" s="5" t="inlineStr">
        <is>
          <t>01a152b9-6e67-75da-8adb-b03e5d07fd21</t>
        </is>
      </c>
      <c r="D1948" s="4" t="n">
        <v>46314.24600015815</v>
      </c>
      <c r="E1948" s="4" t="n">
        <v>46314.24600015831</v>
      </c>
      <c r="F1948" t="b">
        <v>1</v>
      </c>
      <c r="G1948" t="n">
        <v/>
      </c>
      <c r="H1948" t="inlineStr">
        <is>
          <t>CVR</t>
        </is>
      </c>
      <c r="I1948" t="inlineStr">
        <is>
          <t>Cavalier Resources Ltd</t>
        </is>
      </c>
      <c r="J1948" t="inlineStr">
        <is>
          <t>AUD</t>
        </is>
      </c>
      <c r="K1948" s="5" t="inlineStr">
        <is>
          <t>01a152b9-6ee2-7577-bddd-382bc3853fde</t>
        </is>
      </c>
      <c r="M1948" t="inlineStr">
        <is>
          <t>UNKNOWN</t>
        </is>
      </c>
      <c r="N1948" t="inlineStr">
        <is>
          <t>DEFAULT</t>
        </is>
      </c>
      <c r="Q1948" t="n">
        <v>0</v>
      </c>
      <c r="R1948" t="inlineStr">
        <is>
          <t>AUD</t>
        </is>
      </c>
      <c r="S1948" t="n">
        <v>0</v>
      </c>
      <c r="T1948" t="inlineStr">
        <is>
          <t>AUD</t>
        </is>
      </c>
      <c r="U1948" t="n">
        <v>0</v>
      </c>
    </row>
    <row r="1949">
      <c r="A1949" s="5" t="inlineStr">
        <is>
          <t>01a152b9-8d11-765b-b39b-82e7c6eafedf</t>
        </is>
      </c>
      <c r="C1949" s="5" t="inlineStr">
        <is>
          <t>01a152b9-6e67-75da-8adb-b03e5d07fd21</t>
        </is>
      </c>
      <c r="D1949" s="4" t="n">
        <v>46314.24600020233</v>
      </c>
      <c r="E1949" s="4" t="n">
        <v>46314.24600020245</v>
      </c>
      <c r="F1949" t="b">
        <v>1</v>
      </c>
      <c r="G1949" t="n">
        <v/>
      </c>
      <c r="H1949" t="inlineStr">
        <is>
          <t>AYT</t>
        </is>
      </c>
      <c r="I1949" t="inlineStr">
        <is>
          <t>Austin Metals Ltd</t>
        </is>
      </c>
      <c r="J1949" t="inlineStr">
        <is>
          <t>AUD</t>
        </is>
      </c>
      <c r="K1949" s="5" t="inlineStr">
        <is>
          <t>01a152b9-6ee2-7577-bddd-382bc3853fde</t>
        </is>
      </c>
      <c r="M1949" t="inlineStr">
        <is>
          <t>UNKNOWN</t>
        </is>
      </c>
      <c r="N1949" t="inlineStr">
        <is>
          <t>DEFAULT</t>
        </is>
      </c>
      <c r="Q1949" t="n">
        <v>0</v>
      </c>
      <c r="R1949" t="inlineStr">
        <is>
          <t>AUD</t>
        </is>
      </c>
      <c r="S1949" t="n">
        <v>0</v>
      </c>
      <c r="T1949" t="inlineStr">
        <is>
          <t>AUD</t>
        </is>
      </c>
      <c r="U1949" t="n">
        <v>0</v>
      </c>
    </row>
    <row r="1950">
      <c r="A1950" s="5" t="inlineStr">
        <is>
          <t>01a152b9-8d14-762a-8696-72a7a72618af</t>
        </is>
      </c>
      <c r="C1950" s="5" t="inlineStr">
        <is>
          <t>01a152b9-6e67-75da-8adb-b03e5d07fd21</t>
        </is>
      </c>
      <c r="D1950" s="4" t="n">
        <v>46314.24600024348</v>
      </c>
      <c r="E1950" s="4" t="n">
        <v>46314.24600024362</v>
      </c>
      <c r="F1950" t="b">
        <v>1</v>
      </c>
      <c r="G1950" t="n">
        <v/>
      </c>
      <c r="H1950" t="inlineStr">
        <is>
          <t>DES</t>
        </is>
      </c>
      <c r="I1950" t="inlineStr">
        <is>
          <t>Desoto Resources Ltd</t>
        </is>
      </c>
      <c r="J1950" t="inlineStr">
        <is>
          <t>AUD</t>
        </is>
      </c>
      <c r="K1950" s="5" t="inlineStr">
        <is>
          <t>01a152b9-6ee2-7577-bddd-382bc3853fde</t>
        </is>
      </c>
      <c r="M1950" t="inlineStr">
        <is>
          <t>UNKNOWN</t>
        </is>
      </c>
      <c r="N1950" t="inlineStr">
        <is>
          <t>DEFAULT</t>
        </is>
      </c>
      <c r="Q1950" t="n">
        <v>0</v>
      </c>
      <c r="R1950" t="inlineStr">
        <is>
          <t>AUD</t>
        </is>
      </c>
      <c r="S1950" t="n">
        <v>0</v>
      </c>
      <c r="T1950" t="inlineStr">
        <is>
          <t>AUD</t>
        </is>
      </c>
      <c r="U1950" t="n">
        <v>0</v>
      </c>
    </row>
    <row r="1951">
      <c r="A1951" s="5" t="inlineStr">
        <is>
          <t>01a152b9-8d18-729e-a9d4-2bb5bceddf91</t>
        </is>
      </c>
      <c r="C1951" s="5" t="inlineStr">
        <is>
          <t>01a152b9-6e67-75da-8adb-b03e5d07fd21</t>
        </is>
      </c>
      <c r="D1951" s="4" t="n">
        <v>46314.24600028744</v>
      </c>
      <c r="E1951" s="4" t="n">
        <v>46314.24600028756</v>
      </c>
      <c r="F1951" t="b">
        <v>1</v>
      </c>
      <c r="G1951" t="n">
        <v/>
      </c>
      <c r="H1951" t="inlineStr">
        <is>
          <t>SW1</t>
        </is>
      </c>
      <c r="I1951" t="inlineStr">
        <is>
          <t>Swift Networks Group Ltd</t>
        </is>
      </c>
      <c r="J1951" t="inlineStr">
        <is>
          <t>AUD</t>
        </is>
      </c>
      <c r="K1951" s="5" t="inlineStr">
        <is>
          <t>01a152b9-6ee2-7577-bddd-382bc3853fde</t>
        </is>
      </c>
      <c r="M1951" t="inlineStr">
        <is>
          <t>UNKNOWN</t>
        </is>
      </c>
      <c r="N1951" t="inlineStr">
        <is>
          <t>DEFAULT</t>
        </is>
      </c>
      <c r="Q1951" t="n">
        <v>0</v>
      </c>
      <c r="R1951" t="inlineStr">
        <is>
          <t>AUD</t>
        </is>
      </c>
      <c r="S1951" t="n">
        <v>0</v>
      </c>
      <c r="T1951" t="inlineStr">
        <is>
          <t>AUD</t>
        </is>
      </c>
      <c r="U1951" t="n">
        <v>0</v>
      </c>
    </row>
    <row r="1952">
      <c r="A1952" s="5" t="inlineStr">
        <is>
          <t>01a152b9-8d1d-7422-aed0-52e39868feea</t>
        </is>
      </c>
      <c r="C1952" s="5" t="inlineStr">
        <is>
          <t>01a152b9-6e67-75da-8adb-b03e5d07fd21</t>
        </is>
      </c>
      <c r="D1952" s="4" t="n">
        <v>46314.24600034109</v>
      </c>
      <c r="E1952" s="4" t="n">
        <v>46314.24600034123</v>
      </c>
      <c r="F1952" t="b">
        <v>1</v>
      </c>
      <c r="G1952" t="n">
        <v/>
      </c>
      <c r="H1952" t="inlineStr">
        <is>
          <t>ETPMPT</t>
        </is>
      </c>
      <c r="I1952" t="inlineStr">
        <is>
          <t>Global X Metal Securities Australia Ltd</t>
        </is>
      </c>
      <c r="J1952" t="inlineStr">
        <is>
          <t>AUD</t>
        </is>
      </c>
      <c r="K1952" s="5" t="inlineStr">
        <is>
          <t>01a152b9-6ee2-7577-bddd-382bc3853fde</t>
        </is>
      </c>
      <c r="M1952" t="inlineStr">
        <is>
          <t>UNKNOWN</t>
        </is>
      </c>
      <c r="N1952" t="inlineStr">
        <is>
          <t>DEFAULT</t>
        </is>
      </c>
      <c r="Q1952" t="n">
        <v>0</v>
      </c>
      <c r="R1952" t="inlineStr">
        <is>
          <t>AUD</t>
        </is>
      </c>
      <c r="S1952" t="n">
        <v>0</v>
      </c>
      <c r="T1952" t="inlineStr">
        <is>
          <t>AUD</t>
        </is>
      </c>
      <c r="U1952" t="n">
        <v>0</v>
      </c>
    </row>
    <row r="1953">
      <c r="A1953" s="5" t="inlineStr">
        <is>
          <t>01a152b9-8d21-779a-ab4c-7893503b2c31</t>
        </is>
      </c>
      <c r="C1953" s="5" t="inlineStr">
        <is>
          <t>01a152b9-6e67-75da-8adb-b03e5d07fd21</t>
        </is>
      </c>
      <c r="D1953" s="4" t="n">
        <v>46314.24600038643</v>
      </c>
      <c r="E1953" s="4" t="n">
        <v>46314.24600038655</v>
      </c>
      <c r="F1953" t="b">
        <v>1</v>
      </c>
      <c r="G1953" t="n">
        <v/>
      </c>
      <c r="H1953" t="inlineStr">
        <is>
          <t>HYD</t>
        </is>
      </c>
      <c r="I1953" t="inlineStr">
        <is>
          <t>HYDRIX Ltd</t>
        </is>
      </c>
      <c r="J1953" t="inlineStr">
        <is>
          <t>AUD</t>
        </is>
      </c>
      <c r="K1953" s="5" t="inlineStr">
        <is>
          <t>01a152b9-6ee2-7577-bddd-382bc3853fde</t>
        </is>
      </c>
      <c r="M1953" t="inlineStr">
        <is>
          <t>UNKNOWN</t>
        </is>
      </c>
      <c r="N1953" t="inlineStr">
        <is>
          <t>DEFAULT</t>
        </is>
      </c>
      <c r="Q1953" t="n">
        <v>0</v>
      </c>
      <c r="R1953" t="inlineStr">
        <is>
          <t>AUD</t>
        </is>
      </c>
      <c r="S1953" t="n">
        <v>0</v>
      </c>
      <c r="T1953" t="inlineStr">
        <is>
          <t>AUD</t>
        </is>
      </c>
      <c r="U1953" t="n">
        <v>0</v>
      </c>
    </row>
    <row r="1954">
      <c r="A1954" s="5" t="inlineStr">
        <is>
          <t>01a152b9-8d25-7711-858e-79ba8f2231ce</t>
        </is>
      </c>
      <c r="C1954" s="5" t="inlineStr">
        <is>
          <t>01a152b9-6e67-75da-8adb-b03e5d07fd21</t>
        </is>
      </c>
      <c r="D1954" s="4" t="n">
        <v>46314.24600043222</v>
      </c>
      <c r="E1954" s="4" t="n">
        <v>46314.24600043233</v>
      </c>
      <c r="F1954" t="b">
        <v>1</v>
      </c>
      <c r="G1954" t="n">
        <v/>
      </c>
      <c r="H1954" t="inlineStr">
        <is>
          <t>AXL</t>
        </is>
      </c>
      <c r="I1954" t="inlineStr">
        <is>
          <t>Axel Ree Ltd</t>
        </is>
      </c>
      <c r="J1954" t="inlineStr">
        <is>
          <t>AUD</t>
        </is>
      </c>
      <c r="K1954" s="5" t="inlineStr">
        <is>
          <t>01a152b9-6ee2-7577-bddd-382bc3853fde</t>
        </is>
      </c>
      <c r="M1954" t="inlineStr">
        <is>
          <t>UNKNOWN</t>
        </is>
      </c>
      <c r="N1954" t="inlineStr">
        <is>
          <t>DEFAULT</t>
        </is>
      </c>
      <c r="Q1954" t="n">
        <v>0</v>
      </c>
      <c r="R1954" t="inlineStr">
        <is>
          <t>AUD</t>
        </is>
      </c>
      <c r="S1954" t="n">
        <v>0</v>
      </c>
      <c r="T1954" t="inlineStr">
        <is>
          <t>AUD</t>
        </is>
      </c>
      <c r="U1954" t="n">
        <v>0</v>
      </c>
    </row>
    <row r="1955">
      <c r="A1955" s="5" t="inlineStr">
        <is>
          <t>01a152b9-8d29-76a2-a5d0-4c376c74c89a</t>
        </is>
      </c>
      <c r="C1955" s="5" t="inlineStr">
        <is>
          <t>01a152b9-6e67-75da-8adb-b03e5d07fd21</t>
        </is>
      </c>
      <c r="D1955" s="4" t="n">
        <v>46314.24600048141</v>
      </c>
      <c r="E1955" s="4" t="n">
        <v>46314.24600048157</v>
      </c>
      <c r="F1955" t="b">
        <v>1</v>
      </c>
      <c r="G1955" t="n">
        <v/>
      </c>
      <c r="H1955" t="inlineStr">
        <is>
          <t>FG1</t>
        </is>
      </c>
      <c r="I1955" t="inlineStr">
        <is>
          <t>FLYNN Gold Ltd</t>
        </is>
      </c>
      <c r="J1955" t="inlineStr">
        <is>
          <t>AUD</t>
        </is>
      </c>
      <c r="K1955" s="5" t="inlineStr">
        <is>
          <t>01a152b9-6ee2-7577-bddd-382bc3853fde</t>
        </is>
      </c>
      <c r="M1955" t="inlineStr">
        <is>
          <t>UNKNOWN</t>
        </is>
      </c>
      <c r="N1955" t="inlineStr">
        <is>
          <t>DEFAULT</t>
        </is>
      </c>
      <c r="Q1955" t="n">
        <v>0</v>
      </c>
      <c r="R1955" t="inlineStr">
        <is>
          <t>AUD</t>
        </is>
      </c>
      <c r="S1955" t="n">
        <v>0</v>
      </c>
      <c r="T1955" t="inlineStr">
        <is>
          <t>AUD</t>
        </is>
      </c>
      <c r="U1955" t="n">
        <v>0</v>
      </c>
    </row>
    <row r="1956">
      <c r="A1956" s="5" t="inlineStr">
        <is>
          <t>01a152b9-8d2d-741b-b145-7ad6213e6d8b</t>
        </is>
      </c>
      <c r="C1956" s="5" t="inlineStr">
        <is>
          <t>01a152b9-6e67-75da-8adb-b03e5d07fd21</t>
        </is>
      </c>
      <c r="D1956" s="4" t="n">
        <v>46314.24600052413</v>
      </c>
      <c r="E1956" s="4" t="n">
        <v>46314.24600052424</v>
      </c>
      <c r="F1956" t="b">
        <v>1</v>
      </c>
      <c r="G1956" t="n">
        <v/>
      </c>
      <c r="H1956" t="inlineStr">
        <is>
          <t>W2V</t>
        </is>
      </c>
      <c r="I1956" t="inlineStr">
        <is>
          <t>Way 2 Vat Ltd</t>
        </is>
      </c>
      <c r="J1956" t="inlineStr">
        <is>
          <t>AUD</t>
        </is>
      </c>
      <c r="K1956" s="5" t="inlineStr">
        <is>
          <t>01a152b9-6ee2-7577-bddd-382bc3853fde</t>
        </is>
      </c>
      <c r="M1956" t="inlineStr">
        <is>
          <t>UNKNOWN</t>
        </is>
      </c>
      <c r="N1956" t="inlineStr">
        <is>
          <t>DEFAULT</t>
        </is>
      </c>
      <c r="Q1956" t="n">
        <v>0</v>
      </c>
      <c r="R1956" t="inlineStr">
        <is>
          <t>AUD</t>
        </is>
      </c>
      <c r="S1956" t="n">
        <v>0</v>
      </c>
      <c r="T1956" t="inlineStr">
        <is>
          <t>AUD</t>
        </is>
      </c>
      <c r="U1956" t="n">
        <v>0</v>
      </c>
    </row>
    <row r="1957">
      <c r="A1957" s="5" t="inlineStr">
        <is>
          <t>01a152b9-8d31-76ba-bb8f-94800a444aff</t>
        </is>
      </c>
      <c r="C1957" s="5" t="inlineStr">
        <is>
          <t>01a152b9-6e67-75da-8adb-b03e5d07fd21</t>
        </is>
      </c>
      <c r="D1957" s="4" t="n">
        <v>46314.24600057073</v>
      </c>
      <c r="E1957" s="4" t="n">
        <v>46314.24600057084</v>
      </c>
      <c r="F1957" t="b">
        <v>1</v>
      </c>
      <c r="G1957" t="n">
        <v/>
      </c>
      <c r="H1957" t="inlineStr">
        <is>
          <t>EV1</t>
        </is>
      </c>
      <c r="I1957" t="inlineStr">
        <is>
          <t>Evolution Energy Minerals Ltd</t>
        </is>
      </c>
      <c r="J1957" t="inlineStr">
        <is>
          <t>AUD</t>
        </is>
      </c>
      <c r="K1957" s="5" t="inlineStr">
        <is>
          <t>01a152b9-6ee2-7577-bddd-382bc3853fde</t>
        </is>
      </c>
      <c r="M1957" t="inlineStr">
        <is>
          <t>UNKNOWN</t>
        </is>
      </c>
      <c r="N1957" t="inlineStr">
        <is>
          <t>DEFAULT</t>
        </is>
      </c>
      <c r="Q1957" t="n">
        <v>0</v>
      </c>
      <c r="R1957" t="inlineStr">
        <is>
          <t>AUD</t>
        </is>
      </c>
      <c r="S1957" t="n">
        <v>0</v>
      </c>
      <c r="T1957" t="inlineStr">
        <is>
          <t>AUD</t>
        </is>
      </c>
      <c r="U1957" t="n">
        <v>0</v>
      </c>
    </row>
    <row r="1958">
      <c r="A1958" s="5" t="inlineStr">
        <is>
          <t>01a152b9-8d34-7746-920f-bcd79bfcb23a</t>
        </is>
      </c>
      <c r="C1958" s="5" t="inlineStr">
        <is>
          <t>01a152b9-6e67-75da-8adb-b03e5d07fd21</t>
        </is>
      </c>
      <c r="D1958" s="4" t="n">
        <v>46314.24600060794</v>
      </c>
      <c r="E1958" s="4" t="n">
        <v>46314.24600060803</v>
      </c>
      <c r="F1958" t="b">
        <v>1</v>
      </c>
      <c r="G1958" t="n">
        <v/>
      </c>
      <c r="H1958" t="inlineStr">
        <is>
          <t>ZLD</t>
        </is>
      </c>
      <c r="I1958" t="inlineStr">
        <is>
          <t>Zelira Therapeutics Ltd</t>
        </is>
      </c>
      <c r="J1958" t="inlineStr">
        <is>
          <t>AUD</t>
        </is>
      </c>
      <c r="K1958" s="5" t="inlineStr">
        <is>
          <t>01a152b9-6ee2-7577-bddd-382bc3853fde</t>
        </is>
      </c>
      <c r="M1958" t="inlineStr">
        <is>
          <t>UNKNOWN</t>
        </is>
      </c>
      <c r="N1958" t="inlineStr">
        <is>
          <t>DEFAULT</t>
        </is>
      </c>
      <c r="Q1958" t="n">
        <v>0</v>
      </c>
      <c r="R1958" t="inlineStr">
        <is>
          <t>AUD</t>
        </is>
      </c>
      <c r="S1958" t="n">
        <v>0</v>
      </c>
      <c r="T1958" t="inlineStr">
        <is>
          <t>AUD</t>
        </is>
      </c>
      <c r="U1958" t="n">
        <v>0</v>
      </c>
    </row>
    <row r="1959">
      <c r="A1959" s="5" t="inlineStr">
        <is>
          <t>01a152b9-8d37-776e-9aa9-7a56c2faa550</t>
        </is>
      </c>
      <c r="C1959" s="5" t="inlineStr">
        <is>
          <t>01a152b9-6e67-75da-8adb-b03e5d07fd21</t>
        </is>
      </c>
      <c r="D1959" s="4" t="n">
        <v>46314.24600064674</v>
      </c>
      <c r="E1959" s="4" t="n">
        <v>46314.24600064684</v>
      </c>
      <c r="F1959" t="b">
        <v>1</v>
      </c>
      <c r="G1959" t="n">
        <v/>
      </c>
      <c r="H1959" t="inlineStr">
        <is>
          <t>NES</t>
        </is>
      </c>
      <c r="I1959" t="inlineStr">
        <is>
          <t>Nelson Resources Ltd</t>
        </is>
      </c>
      <c r="J1959" t="inlineStr">
        <is>
          <t>AUD</t>
        </is>
      </c>
      <c r="K1959" s="5" t="inlineStr">
        <is>
          <t>01a152b9-6ee2-7577-bddd-382bc3853fde</t>
        </is>
      </c>
      <c r="M1959" t="inlineStr">
        <is>
          <t>UNKNOWN</t>
        </is>
      </c>
      <c r="N1959" t="inlineStr">
        <is>
          <t>DEFAULT</t>
        </is>
      </c>
      <c r="Q1959" t="n">
        <v>0</v>
      </c>
      <c r="R1959" t="inlineStr">
        <is>
          <t>AUD</t>
        </is>
      </c>
      <c r="S1959" t="n">
        <v>0</v>
      </c>
      <c r="T1959" t="inlineStr">
        <is>
          <t>AUD</t>
        </is>
      </c>
      <c r="U1959" t="n">
        <v>0</v>
      </c>
    </row>
    <row r="1960">
      <c r="A1960" s="5" t="inlineStr">
        <is>
          <t>01a152b9-8d3b-74ec-8b36-43bb698cd582</t>
        </is>
      </c>
      <c r="C1960" s="5" t="inlineStr">
        <is>
          <t>01a152b9-6e67-75da-8adb-b03e5d07fd21</t>
        </is>
      </c>
      <c r="D1960" s="4" t="n">
        <v>46314.24600068936</v>
      </c>
      <c r="E1960" s="4" t="n">
        <v>46314.24600068948</v>
      </c>
      <c r="F1960" t="b">
        <v>1</v>
      </c>
      <c r="G1960" t="n">
        <v/>
      </c>
      <c r="H1960" t="inlineStr">
        <is>
          <t>SIT</t>
        </is>
      </c>
      <c r="I1960" t="inlineStr">
        <is>
          <t>Site Group International Ltd</t>
        </is>
      </c>
      <c r="J1960" t="inlineStr">
        <is>
          <t>AUD</t>
        </is>
      </c>
      <c r="K1960" s="5" t="inlineStr">
        <is>
          <t>01a152b9-6ee2-7577-bddd-382bc3853fde</t>
        </is>
      </c>
      <c r="M1960" t="inlineStr">
        <is>
          <t>UNKNOWN</t>
        </is>
      </c>
      <c r="N1960" t="inlineStr">
        <is>
          <t>DEFAULT</t>
        </is>
      </c>
      <c r="Q1960" t="n">
        <v>0</v>
      </c>
      <c r="R1960" t="inlineStr">
        <is>
          <t>AUD</t>
        </is>
      </c>
      <c r="S1960" t="n">
        <v>0</v>
      </c>
      <c r="T1960" t="inlineStr">
        <is>
          <t>AUD</t>
        </is>
      </c>
      <c r="U1960" t="n">
        <v>0</v>
      </c>
    </row>
    <row r="1961">
      <c r="A1961" s="5" t="inlineStr">
        <is>
          <t>01a152b9-8d3f-76c4-862a-5e9d6a31d61d</t>
        </is>
      </c>
      <c r="C1961" s="5" t="inlineStr">
        <is>
          <t>01a152b9-6e67-75da-8adb-b03e5d07fd21</t>
        </is>
      </c>
      <c r="D1961" s="4" t="n">
        <v>46314.24600073073</v>
      </c>
      <c r="E1961" s="4" t="n">
        <v>46314.24600073083</v>
      </c>
      <c r="F1961" t="b">
        <v>1</v>
      </c>
      <c r="G1961" t="n">
        <v/>
      </c>
      <c r="H1961" t="inlineStr">
        <is>
          <t>IUSG</t>
        </is>
      </c>
      <c r="I1961" t="inlineStr">
        <is>
          <t>Ishares U.S. Treasury Bond (Aud Hedged) ETF</t>
        </is>
      </c>
      <c r="J1961" t="inlineStr">
        <is>
          <t>AUD</t>
        </is>
      </c>
      <c r="K1961" s="5" t="inlineStr">
        <is>
          <t>01a152b9-6ee2-7577-bddd-382bc3853fde</t>
        </is>
      </c>
      <c r="M1961" t="inlineStr">
        <is>
          <t>UNKNOWN</t>
        </is>
      </c>
      <c r="N1961" t="inlineStr">
        <is>
          <t>DEFAULT</t>
        </is>
      </c>
      <c r="Q1961" t="n">
        <v>0</v>
      </c>
      <c r="R1961" t="inlineStr">
        <is>
          <t>AUD</t>
        </is>
      </c>
      <c r="S1961" t="n">
        <v>0</v>
      </c>
      <c r="T1961" t="inlineStr">
        <is>
          <t>AUD</t>
        </is>
      </c>
      <c r="U1961" t="n">
        <v>0</v>
      </c>
    </row>
    <row r="1962">
      <c r="A1962" s="5" t="inlineStr">
        <is>
          <t>01a152b9-8d42-7050-b4ef-bb7fd7535c26</t>
        </is>
      </c>
      <c r="C1962" s="5" t="inlineStr">
        <is>
          <t>01a152b9-6e67-75da-8adb-b03e5d07fd21</t>
        </is>
      </c>
      <c r="D1962" s="4" t="n">
        <v>46314.24600077493</v>
      </c>
      <c r="E1962" s="4" t="n">
        <v>46314.24600077507</v>
      </c>
      <c r="F1962" t="b">
        <v>1</v>
      </c>
      <c r="G1962" t="n">
        <v/>
      </c>
      <c r="H1962" t="inlineStr">
        <is>
          <t>14D</t>
        </is>
      </c>
      <c r="I1962" t="inlineStr">
        <is>
          <t>1414 Degrees Ltd</t>
        </is>
      </c>
      <c r="J1962" t="inlineStr">
        <is>
          <t>AUD</t>
        </is>
      </c>
      <c r="K1962" s="5" t="inlineStr">
        <is>
          <t>01a152b9-6ee2-7577-bddd-382bc3853fde</t>
        </is>
      </c>
      <c r="M1962" t="inlineStr">
        <is>
          <t>UNKNOWN</t>
        </is>
      </c>
      <c r="N1962" t="inlineStr">
        <is>
          <t>DEFAULT</t>
        </is>
      </c>
      <c r="Q1962" t="n">
        <v>0</v>
      </c>
      <c r="R1962" t="inlineStr">
        <is>
          <t>AUD</t>
        </is>
      </c>
      <c r="S1962" t="n">
        <v>0</v>
      </c>
      <c r="T1962" t="inlineStr">
        <is>
          <t>AUD</t>
        </is>
      </c>
      <c r="U1962" t="n">
        <v>0</v>
      </c>
    </row>
    <row r="1963">
      <c r="A1963" s="5" t="inlineStr">
        <is>
          <t>01a152b9-8d46-7016-a106-34a4a9ca50c3</t>
        </is>
      </c>
      <c r="C1963" s="5" t="inlineStr">
        <is>
          <t>01a152b9-6e67-75da-8adb-b03e5d07fd21</t>
        </is>
      </c>
      <c r="D1963" s="4" t="n">
        <v>46314.24600081898</v>
      </c>
      <c r="E1963" s="4" t="n">
        <v>46314.24600081911</v>
      </c>
      <c r="F1963" t="b">
        <v>1</v>
      </c>
      <c r="G1963" t="n">
        <v/>
      </c>
      <c r="H1963" t="inlineStr">
        <is>
          <t>AUA</t>
        </is>
      </c>
      <c r="I1963" t="inlineStr">
        <is>
          <t>Audeara Ltd</t>
        </is>
      </c>
      <c r="J1963" t="inlineStr">
        <is>
          <t>AUD</t>
        </is>
      </c>
      <c r="K1963" s="5" t="inlineStr">
        <is>
          <t>01a152b9-6ee2-7577-bddd-382bc3853fde</t>
        </is>
      </c>
      <c r="M1963" t="inlineStr">
        <is>
          <t>UNKNOWN</t>
        </is>
      </c>
      <c r="N1963" t="inlineStr">
        <is>
          <t>DEFAULT</t>
        </is>
      </c>
      <c r="Q1963" t="n">
        <v>0</v>
      </c>
      <c r="R1963" t="inlineStr">
        <is>
          <t>AUD</t>
        </is>
      </c>
      <c r="S1963" t="n">
        <v>0</v>
      </c>
      <c r="T1963" t="inlineStr">
        <is>
          <t>AUD</t>
        </is>
      </c>
      <c r="U1963" t="n">
        <v>0</v>
      </c>
    </row>
    <row r="1964">
      <c r="A1964" s="5" t="inlineStr">
        <is>
          <t>01a152b9-8d49-70b5-9c69-09076b701059</t>
        </is>
      </c>
      <c r="C1964" s="5" t="inlineStr">
        <is>
          <t>01a152b9-6e67-75da-8adb-b03e5d07fd21</t>
        </is>
      </c>
      <c r="D1964" s="4" t="n">
        <v>46314.24600085405</v>
      </c>
      <c r="E1964" s="4" t="n">
        <v>46314.24600085415</v>
      </c>
      <c r="F1964" t="b">
        <v>1</v>
      </c>
      <c r="G1964" t="n">
        <v/>
      </c>
      <c r="H1964" t="inlineStr">
        <is>
          <t>LAT</t>
        </is>
      </c>
      <c r="I1964" t="inlineStr">
        <is>
          <t>Latitude 66 Ltd</t>
        </is>
      </c>
      <c r="J1964" t="inlineStr">
        <is>
          <t>AUD</t>
        </is>
      </c>
      <c r="K1964" s="5" t="inlineStr">
        <is>
          <t>01a152b9-6ee2-7577-bddd-382bc3853fde</t>
        </is>
      </c>
      <c r="M1964" t="inlineStr">
        <is>
          <t>UNKNOWN</t>
        </is>
      </c>
      <c r="N1964" t="inlineStr">
        <is>
          <t>DEFAULT</t>
        </is>
      </c>
      <c r="Q1964" t="n">
        <v>0</v>
      </c>
      <c r="R1964" t="inlineStr">
        <is>
          <t>AUD</t>
        </is>
      </c>
      <c r="S1964" t="n">
        <v>0</v>
      </c>
      <c r="T1964" t="inlineStr">
        <is>
          <t>AUD</t>
        </is>
      </c>
      <c r="U1964" t="n">
        <v>0</v>
      </c>
    </row>
    <row r="1965">
      <c r="A1965" s="5" t="inlineStr">
        <is>
          <t>01a152b9-8d4d-701b-8698-d3dc9ad1cfe3</t>
        </is>
      </c>
      <c r="C1965" s="5" t="inlineStr">
        <is>
          <t>01a152b9-6e67-75da-8adb-b03e5d07fd21</t>
        </is>
      </c>
      <c r="D1965" s="4" t="n">
        <v>46314.24600089536</v>
      </c>
      <c r="E1965" s="4" t="n">
        <v>46314.24600089547</v>
      </c>
      <c r="F1965" t="b">
        <v>1</v>
      </c>
      <c r="G1965" t="n">
        <v/>
      </c>
      <c r="H1965" t="inlineStr">
        <is>
          <t>FL1</t>
        </is>
      </c>
      <c r="I1965" t="inlineStr">
        <is>
          <t>First Lithium Ltd</t>
        </is>
      </c>
      <c r="J1965" t="inlineStr">
        <is>
          <t>AUD</t>
        </is>
      </c>
      <c r="K1965" s="5" t="inlineStr">
        <is>
          <t>01a152b9-6ee2-7577-bddd-382bc3853fde</t>
        </is>
      </c>
      <c r="M1965" t="inlineStr">
        <is>
          <t>UNKNOWN</t>
        </is>
      </c>
      <c r="N1965" t="inlineStr">
        <is>
          <t>DEFAULT</t>
        </is>
      </c>
      <c r="Q1965" t="n">
        <v>0</v>
      </c>
      <c r="R1965" t="inlineStr">
        <is>
          <t>AUD</t>
        </is>
      </c>
      <c r="S1965" t="n">
        <v>0</v>
      </c>
      <c r="T1965" t="inlineStr">
        <is>
          <t>AUD</t>
        </is>
      </c>
      <c r="U1965" t="n">
        <v>0</v>
      </c>
    </row>
    <row r="1966">
      <c r="A1966" s="5" t="inlineStr">
        <is>
          <t>01a152b9-8d50-774c-b172-7ba5d8078ffb</t>
        </is>
      </c>
      <c r="C1966" s="5" t="inlineStr">
        <is>
          <t>01a152b9-6e67-75da-8adb-b03e5d07fd21</t>
        </is>
      </c>
      <c r="D1966" s="4" t="n">
        <v>46314.24600093654</v>
      </c>
      <c r="E1966" s="4" t="n">
        <v>46314.24600093664</v>
      </c>
      <c r="F1966" t="b">
        <v>1</v>
      </c>
      <c r="G1966" t="n">
        <v/>
      </c>
      <c r="H1966" t="inlineStr">
        <is>
          <t>NAE</t>
        </is>
      </c>
      <c r="I1966" t="inlineStr">
        <is>
          <t>New Age Exploration Ltd</t>
        </is>
      </c>
      <c r="J1966" t="inlineStr">
        <is>
          <t>AUD</t>
        </is>
      </c>
      <c r="K1966" s="5" t="inlineStr">
        <is>
          <t>01a152b9-6ee2-7577-bddd-382bc3853fde</t>
        </is>
      </c>
      <c r="M1966" t="inlineStr">
        <is>
          <t>UNKNOWN</t>
        </is>
      </c>
      <c r="N1966" t="inlineStr">
        <is>
          <t>DEFAULT</t>
        </is>
      </c>
      <c r="Q1966" t="n">
        <v>0</v>
      </c>
      <c r="R1966" t="inlineStr">
        <is>
          <t>AUD</t>
        </is>
      </c>
      <c r="S1966" t="n">
        <v>0</v>
      </c>
      <c r="T1966" t="inlineStr">
        <is>
          <t>AUD</t>
        </is>
      </c>
      <c r="U1966" t="n">
        <v>0</v>
      </c>
    </row>
    <row r="1967">
      <c r="A1967" s="5" t="inlineStr">
        <is>
          <t>01a152b9-8d53-752e-abb3-de00de8d3bec</t>
        </is>
      </c>
      <c r="C1967" s="5" t="inlineStr">
        <is>
          <t>01a152b9-6e67-75da-8adb-b03e5d07fd21</t>
        </is>
      </c>
      <c r="D1967" s="4" t="n">
        <v>46314.24600097303</v>
      </c>
      <c r="E1967" s="4" t="n">
        <v>46314.24600097312</v>
      </c>
      <c r="F1967" t="b">
        <v>1</v>
      </c>
      <c r="G1967" t="n">
        <v/>
      </c>
      <c r="H1967" t="inlineStr">
        <is>
          <t>MOZ</t>
        </is>
      </c>
      <c r="I1967" t="inlineStr">
        <is>
          <t>Mosaic Brands Ltd</t>
        </is>
      </c>
      <c r="J1967" t="inlineStr">
        <is>
          <t>AUD</t>
        </is>
      </c>
      <c r="K1967" s="5" t="inlineStr">
        <is>
          <t>01a152b9-6ee2-7577-bddd-382bc3853fde</t>
        </is>
      </c>
      <c r="M1967" t="inlineStr">
        <is>
          <t>UNKNOWN</t>
        </is>
      </c>
      <c r="N1967" t="inlineStr">
        <is>
          <t>DEFAULT</t>
        </is>
      </c>
      <c r="Q1967" t="n">
        <v>0</v>
      </c>
      <c r="R1967" t="inlineStr">
        <is>
          <t>AUD</t>
        </is>
      </c>
      <c r="S1967" t="n">
        <v>0</v>
      </c>
      <c r="T1967" t="inlineStr">
        <is>
          <t>AUD</t>
        </is>
      </c>
      <c r="U1967" t="n">
        <v>0</v>
      </c>
    </row>
    <row r="1968">
      <c r="A1968" s="5" t="inlineStr">
        <is>
          <t>01a152b9-8d56-71cf-8367-c139ea7d7b36</t>
        </is>
      </c>
      <c r="C1968" s="5" t="inlineStr">
        <is>
          <t>01a152b9-6e67-75da-8adb-b03e5d07fd21</t>
        </is>
      </c>
      <c r="D1968" s="4" t="n">
        <v>46314.24600100645</v>
      </c>
      <c r="E1968" s="4" t="n">
        <v>46314.24600100654</v>
      </c>
      <c r="F1968" t="b">
        <v>1</v>
      </c>
      <c r="G1968" t="n">
        <v/>
      </c>
      <c r="H1968" t="inlineStr">
        <is>
          <t>RNX</t>
        </is>
      </c>
      <c r="I1968" t="inlineStr">
        <is>
          <t>Renegade Exploration Ltd</t>
        </is>
      </c>
      <c r="J1968" t="inlineStr">
        <is>
          <t>AUD</t>
        </is>
      </c>
      <c r="K1968" s="5" t="inlineStr">
        <is>
          <t>01a152b9-6ee2-7577-bddd-382bc3853fde</t>
        </is>
      </c>
      <c r="M1968" t="inlineStr">
        <is>
          <t>UNKNOWN</t>
        </is>
      </c>
      <c r="N1968" t="inlineStr">
        <is>
          <t>DEFAULT</t>
        </is>
      </c>
      <c r="Q1968" t="n">
        <v>0</v>
      </c>
      <c r="R1968" t="inlineStr">
        <is>
          <t>AUD</t>
        </is>
      </c>
      <c r="S1968" t="n">
        <v>0</v>
      </c>
      <c r="T1968" t="inlineStr">
        <is>
          <t>AUD</t>
        </is>
      </c>
      <c r="U1968" t="n">
        <v>0</v>
      </c>
    </row>
    <row r="1969">
      <c r="A1969" s="5" t="inlineStr">
        <is>
          <t>01a152b9-8d5a-7175-99e8-1964d30458c1</t>
        </is>
      </c>
      <c r="C1969" s="5" t="inlineStr">
        <is>
          <t>01a152b9-6e67-75da-8adb-b03e5d07fd21</t>
        </is>
      </c>
      <c r="D1969" s="4" t="n">
        <v>46314.24600104734</v>
      </c>
      <c r="E1969" s="4" t="n">
        <v>46314.24600104749</v>
      </c>
      <c r="F1969" t="b">
        <v>1</v>
      </c>
      <c r="G1969" t="n">
        <v/>
      </c>
      <c r="H1969" t="inlineStr">
        <is>
          <t>DM1</t>
        </is>
      </c>
      <c r="I1969" t="inlineStr">
        <is>
          <t>Desert Metals Ltd</t>
        </is>
      </c>
      <c r="J1969" t="inlineStr">
        <is>
          <t>AUD</t>
        </is>
      </c>
      <c r="K1969" s="5" t="inlineStr">
        <is>
          <t>01a152b9-6ee2-7577-bddd-382bc3853fde</t>
        </is>
      </c>
      <c r="M1969" t="inlineStr">
        <is>
          <t>UNKNOWN</t>
        </is>
      </c>
      <c r="N1969" t="inlineStr">
        <is>
          <t>DEFAULT</t>
        </is>
      </c>
      <c r="Q1969" t="n">
        <v>0</v>
      </c>
      <c r="R1969" t="inlineStr">
        <is>
          <t>AUD</t>
        </is>
      </c>
      <c r="S1969" t="n">
        <v>0</v>
      </c>
      <c r="T1969" t="inlineStr">
        <is>
          <t>AUD</t>
        </is>
      </c>
      <c r="U1969" t="n">
        <v>0</v>
      </c>
    </row>
    <row r="1970">
      <c r="A1970" s="5" t="inlineStr">
        <is>
          <t>01a152b9-8d5e-7468-8d2e-812b3eec6ce8</t>
        </is>
      </c>
      <c r="C1970" s="5" t="inlineStr">
        <is>
          <t>01a152b9-6e67-75da-8adb-b03e5d07fd21</t>
        </is>
      </c>
      <c r="D1970" s="4" t="n">
        <v>46314.24600109187</v>
      </c>
      <c r="E1970" s="4" t="n">
        <v>46314.24600109197</v>
      </c>
      <c r="F1970" t="b">
        <v>1</v>
      </c>
      <c r="G1970" t="n">
        <v/>
      </c>
      <c r="H1970" t="inlineStr">
        <is>
          <t>OCT</t>
        </is>
      </c>
      <c r="I1970" t="inlineStr">
        <is>
          <t>Octava Minerals Ltd</t>
        </is>
      </c>
      <c r="J1970" t="inlineStr">
        <is>
          <t>AUD</t>
        </is>
      </c>
      <c r="K1970" s="5" t="inlineStr">
        <is>
          <t>01a152b9-6ee2-7577-bddd-382bc3853fde</t>
        </is>
      </c>
      <c r="M1970" t="inlineStr">
        <is>
          <t>UNKNOWN</t>
        </is>
      </c>
      <c r="N1970" t="inlineStr">
        <is>
          <t>DEFAULT</t>
        </is>
      </c>
      <c r="Q1970" t="n">
        <v>0</v>
      </c>
      <c r="R1970" t="inlineStr">
        <is>
          <t>AUD</t>
        </is>
      </c>
      <c r="S1970" t="n">
        <v>0</v>
      </c>
      <c r="T1970" t="inlineStr">
        <is>
          <t>AUD</t>
        </is>
      </c>
      <c r="U1970" t="n">
        <v>0</v>
      </c>
    </row>
    <row r="1971">
      <c r="A1971" s="5" t="inlineStr">
        <is>
          <t>01a152b9-8d62-73cf-930f-d0d46b2493e8</t>
        </is>
      </c>
      <c r="C1971" s="5" t="inlineStr">
        <is>
          <t>01a152b9-6e67-75da-8adb-b03e5d07fd21</t>
        </is>
      </c>
      <c r="D1971" s="4" t="n">
        <v>46314.24600113762</v>
      </c>
      <c r="E1971" s="4" t="n">
        <v>46314.24600113773</v>
      </c>
      <c r="F1971" t="b">
        <v>1</v>
      </c>
      <c r="G1971" t="n">
        <v/>
      </c>
      <c r="H1971" t="inlineStr">
        <is>
          <t>AM5</t>
        </is>
      </c>
      <c r="I1971" t="inlineStr">
        <is>
          <t>Antares Metals Ltd</t>
        </is>
      </c>
      <c r="J1971" t="inlineStr">
        <is>
          <t>AUD</t>
        </is>
      </c>
      <c r="K1971" s="5" t="inlineStr">
        <is>
          <t>01a152b9-6ee2-7577-bddd-382bc3853fde</t>
        </is>
      </c>
      <c r="M1971" t="inlineStr">
        <is>
          <t>UNKNOWN</t>
        </is>
      </c>
      <c r="N1971" t="inlineStr">
        <is>
          <t>DEFAULT</t>
        </is>
      </c>
      <c r="Q1971" t="n">
        <v>0</v>
      </c>
      <c r="R1971" t="inlineStr">
        <is>
          <t>AUD</t>
        </is>
      </c>
      <c r="S1971" t="n">
        <v>0</v>
      </c>
      <c r="T1971" t="inlineStr">
        <is>
          <t>AUD</t>
        </is>
      </c>
      <c r="U1971" t="n">
        <v>0</v>
      </c>
    </row>
    <row r="1972">
      <c r="A1972" s="5" t="inlineStr">
        <is>
          <t>01a152b9-8d65-77cf-8ee0-7efe7ee7f476</t>
        </is>
      </c>
      <c r="C1972" s="5" t="inlineStr">
        <is>
          <t>01a152b9-6e67-75da-8adb-b03e5d07fd21</t>
        </is>
      </c>
      <c r="D1972" s="4" t="n">
        <v>46314.246001176</v>
      </c>
      <c r="E1972" s="4" t="n">
        <v>46314.24600117617</v>
      </c>
      <c r="F1972" t="b">
        <v>1</v>
      </c>
      <c r="G1972" t="n">
        <v/>
      </c>
      <c r="H1972" t="inlineStr">
        <is>
          <t>PR2</t>
        </is>
      </c>
      <c r="I1972" t="inlineStr">
        <is>
          <t>Piche Resources Ltd</t>
        </is>
      </c>
      <c r="J1972" t="inlineStr">
        <is>
          <t>AUD</t>
        </is>
      </c>
      <c r="K1972" s="5" t="inlineStr">
        <is>
          <t>01a152b9-6ee2-7577-bddd-382bc3853fde</t>
        </is>
      </c>
      <c r="M1972" t="inlineStr">
        <is>
          <t>UNKNOWN</t>
        </is>
      </c>
      <c r="N1972" t="inlineStr">
        <is>
          <t>DEFAULT</t>
        </is>
      </c>
      <c r="Q1972" t="n">
        <v>0</v>
      </c>
      <c r="R1972" t="inlineStr">
        <is>
          <t>AUD</t>
        </is>
      </c>
      <c r="S1972" t="n">
        <v>0</v>
      </c>
      <c r="T1972" t="inlineStr">
        <is>
          <t>AUD</t>
        </is>
      </c>
      <c r="U1972" t="n">
        <v>0</v>
      </c>
    </row>
    <row r="1973">
      <c r="A1973" s="5" t="inlineStr">
        <is>
          <t>01a152b9-8d69-7124-b346-f1d5e6933867</t>
        </is>
      </c>
      <c r="C1973" s="5" t="inlineStr">
        <is>
          <t>01a152b9-6e67-75da-8adb-b03e5d07fd21</t>
        </is>
      </c>
      <c r="D1973" s="4" t="n">
        <v>46314.24600121767</v>
      </c>
      <c r="E1973" s="4" t="n">
        <v>46314.24600121779</v>
      </c>
      <c r="F1973" t="b">
        <v>1</v>
      </c>
      <c r="G1973" t="n">
        <v/>
      </c>
      <c r="H1973" t="inlineStr">
        <is>
          <t>ECT</t>
        </is>
      </c>
      <c r="I1973" t="inlineStr">
        <is>
          <t>Environmental Clean Technologies Ltd</t>
        </is>
      </c>
      <c r="J1973" t="inlineStr">
        <is>
          <t>AUD</t>
        </is>
      </c>
      <c r="K1973" s="5" t="inlineStr">
        <is>
          <t>01a152b9-6ee2-7577-bddd-382bc3853fde</t>
        </is>
      </c>
      <c r="M1973" t="inlineStr">
        <is>
          <t>UNKNOWN</t>
        </is>
      </c>
      <c r="N1973" t="inlineStr">
        <is>
          <t>DEFAULT</t>
        </is>
      </c>
      <c r="Q1973" t="n">
        <v>0</v>
      </c>
      <c r="R1973" t="inlineStr">
        <is>
          <t>AUD</t>
        </is>
      </c>
      <c r="S1973" t="n">
        <v>0</v>
      </c>
      <c r="T1973" t="inlineStr">
        <is>
          <t>AUD</t>
        </is>
      </c>
      <c r="U1973" t="n">
        <v>0</v>
      </c>
    </row>
    <row r="1974">
      <c r="A1974" s="5" t="inlineStr">
        <is>
          <t>01a152b9-8d6c-7206-b4a3-85a6cc744e5b</t>
        </is>
      </c>
      <c r="C1974" s="5" t="inlineStr">
        <is>
          <t>01a152b9-6e67-75da-8adb-b03e5d07fd21</t>
        </is>
      </c>
      <c r="D1974" s="4" t="n">
        <v>46314.24600125676</v>
      </c>
      <c r="E1974" s="4" t="n">
        <v>46314.24600125688</v>
      </c>
      <c r="F1974" t="b">
        <v>1</v>
      </c>
      <c r="G1974" t="n">
        <v/>
      </c>
      <c r="H1974" t="inlineStr">
        <is>
          <t>LOM</t>
        </is>
      </c>
      <c r="I1974" t="inlineStr">
        <is>
          <t>Lucapa Diamond Company Ltd</t>
        </is>
      </c>
      <c r="J1974" t="inlineStr">
        <is>
          <t>AUD</t>
        </is>
      </c>
      <c r="K1974" s="5" t="inlineStr">
        <is>
          <t>01a152b9-6ee2-7577-bddd-382bc3853fde</t>
        </is>
      </c>
      <c r="M1974" t="inlineStr">
        <is>
          <t>UNKNOWN</t>
        </is>
      </c>
      <c r="N1974" t="inlineStr">
        <is>
          <t>DEFAULT</t>
        </is>
      </c>
      <c r="Q1974" t="n">
        <v>0</v>
      </c>
      <c r="R1974" t="inlineStr">
        <is>
          <t>AUD</t>
        </is>
      </c>
      <c r="S1974" t="n">
        <v>0</v>
      </c>
      <c r="T1974" t="inlineStr">
        <is>
          <t>AUD</t>
        </is>
      </c>
      <c r="U1974" t="n">
        <v>0</v>
      </c>
    </row>
    <row r="1975">
      <c r="A1975" s="5" t="inlineStr">
        <is>
          <t>01a152b9-8d6f-7439-a051-ac1bf62bef9a</t>
        </is>
      </c>
      <c r="C1975" s="5" t="inlineStr">
        <is>
          <t>01a152b9-6e67-75da-8adb-b03e5d07fd21</t>
        </is>
      </c>
      <c r="D1975" s="4" t="n">
        <v>46314.2460012955</v>
      </c>
      <c r="E1975" s="4" t="n">
        <v>46314.24600129559</v>
      </c>
      <c r="F1975" t="b">
        <v>1</v>
      </c>
      <c r="G1975" t="n">
        <v/>
      </c>
      <c r="H1975" t="inlineStr">
        <is>
          <t>SMX</t>
        </is>
      </c>
      <c r="I1975" t="inlineStr">
        <is>
          <t>Strata Minerals Ltd</t>
        </is>
      </c>
      <c r="J1975" t="inlineStr">
        <is>
          <t>AUD</t>
        </is>
      </c>
      <c r="K1975" s="5" t="inlineStr">
        <is>
          <t>01a152b9-6ee2-7577-bddd-382bc3853fde</t>
        </is>
      </c>
      <c r="M1975" t="inlineStr">
        <is>
          <t>UNKNOWN</t>
        </is>
      </c>
      <c r="N1975" t="inlineStr">
        <is>
          <t>DEFAULT</t>
        </is>
      </c>
      <c r="Q1975" t="n">
        <v>0</v>
      </c>
      <c r="R1975" t="inlineStr">
        <is>
          <t>AUD</t>
        </is>
      </c>
      <c r="S1975" t="n">
        <v>0</v>
      </c>
      <c r="T1975" t="inlineStr">
        <is>
          <t>AUD</t>
        </is>
      </c>
      <c r="U1975" t="n">
        <v>0</v>
      </c>
    </row>
    <row r="1976">
      <c r="A1976" s="5" t="inlineStr">
        <is>
          <t>01a152b9-8d72-7478-9a42-cc36b96ebbfc</t>
        </is>
      </c>
      <c r="C1976" s="5" t="inlineStr">
        <is>
          <t>01a152b9-6e67-75da-8adb-b03e5d07fd21</t>
        </is>
      </c>
      <c r="D1976" s="4" t="n">
        <v>46314.2460013317</v>
      </c>
      <c r="E1976" s="4" t="n">
        <v>46314.24600133181</v>
      </c>
      <c r="F1976" t="b">
        <v>1</v>
      </c>
      <c r="G1976" t="n">
        <v/>
      </c>
      <c r="H1976" t="inlineStr">
        <is>
          <t>SCP</t>
        </is>
      </c>
      <c r="I1976" t="inlineStr">
        <is>
          <t>Scalare Partners Holdings Ltd</t>
        </is>
      </c>
      <c r="J1976" t="inlineStr">
        <is>
          <t>AUD</t>
        </is>
      </c>
      <c r="K1976" s="5" t="inlineStr">
        <is>
          <t>01a152b9-6ee2-7577-bddd-382bc3853fde</t>
        </is>
      </c>
      <c r="M1976" t="inlineStr">
        <is>
          <t>STAPLED</t>
        </is>
      </c>
      <c r="N1976" t="inlineStr">
        <is>
          <t>SUGGESTED</t>
        </is>
      </c>
      <c r="Q1976" t="n">
        <v>0</v>
      </c>
      <c r="R1976" t="inlineStr">
        <is>
          <t>AUD</t>
        </is>
      </c>
      <c r="S1976" t="n">
        <v>0</v>
      </c>
      <c r="T1976" t="inlineStr">
        <is>
          <t>AUD</t>
        </is>
      </c>
      <c r="U1976" t="n">
        <v>0</v>
      </c>
    </row>
    <row r="1977">
      <c r="A1977" s="5" t="inlineStr">
        <is>
          <t>01a152b9-8d76-737d-aad5-6d67c9142a3d</t>
        </is>
      </c>
      <c r="C1977" s="5" t="inlineStr">
        <is>
          <t>01a152b9-6e67-75da-8adb-b03e5d07fd21</t>
        </is>
      </c>
      <c r="D1977" s="4" t="n">
        <v>46314.24600137059</v>
      </c>
      <c r="E1977" s="4" t="n">
        <v>46314.24600137068</v>
      </c>
      <c r="F1977" t="b">
        <v>1</v>
      </c>
      <c r="G1977" t="n">
        <v/>
      </c>
      <c r="H1977" t="inlineStr">
        <is>
          <t>SSH</t>
        </is>
      </c>
      <c r="I1977" t="inlineStr">
        <is>
          <t>SSH Group Ltd</t>
        </is>
      </c>
      <c r="J1977" t="inlineStr">
        <is>
          <t>AUD</t>
        </is>
      </c>
      <c r="K1977" s="5" t="inlineStr">
        <is>
          <t>01a152b9-6ee2-7577-bddd-382bc3853fde</t>
        </is>
      </c>
      <c r="M1977" t="inlineStr">
        <is>
          <t>UNKNOWN</t>
        </is>
      </c>
      <c r="N1977" t="inlineStr">
        <is>
          <t>DEFAULT</t>
        </is>
      </c>
      <c r="Q1977" t="n">
        <v>0</v>
      </c>
      <c r="R1977" t="inlineStr">
        <is>
          <t>AUD</t>
        </is>
      </c>
      <c r="S1977" t="n">
        <v>0</v>
      </c>
      <c r="T1977" t="inlineStr">
        <is>
          <t>AUD</t>
        </is>
      </c>
      <c r="U1977" t="n">
        <v>0</v>
      </c>
    </row>
    <row r="1978">
      <c r="A1978" s="5" t="inlineStr">
        <is>
          <t>01a152b9-8d79-75a8-adfa-a73884a6269c</t>
        </is>
      </c>
      <c r="C1978" s="5" t="inlineStr">
        <is>
          <t>01a152b9-6e67-75da-8adb-b03e5d07fd21</t>
        </is>
      </c>
      <c r="D1978" s="4" t="n">
        <v>46314.24600141063</v>
      </c>
      <c r="E1978" s="4" t="n">
        <v>46314.24600141073</v>
      </c>
      <c r="F1978" t="b">
        <v>1</v>
      </c>
      <c r="G1978" t="n">
        <v/>
      </c>
      <c r="H1978" t="inlineStr">
        <is>
          <t>RFA</t>
        </is>
      </c>
      <c r="I1978" t="inlineStr">
        <is>
          <t>Rare Foods Australia Ltd</t>
        </is>
      </c>
      <c r="J1978" t="inlineStr">
        <is>
          <t>AUD</t>
        </is>
      </c>
      <c r="K1978" s="5" t="inlineStr">
        <is>
          <t>01a152b9-6ee2-7577-bddd-382bc3853fde</t>
        </is>
      </c>
      <c r="M1978" t="inlineStr">
        <is>
          <t>UNKNOWN</t>
        </is>
      </c>
      <c r="N1978" t="inlineStr">
        <is>
          <t>DEFAULT</t>
        </is>
      </c>
      <c r="Q1978" t="n">
        <v>0</v>
      </c>
      <c r="R1978" t="inlineStr">
        <is>
          <t>AUD</t>
        </is>
      </c>
      <c r="S1978" t="n">
        <v>0</v>
      </c>
      <c r="T1978" t="inlineStr">
        <is>
          <t>AUD</t>
        </is>
      </c>
      <c r="U1978" t="n">
        <v>0</v>
      </c>
    </row>
    <row r="1979">
      <c r="A1979" s="5" t="inlineStr">
        <is>
          <t>01a152b9-8d7c-7356-8a71-ad40e41efae4</t>
        </is>
      </c>
      <c r="C1979" s="5" t="inlineStr">
        <is>
          <t>01a152b9-6e67-75da-8adb-b03e5d07fd21</t>
        </is>
      </c>
      <c r="D1979" s="4" t="n">
        <v>46314.24600144735</v>
      </c>
      <c r="E1979" s="4" t="n">
        <v>46314.24600144744</v>
      </c>
      <c r="F1979" t="b">
        <v>1</v>
      </c>
      <c r="G1979" t="n">
        <v/>
      </c>
      <c r="H1979" t="inlineStr">
        <is>
          <t>MTL</t>
        </is>
      </c>
      <c r="I1979" t="inlineStr">
        <is>
          <t>Mantle Minerals Ltd</t>
        </is>
      </c>
      <c r="J1979" t="inlineStr">
        <is>
          <t>AUD</t>
        </is>
      </c>
      <c r="K1979" s="5" t="inlineStr">
        <is>
          <t>01a152b9-6ee2-7577-bddd-382bc3853fde</t>
        </is>
      </c>
      <c r="M1979" t="inlineStr">
        <is>
          <t>UNKNOWN</t>
        </is>
      </c>
      <c r="N1979" t="inlineStr">
        <is>
          <t>DEFAULT</t>
        </is>
      </c>
      <c r="Q1979" t="n">
        <v>0</v>
      </c>
      <c r="R1979" t="inlineStr">
        <is>
          <t>AUD</t>
        </is>
      </c>
      <c r="S1979" t="n">
        <v>0</v>
      </c>
      <c r="T1979" t="inlineStr">
        <is>
          <t>AUD</t>
        </is>
      </c>
      <c r="U1979" t="n">
        <v>0</v>
      </c>
    </row>
    <row r="1980">
      <c r="A1980" s="5" t="inlineStr">
        <is>
          <t>01a152b9-8d80-76b0-8457-7155f581f00f</t>
        </is>
      </c>
      <c r="C1980" s="5" t="inlineStr">
        <is>
          <t>01a152b9-6e67-75da-8adb-b03e5d07fd21</t>
        </is>
      </c>
      <c r="D1980" s="4" t="n">
        <v>46314.24600148739</v>
      </c>
      <c r="E1980" s="4" t="n">
        <v>46314.24600148749</v>
      </c>
      <c r="F1980" t="b">
        <v>1</v>
      </c>
      <c r="G1980" t="n">
        <v/>
      </c>
      <c r="H1980" t="inlineStr">
        <is>
          <t>EMXC</t>
        </is>
      </c>
      <c r="I1980" t="inlineStr">
        <is>
          <t>Ishares MSCI Emerging Markets Ex China ETF</t>
        </is>
      </c>
      <c r="J1980" t="inlineStr">
        <is>
          <t>AUD</t>
        </is>
      </c>
      <c r="K1980" s="5" t="inlineStr">
        <is>
          <t>01a152b9-6ee2-7577-bddd-382bc3853fde</t>
        </is>
      </c>
      <c r="M1980" t="inlineStr">
        <is>
          <t>UNKNOWN</t>
        </is>
      </c>
      <c r="N1980" t="inlineStr">
        <is>
          <t>DEFAULT</t>
        </is>
      </c>
      <c r="Q1980" t="n">
        <v>0</v>
      </c>
      <c r="R1980" t="inlineStr">
        <is>
          <t>AUD</t>
        </is>
      </c>
      <c r="S1980" t="n">
        <v>0</v>
      </c>
      <c r="T1980" t="inlineStr">
        <is>
          <t>AUD</t>
        </is>
      </c>
      <c r="U1980" t="n">
        <v>0</v>
      </c>
    </row>
    <row r="1981">
      <c r="A1981" s="5" t="inlineStr">
        <is>
          <t>01a152b9-8d83-75cb-9082-8f56dc55bf96</t>
        </is>
      </c>
      <c r="C1981" s="5" t="inlineStr">
        <is>
          <t>01a152b9-6e67-75da-8adb-b03e5d07fd21</t>
        </is>
      </c>
      <c r="D1981" s="4" t="n">
        <v>46314.2460015252</v>
      </c>
      <c r="E1981" s="4" t="n">
        <v>46314.24600152529</v>
      </c>
      <c r="F1981" t="b">
        <v>1</v>
      </c>
      <c r="G1981" t="n">
        <v/>
      </c>
      <c r="H1981" t="inlineStr">
        <is>
          <t>SKUK</t>
        </is>
      </c>
      <c r="I1981" t="inlineStr">
        <is>
          <t>HEJAZ Sukuk Active ETF (Managed Fund)</t>
        </is>
      </c>
      <c r="J1981" t="inlineStr">
        <is>
          <t>AUD</t>
        </is>
      </c>
      <c r="K1981" s="5" t="inlineStr">
        <is>
          <t>01a152b9-6ee2-7577-bddd-382bc3853fde</t>
        </is>
      </c>
      <c r="M1981" t="inlineStr">
        <is>
          <t>UNKNOWN</t>
        </is>
      </c>
      <c r="N1981" t="inlineStr">
        <is>
          <t>DEFAULT</t>
        </is>
      </c>
      <c r="Q1981" t="n">
        <v>0</v>
      </c>
      <c r="R1981" t="inlineStr">
        <is>
          <t>AUD</t>
        </is>
      </c>
      <c r="S1981" t="n">
        <v>0</v>
      </c>
      <c r="T1981" t="inlineStr">
        <is>
          <t>AUD</t>
        </is>
      </c>
      <c r="U1981" t="n">
        <v>0</v>
      </c>
    </row>
    <row r="1982">
      <c r="A1982" s="5" t="inlineStr">
        <is>
          <t>01a152b9-8d86-7407-8953-9246e3b98ee9</t>
        </is>
      </c>
      <c r="C1982" s="5" t="inlineStr">
        <is>
          <t>01a152b9-6e67-75da-8adb-b03e5d07fd21</t>
        </is>
      </c>
      <c r="D1982" s="4" t="n">
        <v>46314.24600156112</v>
      </c>
      <c r="E1982" s="4" t="n">
        <v>46314.24600156122</v>
      </c>
      <c r="F1982" t="b">
        <v>1</v>
      </c>
      <c r="G1982" t="n">
        <v/>
      </c>
      <c r="H1982" t="inlineStr">
        <is>
          <t>PAB</t>
        </is>
      </c>
      <c r="I1982" t="inlineStr">
        <is>
          <t>PATRYS Ltd</t>
        </is>
      </c>
      <c r="J1982" t="inlineStr">
        <is>
          <t>AUD</t>
        </is>
      </c>
      <c r="K1982" s="5" t="inlineStr">
        <is>
          <t>01a152b9-6ee2-7577-bddd-382bc3853fde</t>
        </is>
      </c>
      <c r="M1982" t="inlineStr">
        <is>
          <t>UNKNOWN</t>
        </is>
      </c>
      <c r="N1982" t="inlineStr">
        <is>
          <t>DEFAULT</t>
        </is>
      </c>
      <c r="Q1982" t="n">
        <v>0</v>
      </c>
      <c r="R1982" t="inlineStr">
        <is>
          <t>AUD</t>
        </is>
      </c>
      <c r="S1982" t="n">
        <v>0</v>
      </c>
      <c r="T1982" t="inlineStr">
        <is>
          <t>AUD</t>
        </is>
      </c>
      <c r="U1982" t="n">
        <v>0</v>
      </c>
    </row>
    <row r="1983">
      <c r="A1983" s="5" t="inlineStr">
        <is>
          <t>01a152b9-8d8a-7361-8a79-2404a975ff29</t>
        </is>
      </c>
      <c r="C1983" s="5" t="inlineStr">
        <is>
          <t>01a152b9-6e67-75da-8adb-b03e5d07fd21</t>
        </is>
      </c>
      <c r="D1983" s="4" t="n">
        <v>46314.24600160404</v>
      </c>
      <c r="E1983" s="4" t="n">
        <v>46314.24600160417</v>
      </c>
      <c r="F1983" t="b">
        <v>1</v>
      </c>
      <c r="G1983" t="n">
        <v/>
      </c>
      <c r="H1983" t="inlineStr">
        <is>
          <t>LNU</t>
        </is>
      </c>
      <c r="I1983" t="inlineStr">
        <is>
          <t>Linius Technologies Ltd</t>
        </is>
      </c>
      <c r="J1983" t="inlineStr">
        <is>
          <t>AUD</t>
        </is>
      </c>
      <c r="K1983" s="5" t="inlineStr">
        <is>
          <t>01a152b9-6ee2-7577-bddd-382bc3853fde</t>
        </is>
      </c>
      <c r="M1983" t="inlineStr">
        <is>
          <t>UNKNOWN</t>
        </is>
      </c>
      <c r="N1983" t="inlineStr">
        <is>
          <t>DEFAULT</t>
        </is>
      </c>
      <c r="Q1983" t="n">
        <v>0</v>
      </c>
      <c r="R1983" t="inlineStr">
        <is>
          <t>AUD</t>
        </is>
      </c>
      <c r="S1983" t="n">
        <v>0</v>
      </c>
      <c r="T1983" t="inlineStr">
        <is>
          <t>AUD</t>
        </is>
      </c>
      <c r="U1983" t="n">
        <v>0</v>
      </c>
    </row>
    <row r="1984">
      <c r="A1984" s="5" t="inlineStr">
        <is>
          <t>01a152b9-8d8f-75ce-b040-11e7125f8e49</t>
        </is>
      </c>
      <c r="C1984" s="5" t="inlineStr">
        <is>
          <t>01a152b9-6e67-75da-8adb-b03e5d07fd21</t>
        </is>
      </c>
      <c r="D1984" s="4" t="n">
        <v>46314.24600165848</v>
      </c>
      <c r="E1984" s="4" t="n">
        <v>46314.2460016586</v>
      </c>
      <c r="F1984" t="b">
        <v>1</v>
      </c>
      <c r="G1984" t="n">
        <v/>
      </c>
      <c r="H1984" t="inlineStr">
        <is>
          <t>GGE</t>
        </is>
      </c>
      <c r="I1984" t="inlineStr">
        <is>
          <t>Grand Gulf Energy Ltd</t>
        </is>
      </c>
      <c r="J1984" t="inlineStr">
        <is>
          <t>AUD</t>
        </is>
      </c>
      <c r="K1984" s="5" t="inlineStr">
        <is>
          <t>01a152b9-6ee2-7577-bddd-382bc3853fde</t>
        </is>
      </c>
      <c r="M1984" t="inlineStr">
        <is>
          <t>UNKNOWN</t>
        </is>
      </c>
      <c r="N1984" t="inlineStr">
        <is>
          <t>DEFAULT</t>
        </is>
      </c>
      <c r="Q1984" t="n">
        <v>0</v>
      </c>
      <c r="R1984" t="inlineStr">
        <is>
          <t>AUD</t>
        </is>
      </c>
      <c r="S1984" t="n">
        <v>0</v>
      </c>
      <c r="T1984" t="inlineStr">
        <is>
          <t>AUD</t>
        </is>
      </c>
      <c r="U1984" t="n">
        <v>0</v>
      </c>
    </row>
    <row r="1985">
      <c r="A1985" s="5" t="inlineStr">
        <is>
          <t>01a152b9-8d92-7111-bb85-bd1c36014d69</t>
        </is>
      </c>
      <c r="C1985" s="5" t="inlineStr">
        <is>
          <t>01a152b9-6e67-75da-8adb-b03e5d07fd21</t>
        </is>
      </c>
      <c r="D1985" s="4" t="n">
        <v>46314.24600169957</v>
      </c>
      <c r="E1985" s="4" t="n">
        <v>46314.24600169968</v>
      </c>
      <c r="F1985" t="b">
        <v>1</v>
      </c>
      <c r="G1985" t="n">
        <v/>
      </c>
      <c r="H1985" t="inlineStr">
        <is>
          <t>RR1</t>
        </is>
      </c>
      <c r="I1985" t="inlineStr">
        <is>
          <t>Reach Resources Ltd</t>
        </is>
      </c>
      <c r="J1985" t="inlineStr">
        <is>
          <t>AUD</t>
        </is>
      </c>
      <c r="K1985" s="5" t="inlineStr">
        <is>
          <t>01a152b9-6ee2-7577-bddd-382bc3853fde</t>
        </is>
      </c>
      <c r="M1985" t="inlineStr">
        <is>
          <t>UNKNOWN</t>
        </is>
      </c>
      <c r="N1985" t="inlineStr">
        <is>
          <t>DEFAULT</t>
        </is>
      </c>
      <c r="Q1985" t="n">
        <v>0</v>
      </c>
      <c r="R1985" t="inlineStr">
        <is>
          <t>AUD</t>
        </is>
      </c>
      <c r="S1985" t="n">
        <v>0</v>
      </c>
      <c r="T1985" t="inlineStr">
        <is>
          <t>AUD</t>
        </is>
      </c>
      <c r="U1985" t="n">
        <v>0</v>
      </c>
    </row>
    <row r="1986">
      <c r="A1986" s="5" t="inlineStr">
        <is>
          <t>01a152b9-8d96-716e-a46d-842d74ff12ee</t>
        </is>
      </c>
      <c r="C1986" s="5" t="inlineStr">
        <is>
          <t>01a152b9-6e67-75da-8adb-b03e5d07fd21</t>
        </is>
      </c>
      <c r="D1986" s="4" t="n">
        <v>46314.2460017399</v>
      </c>
      <c r="E1986" s="4" t="n">
        <v>46314.24600174002</v>
      </c>
      <c r="F1986" t="b">
        <v>1</v>
      </c>
      <c r="G1986" t="n">
        <v/>
      </c>
      <c r="H1986" t="inlineStr">
        <is>
          <t>LNR</t>
        </is>
      </c>
      <c r="I1986" t="inlineStr">
        <is>
          <t>Lanthanein Resources Ltd</t>
        </is>
      </c>
      <c r="J1986" t="inlineStr">
        <is>
          <t>AUD</t>
        </is>
      </c>
      <c r="K1986" s="5" t="inlineStr">
        <is>
          <t>01a152b9-6ee2-7577-bddd-382bc3853fde</t>
        </is>
      </c>
      <c r="M1986" t="inlineStr">
        <is>
          <t>UNKNOWN</t>
        </is>
      </c>
      <c r="N1986" t="inlineStr">
        <is>
          <t>DEFAULT</t>
        </is>
      </c>
      <c r="Q1986" t="n">
        <v>0</v>
      </c>
      <c r="R1986" t="inlineStr">
        <is>
          <t>AUD</t>
        </is>
      </c>
      <c r="S1986" t="n">
        <v>0</v>
      </c>
      <c r="T1986" t="inlineStr">
        <is>
          <t>AUD</t>
        </is>
      </c>
      <c r="U1986" t="n">
        <v>0</v>
      </c>
    </row>
    <row r="1987">
      <c r="A1987" s="5" t="inlineStr">
        <is>
          <t>01a152b9-8d99-7267-9e03-fdb98dd863c2</t>
        </is>
      </c>
      <c r="C1987" s="5" t="inlineStr">
        <is>
          <t>01a152b9-6e67-75da-8adb-b03e5d07fd21</t>
        </is>
      </c>
      <c r="D1987" s="4" t="n">
        <v>46314.24600177748</v>
      </c>
      <c r="E1987" s="4" t="n">
        <v>46314.2460017776</v>
      </c>
      <c r="F1987" t="b">
        <v>1</v>
      </c>
      <c r="G1987" t="n">
        <v/>
      </c>
      <c r="H1987" t="inlineStr">
        <is>
          <t>CGR</t>
        </is>
      </c>
      <c r="I1987" t="inlineStr">
        <is>
          <t>CGN Resources Ltd</t>
        </is>
      </c>
      <c r="J1987" t="inlineStr">
        <is>
          <t>AUD</t>
        </is>
      </c>
      <c r="K1987" s="5" t="inlineStr">
        <is>
          <t>01a152b9-6ee2-7577-bddd-382bc3853fde</t>
        </is>
      </c>
      <c r="M1987" t="inlineStr">
        <is>
          <t>UNKNOWN</t>
        </is>
      </c>
      <c r="N1987" t="inlineStr">
        <is>
          <t>DEFAULT</t>
        </is>
      </c>
      <c r="Q1987" t="n">
        <v>0</v>
      </c>
      <c r="R1987" t="inlineStr">
        <is>
          <t>AUD</t>
        </is>
      </c>
      <c r="S1987" t="n">
        <v>0</v>
      </c>
      <c r="T1987" t="inlineStr">
        <is>
          <t>AUD</t>
        </is>
      </c>
      <c r="U1987" t="n">
        <v>0</v>
      </c>
    </row>
    <row r="1988">
      <c r="A1988" s="5" t="inlineStr">
        <is>
          <t>01a152b9-8d9c-74a7-9aeb-2c8b6e602fc2</t>
        </is>
      </c>
      <c r="C1988" s="5" t="inlineStr">
        <is>
          <t>01a152b9-6e67-75da-8adb-b03e5d07fd21</t>
        </is>
      </c>
      <c r="D1988" s="4" t="n">
        <v>46314.24600181837</v>
      </c>
      <c r="E1988" s="4" t="n">
        <v>46314.24600181849</v>
      </c>
      <c r="F1988" t="b">
        <v>1</v>
      </c>
      <c r="G1988" t="n">
        <v/>
      </c>
      <c r="H1988" t="inlineStr">
        <is>
          <t>PPY</t>
        </is>
      </c>
      <c r="I1988" t="inlineStr">
        <is>
          <t>Papyrus Australia Ltd</t>
        </is>
      </c>
      <c r="J1988" t="inlineStr">
        <is>
          <t>AUD</t>
        </is>
      </c>
      <c r="K1988" s="5" t="inlineStr">
        <is>
          <t>01a152b9-6ee2-7577-bddd-382bc3853fde</t>
        </is>
      </c>
      <c r="M1988" t="inlineStr">
        <is>
          <t>UNKNOWN</t>
        </is>
      </c>
      <c r="N1988" t="inlineStr">
        <is>
          <t>DEFAULT</t>
        </is>
      </c>
      <c r="Q1988" t="n">
        <v>0</v>
      </c>
      <c r="R1988" t="inlineStr">
        <is>
          <t>AUD</t>
        </is>
      </c>
      <c r="S1988" t="n">
        <v>0</v>
      </c>
      <c r="T1988" t="inlineStr">
        <is>
          <t>AUD</t>
        </is>
      </c>
      <c r="U1988" t="n">
        <v>0</v>
      </c>
    </row>
    <row r="1989">
      <c r="A1989" s="5" t="inlineStr">
        <is>
          <t>01a152b9-8da0-76f7-8b6d-7092f74fdc84</t>
        </is>
      </c>
      <c r="C1989" s="5" t="inlineStr">
        <is>
          <t>01a152b9-6e67-75da-8adb-b03e5d07fd21</t>
        </is>
      </c>
      <c r="D1989" s="4" t="n">
        <v>46314.24600185842</v>
      </c>
      <c r="E1989" s="4" t="n">
        <v>46314.24600185853</v>
      </c>
      <c r="F1989" t="b">
        <v>1</v>
      </c>
      <c r="G1989" t="n">
        <v/>
      </c>
      <c r="H1989" t="inlineStr">
        <is>
          <t>HHIF</t>
        </is>
      </c>
      <c r="I1989" t="inlineStr">
        <is>
          <t>HEJAZ High Innovation Active ETF</t>
        </is>
      </c>
      <c r="J1989" t="inlineStr">
        <is>
          <t>AUD</t>
        </is>
      </c>
      <c r="K1989" s="5" t="inlineStr">
        <is>
          <t>01a152b9-6ee2-7577-bddd-382bc3853fde</t>
        </is>
      </c>
      <c r="M1989" t="inlineStr">
        <is>
          <t>UNKNOWN</t>
        </is>
      </c>
      <c r="N1989" t="inlineStr">
        <is>
          <t>DEFAULT</t>
        </is>
      </c>
      <c r="Q1989" t="n">
        <v>0</v>
      </c>
      <c r="R1989" t="inlineStr">
        <is>
          <t>AUD</t>
        </is>
      </c>
      <c r="S1989" t="n">
        <v>0</v>
      </c>
      <c r="T1989" t="inlineStr">
        <is>
          <t>AUD</t>
        </is>
      </c>
      <c r="U1989" t="n">
        <v>0</v>
      </c>
    </row>
    <row r="1990">
      <c r="A1990" s="5" t="inlineStr">
        <is>
          <t>01a152b9-8da4-7125-bd1c-2f179dc134f8</t>
        </is>
      </c>
      <c r="C1990" s="5" t="inlineStr">
        <is>
          <t>01a152b9-6e67-75da-8adb-b03e5d07fd21</t>
        </is>
      </c>
      <c r="D1990" s="4" t="n">
        <v>46314.24600190183</v>
      </c>
      <c r="E1990" s="4" t="n">
        <v>46314.24600190196</v>
      </c>
      <c r="F1990" t="b">
        <v>1</v>
      </c>
      <c r="G1990" t="n">
        <v/>
      </c>
      <c r="H1990" t="inlineStr">
        <is>
          <t>MGA</t>
        </is>
      </c>
      <c r="I1990" t="inlineStr">
        <is>
          <t>Metalsgrove Mining Ltd</t>
        </is>
      </c>
      <c r="J1990" t="inlineStr">
        <is>
          <t>AUD</t>
        </is>
      </c>
      <c r="K1990" s="5" t="inlineStr">
        <is>
          <t>01a152b9-6ee2-7577-bddd-382bc3853fde</t>
        </is>
      </c>
      <c r="M1990" t="inlineStr">
        <is>
          <t>UNKNOWN</t>
        </is>
      </c>
      <c r="N1990" t="inlineStr">
        <is>
          <t>DEFAULT</t>
        </is>
      </c>
      <c r="Q1990" t="n">
        <v>0</v>
      </c>
      <c r="R1990" t="inlineStr">
        <is>
          <t>AUD</t>
        </is>
      </c>
      <c r="S1990" t="n">
        <v>0</v>
      </c>
      <c r="T1990" t="inlineStr">
        <is>
          <t>AUD</t>
        </is>
      </c>
      <c r="U1990" t="n">
        <v>0</v>
      </c>
    </row>
    <row r="1991">
      <c r="A1991" s="5" t="inlineStr">
        <is>
          <t>01a152b9-8da7-71da-857c-2a34a354f0a7</t>
        </is>
      </c>
      <c r="C1991" s="5" t="inlineStr">
        <is>
          <t>01a152b9-6e67-75da-8adb-b03e5d07fd21</t>
        </is>
      </c>
      <c r="D1991" s="4" t="n">
        <v>46314.24600194125</v>
      </c>
      <c r="E1991" s="4" t="n">
        <v>46314.24600194141</v>
      </c>
      <c r="F1991" t="b">
        <v>1</v>
      </c>
      <c r="G1991" t="n">
        <v/>
      </c>
      <c r="H1991" t="inlineStr">
        <is>
          <t>ITEK</t>
        </is>
      </c>
      <c r="I1991" t="inlineStr">
        <is>
          <t>Ishares Future Tech Innovators ETF</t>
        </is>
      </c>
      <c r="J1991" t="inlineStr">
        <is>
          <t>AUD</t>
        </is>
      </c>
      <c r="K1991" s="5" t="inlineStr">
        <is>
          <t>01a152b9-6ee2-7577-bddd-382bc3853fde</t>
        </is>
      </c>
      <c r="M1991" t="inlineStr">
        <is>
          <t>UNKNOWN</t>
        </is>
      </c>
      <c r="N1991" t="inlineStr">
        <is>
          <t>DEFAULT</t>
        </is>
      </c>
      <c r="Q1991" t="n">
        <v>0</v>
      </c>
      <c r="R1991" t="inlineStr">
        <is>
          <t>AUD</t>
        </is>
      </c>
      <c r="S1991" t="n">
        <v>0</v>
      </c>
      <c r="T1991" t="inlineStr">
        <is>
          <t>AUD</t>
        </is>
      </c>
      <c r="U1991" t="n">
        <v>0</v>
      </c>
    </row>
    <row r="1992">
      <c r="A1992" s="5" t="inlineStr">
        <is>
          <t>01a152b9-8dab-774a-a3ee-68116f080d5b</t>
        </is>
      </c>
      <c r="C1992" s="5" t="inlineStr">
        <is>
          <t>01a152b9-6e67-75da-8adb-b03e5d07fd21</t>
        </is>
      </c>
      <c r="D1992" s="4" t="n">
        <v>46314.24600198885</v>
      </c>
      <c r="E1992" s="4" t="n">
        <v>46314.24600198899</v>
      </c>
      <c r="F1992" t="b">
        <v>1</v>
      </c>
      <c r="G1992" t="n">
        <v/>
      </c>
      <c r="H1992" t="inlineStr">
        <is>
          <t>BGE</t>
        </is>
      </c>
      <c r="I1992" t="inlineStr">
        <is>
          <t>Bridge Saas Ltd</t>
        </is>
      </c>
      <c r="J1992" t="inlineStr">
        <is>
          <t>AUD</t>
        </is>
      </c>
      <c r="K1992" s="5" t="inlineStr">
        <is>
          <t>01a152b9-6ee2-7577-bddd-382bc3853fde</t>
        </is>
      </c>
      <c r="M1992" t="inlineStr">
        <is>
          <t>UNKNOWN</t>
        </is>
      </c>
      <c r="N1992" t="inlineStr">
        <is>
          <t>DEFAULT</t>
        </is>
      </c>
      <c r="Q1992" t="n">
        <v>0</v>
      </c>
      <c r="R1992" t="inlineStr">
        <is>
          <t>AUD</t>
        </is>
      </c>
      <c r="S1992" t="n">
        <v>0</v>
      </c>
      <c r="T1992" t="inlineStr">
        <is>
          <t>AUD</t>
        </is>
      </c>
      <c r="U1992" t="n">
        <v>0</v>
      </c>
    </row>
    <row r="1993">
      <c r="A1993" s="5" t="inlineStr">
        <is>
          <t>01a152b9-8daf-7227-9e79-d8fb10e25116</t>
        </is>
      </c>
      <c r="C1993" s="5" t="inlineStr">
        <is>
          <t>01a152b9-6e67-75da-8adb-b03e5d07fd21</t>
        </is>
      </c>
      <c r="D1993" s="4" t="n">
        <v>46314.24600203576</v>
      </c>
      <c r="E1993" s="4" t="n">
        <v>46314.2460020359</v>
      </c>
      <c r="F1993" t="b">
        <v>1</v>
      </c>
      <c r="G1993" t="n">
        <v/>
      </c>
      <c r="H1993" t="inlineStr">
        <is>
          <t>BFC</t>
        </is>
      </c>
      <c r="I1993" t="inlineStr">
        <is>
          <t>Beston Global Food Company Ltd</t>
        </is>
      </c>
      <c r="J1993" t="inlineStr">
        <is>
          <t>AUD</t>
        </is>
      </c>
      <c r="K1993" s="5" t="inlineStr">
        <is>
          <t>01a152b9-6ee2-7577-bddd-382bc3853fde</t>
        </is>
      </c>
      <c r="M1993" t="inlineStr">
        <is>
          <t>UNKNOWN</t>
        </is>
      </c>
      <c r="N1993" t="inlineStr">
        <is>
          <t>DEFAULT</t>
        </is>
      </c>
      <c r="Q1993" t="n">
        <v>0</v>
      </c>
      <c r="R1993" t="inlineStr">
        <is>
          <t>AUD</t>
        </is>
      </c>
      <c r="S1993" t="n">
        <v>0</v>
      </c>
      <c r="T1993" t="inlineStr">
        <is>
          <t>AUD</t>
        </is>
      </c>
      <c r="U1993" t="n">
        <v>0</v>
      </c>
    </row>
    <row r="1994">
      <c r="A1994" s="5" t="inlineStr">
        <is>
          <t>01a152b9-8db3-77f1-a985-8bfa36ac942e</t>
        </is>
      </c>
      <c r="C1994" s="5" t="inlineStr">
        <is>
          <t>01a152b9-6e67-75da-8adb-b03e5d07fd21</t>
        </is>
      </c>
      <c r="D1994" s="4" t="n">
        <v>46314.24600207718</v>
      </c>
      <c r="E1994" s="4" t="n">
        <v>46314.2460020773</v>
      </c>
      <c r="F1994" t="b">
        <v>1</v>
      </c>
      <c r="G1994" t="n">
        <v/>
      </c>
      <c r="H1994" t="inlineStr">
        <is>
          <t>DTM</t>
        </is>
      </c>
      <c r="I1994" t="inlineStr">
        <is>
          <t>Dart Mining NL</t>
        </is>
      </c>
      <c r="J1994" t="inlineStr">
        <is>
          <t>AUD</t>
        </is>
      </c>
      <c r="K1994" s="5" t="inlineStr">
        <is>
          <t>01a152b9-6ee2-7577-bddd-382bc3853fde</t>
        </is>
      </c>
      <c r="M1994" t="inlineStr">
        <is>
          <t>UNKNOWN</t>
        </is>
      </c>
      <c r="N1994" t="inlineStr">
        <is>
          <t>DEFAULT</t>
        </is>
      </c>
      <c r="Q1994" t="n">
        <v>0</v>
      </c>
      <c r="R1994" t="inlineStr">
        <is>
          <t>AUD</t>
        </is>
      </c>
      <c r="S1994" t="n">
        <v>0</v>
      </c>
      <c r="T1994" t="inlineStr">
        <is>
          <t>AUD</t>
        </is>
      </c>
      <c r="U1994" t="n">
        <v>0</v>
      </c>
    </row>
    <row r="1995">
      <c r="A1995" s="5" t="inlineStr">
        <is>
          <t>01a152b9-8db6-7052-b418-c300e8a74394</t>
        </is>
      </c>
      <c r="C1995" s="5" t="inlineStr">
        <is>
          <t>01a152b9-6e67-75da-8adb-b03e5d07fd21</t>
        </is>
      </c>
      <c r="D1995" s="4" t="n">
        <v>46314.24600211876</v>
      </c>
      <c r="E1995" s="4" t="n">
        <v>46314.24600211889</v>
      </c>
      <c r="F1995" t="b">
        <v>1</v>
      </c>
      <c r="G1995" t="n">
        <v/>
      </c>
      <c r="H1995" t="inlineStr">
        <is>
          <t>REM</t>
        </is>
      </c>
      <c r="I1995" t="inlineStr">
        <is>
          <t>Remsense Technologies Ltd</t>
        </is>
      </c>
      <c r="J1995" t="inlineStr">
        <is>
          <t>AUD</t>
        </is>
      </c>
      <c r="K1995" s="5" t="inlineStr">
        <is>
          <t>01a152b9-6ee2-7577-bddd-382bc3853fde</t>
        </is>
      </c>
      <c r="M1995" t="inlineStr">
        <is>
          <t>UNKNOWN</t>
        </is>
      </c>
      <c r="N1995" t="inlineStr">
        <is>
          <t>DEFAULT</t>
        </is>
      </c>
      <c r="Q1995" t="n">
        <v>0</v>
      </c>
      <c r="R1995" t="inlineStr">
        <is>
          <t>AUD</t>
        </is>
      </c>
      <c r="S1995" t="n">
        <v>0</v>
      </c>
      <c r="T1995" t="inlineStr">
        <is>
          <t>AUD</t>
        </is>
      </c>
      <c r="U1995" t="n">
        <v>0</v>
      </c>
    </row>
    <row r="1996">
      <c r="A1996" s="5" t="inlineStr">
        <is>
          <t>01a152b9-8dba-76fb-a072-50c509c16bfb</t>
        </is>
      </c>
      <c r="C1996" s="5" t="inlineStr">
        <is>
          <t>01a152b9-6e67-75da-8adb-b03e5d07fd21</t>
        </is>
      </c>
      <c r="D1996" s="4" t="n">
        <v>46314.24600215931</v>
      </c>
      <c r="E1996" s="4" t="n">
        <v>46314.24600215945</v>
      </c>
      <c r="F1996" t="b">
        <v>1</v>
      </c>
      <c r="G1996" t="n">
        <v/>
      </c>
      <c r="H1996" t="inlineStr">
        <is>
          <t>PAT</t>
        </is>
      </c>
      <c r="I1996" t="inlineStr">
        <is>
          <t>Patriot Lithium Ltd</t>
        </is>
      </c>
      <c r="J1996" t="inlineStr">
        <is>
          <t>AUD</t>
        </is>
      </c>
      <c r="K1996" s="5" t="inlineStr">
        <is>
          <t>01a152b9-6ee2-7577-bddd-382bc3853fde</t>
        </is>
      </c>
      <c r="M1996" t="inlineStr">
        <is>
          <t>UNKNOWN</t>
        </is>
      </c>
      <c r="N1996" t="inlineStr">
        <is>
          <t>DEFAULT</t>
        </is>
      </c>
      <c r="Q1996" t="n">
        <v>0</v>
      </c>
      <c r="R1996" t="inlineStr">
        <is>
          <t>AUD</t>
        </is>
      </c>
      <c r="S1996" t="n">
        <v>0</v>
      </c>
      <c r="T1996" t="inlineStr">
        <is>
          <t>AUD</t>
        </is>
      </c>
      <c r="U1996" t="n">
        <v>0</v>
      </c>
    </row>
    <row r="1997">
      <c r="A1997" s="5" t="inlineStr">
        <is>
          <t>01a152b9-8dbe-7060-880c-730a42829fbd</t>
        </is>
      </c>
      <c r="C1997" s="5" t="inlineStr">
        <is>
          <t>01a152b9-6e67-75da-8adb-b03e5d07fd21</t>
        </is>
      </c>
      <c r="D1997" s="4" t="n">
        <v>46314.24600220516</v>
      </c>
      <c r="E1997" s="4" t="n">
        <v>46314.24600220529</v>
      </c>
      <c r="F1997" t="b">
        <v>1</v>
      </c>
      <c r="G1997" t="n">
        <v/>
      </c>
      <c r="H1997" t="inlineStr">
        <is>
          <t>NRZ</t>
        </is>
      </c>
      <c r="I1997" t="inlineStr">
        <is>
          <t>Neurizer Ltd</t>
        </is>
      </c>
      <c r="J1997" t="inlineStr">
        <is>
          <t>AUD</t>
        </is>
      </c>
      <c r="K1997" s="5" t="inlineStr">
        <is>
          <t>01a152b9-6ee2-7577-bddd-382bc3853fde</t>
        </is>
      </c>
      <c r="M1997" t="inlineStr">
        <is>
          <t>UNKNOWN</t>
        </is>
      </c>
      <c r="N1997" t="inlineStr">
        <is>
          <t>DEFAULT</t>
        </is>
      </c>
      <c r="Q1997" t="n">
        <v>0</v>
      </c>
      <c r="R1997" t="inlineStr">
        <is>
          <t>AUD</t>
        </is>
      </c>
      <c r="S1997" t="n">
        <v>0</v>
      </c>
      <c r="T1997" t="inlineStr">
        <is>
          <t>AUD</t>
        </is>
      </c>
      <c r="U1997" t="n">
        <v>0</v>
      </c>
    </row>
    <row r="1998">
      <c r="A1998" s="5" t="inlineStr">
        <is>
          <t>01a152b9-8dc1-75b9-b0e1-08dc7cc1dee3</t>
        </is>
      </c>
      <c r="C1998" s="5" t="inlineStr">
        <is>
          <t>01a152b9-6e67-75da-8adb-b03e5d07fd21</t>
        </is>
      </c>
      <c r="D1998" s="4" t="n">
        <v>46314.24600224458</v>
      </c>
      <c r="E1998" s="4" t="n">
        <v>46314.2460022447</v>
      </c>
      <c r="F1998" t="b">
        <v>1</v>
      </c>
      <c r="G1998" t="n">
        <v/>
      </c>
      <c r="H1998" t="inlineStr">
        <is>
          <t>HAL</t>
        </is>
      </c>
      <c r="I1998" t="inlineStr">
        <is>
          <t>Halo Technologies Holdings Ltd</t>
        </is>
      </c>
      <c r="J1998" t="inlineStr">
        <is>
          <t>AUD</t>
        </is>
      </c>
      <c r="K1998" s="5" t="inlineStr">
        <is>
          <t>01a152b9-6ee2-7577-bddd-382bc3853fde</t>
        </is>
      </c>
      <c r="M1998" t="inlineStr">
        <is>
          <t>UNKNOWN</t>
        </is>
      </c>
      <c r="N1998" t="inlineStr">
        <is>
          <t>DEFAULT</t>
        </is>
      </c>
      <c r="Q1998" t="n">
        <v>0</v>
      </c>
      <c r="R1998" t="inlineStr">
        <is>
          <t>AUD</t>
        </is>
      </c>
      <c r="S1998" t="n">
        <v>0</v>
      </c>
      <c r="T1998" t="inlineStr">
        <is>
          <t>AUD</t>
        </is>
      </c>
      <c r="U1998" t="n">
        <v>0</v>
      </c>
    </row>
    <row r="1999">
      <c r="A1999" s="5" t="inlineStr">
        <is>
          <t>01a152b9-8dc5-752d-8e37-89a2587cca3a</t>
        </is>
      </c>
      <c r="C1999" s="5" t="inlineStr">
        <is>
          <t>01a152b9-6e67-75da-8adb-b03e5d07fd21</t>
        </is>
      </c>
      <c r="D1999" s="4" t="n">
        <v>46314.24600228968</v>
      </c>
      <c r="E1999" s="4" t="n">
        <v>46314.24600228982</v>
      </c>
      <c r="F1999" t="b">
        <v>1</v>
      </c>
      <c r="G1999" t="n">
        <v/>
      </c>
      <c r="H1999" t="inlineStr">
        <is>
          <t>OZM</t>
        </is>
      </c>
      <c r="I1999" t="inlineStr">
        <is>
          <t>Ozaurum Resources Ltd</t>
        </is>
      </c>
      <c r="J1999" t="inlineStr">
        <is>
          <t>AUD</t>
        </is>
      </c>
      <c r="K1999" s="5" t="inlineStr">
        <is>
          <t>01a152b9-6ee2-7577-bddd-382bc3853fde</t>
        </is>
      </c>
      <c r="M1999" t="inlineStr">
        <is>
          <t>UNKNOWN</t>
        </is>
      </c>
      <c r="N1999" t="inlineStr">
        <is>
          <t>DEFAULT</t>
        </is>
      </c>
      <c r="Q1999" t="n">
        <v>0</v>
      </c>
      <c r="R1999" t="inlineStr">
        <is>
          <t>AUD</t>
        </is>
      </c>
      <c r="S1999" t="n">
        <v>0</v>
      </c>
      <c r="T1999" t="inlineStr">
        <is>
          <t>AUD</t>
        </is>
      </c>
      <c r="U1999" t="n">
        <v>0</v>
      </c>
    </row>
    <row r="2000">
      <c r="A2000" s="5" t="inlineStr">
        <is>
          <t>01a152b9-8dc9-7004-a1e0-b8b13c069d23</t>
        </is>
      </c>
      <c r="C2000" s="5" t="inlineStr">
        <is>
          <t>01a152b9-6e67-75da-8adb-b03e5d07fd21</t>
        </is>
      </c>
      <c r="D2000" s="4" t="n">
        <v>46314.24600232895</v>
      </c>
      <c r="E2000" s="4" t="n">
        <v>46314.2460023291</v>
      </c>
      <c r="F2000" t="b">
        <v>1</v>
      </c>
      <c r="G2000" t="n">
        <v/>
      </c>
      <c r="H2000" t="inlineStr">
        <is>
          <t>KTA</t>
        </is>
      </c>
      <c r="I2000" t="inlineStr">
        <is>
          <t>Krakatoa Resources Ltd</t>
        </is>
      </c>
      <c r="J2000" t="inlineStr">
        <is>
          <t>AUD</t>
        </is>
      </c>
      <c r="K2000" s="5" t="inlineStr">
        <is>
          <t>01a152b9-6ee2-7577-bddd-382bc3853fde</t>
        </is>
      </c>
      <c r="M2000" t="inlineStr">
        <is>
          <t>UNKNOWN</t>
        </is>
      </c>
      <c r="N2000" t="inlineStr">
        <is>
          <t>DEFAULT</t>
        </is>
      </c>
      <c r="Q2000" t="n">
        <v>0</v>
      </c>
      <c r="R2000" t="inlineStr">
        <is>
          <t>AUD</t>
        </is>
      </c>
      <c r="S2000" t="n">
        <v>0</v>
      </c>
      <c r="T2000" t="inlineStr">
        <is>
          <t>AUD</t>
        </is>
      </c>
      <c r="U2000" t="n">
        <v>0</v>
      </c>
    </row>
    <row r="2001">
      <c r="A2001" s="5" t="inlineStr">
        <is>
          <t>01a152b9-8dcc-76ca-9537-9598cf83b2d4</t>
        </is>
      </c>
      <c r="C2001" s="5" t="inlineStr">
        <is>
          <t>01a152b9-6e67-75da-8adb-b03e5d07fd21</t>
        </is>
      </c>
      <c r="D2001" s="4" t="n">
        <v>46314.2460023677</v>
      </c>
      <c r="E2001" s="4" t="n">
        <v>46314.24600236786</v>
      </c>
      <c r="F2001" t="b">
        <v>1</v>
      </c>
      <c r="G2001" t="n">
        <v/>
      </c>
      <c r="H2001" t="inlineStr">
        <is>
          <t>ALV</t>
        </is>
      </c>
      <c r="I2001" t="inlineStr">
        <is>
          <t>Alvo Minerals Ltd</t>
        </is>
      </c>
      <c r="J2001" t="inlineStr">
        <is>
          <t>AUD</t>
        </is>
      </c>
      <c r="K2001" s="5" t="inlineStr">
        <is>
          <t>01a152b9-6ee2-7577-bddd-382bc3853fde</t>
        </is>
      </c>
      <c r="M2001" t="inlineStr">
        <is>
          <t>UNKNOWN</t>
        </is>
      </c>
      <c r="N2001" t="inlineStr">
        <is>
          <t>DEFAULT</t>
        </is>
      </c>
      <c r="Q2001" t="n">
        <v>0</v>
      </c>
      <c r="R2001" t="inlineStr">
        <is>
          <t>AUD</t>
        </is>
      </c>
      <c r="S2001" t="n">
        <v>0</v>
      </c>
      <c r="T2001" t="inlineStr">
        <is>
          <t>AUD</t>
        </is>
      </c>
      <c r="U2001" t="n">
        <v>0</v>
      </c>
    </row>
    <row r="2002">
      <c r="A2002" s="5" t="inlineStr">
        <is>
          <t>01a152b9-8dd0-749a-a639-f03e2a81fdd7</t>
        </is>
      </c>
      <c r="C2002" s="5" t="inlineStr">
        <is>
          <t>01a152b9-6e67-75da-8adb-b03e5d07fd21</t>
        </is>
      </c>
      <c r="D2002" s="4" t="n">
        <v>46314.24600241292</v>
      </c>
      <c r="E2002" s="4" t="n">
        <v>46314.24600241303</v>
      </c>
      <c r="F2002" t="b">
        <v>1</v>
      </c>
      <c r="G2002" t="n">
        <v/>
      </c>
      <c r="H2002" t="inlineStr">
        <is>
          <t>MEL</t>
        </is>
      </c>
      <c r="I2002" t="inlineStr">
        <is>
          <t>Metgasco Ltd</t>
        </is>
      </c>
      <c r="J2002" t="inlineStr">
        <is>
          <t>AUD</t>
        </is>
      </c>
      <c r="K2002" s="5" t="inlineStr">
        <is>
          <t>01a152b9-6ee2-7577-bddd-382bc3853fde</t>
        </is>
      </c>
      <c r="M2002" t="inlineStr">
        <is>
          <t>UNKNOWN</t>
        </is>
      </c>
      <c r="N2002" t="inlineStr">
        <is>
          <t>DEFAULT</t>
        </is>
      </c>
      <c r="Q2002" t="n">
        <v>0</v>
      </c>
      <c r="R2002" t="inlineStr">
        <is>
          <t>AUD</t>
        </is>
      </c>
      <c r="S2002" t="n">
        <v>0</v>
      </c>
      <c r="T2002" t="inlineStr">
        <is>
          <t>AUD</t>
        </is>
      </c>
      <c r="U2002" t="n">
        <v>0</v>
      </c>
    </row>
    <row r="2003">
      <c r="A2003" s="5" t="inlineStr">
        <is>
          <t>01a152b9-8dd3-7690-b97a-ecf5a0ec11d1</t>
        </is>
      </c>
      <c r="C2003" s="5" t="inlineStr">
        <is>
          <t>01a152b9-6e67-75da-8adb-b03e5d07fd21</t>
        </is>
      </c>
      <c r="D2003" s="4" t="n">
        <v>46314.24600244964</v>
      </c>
      <c r="E2003" s="4" t="n">
        <v>46314.24600244976</v>
      </c>
      <c r="F2003" t="b">
        <v>1</v>
      </c>
      <c r="G2003" t="n">
        <v/>
      </c>
      <c r="H2003" t="inlineStr">
        <is>
          <t>HRE</t>
        </is>
      </c>
      <c r="I2003" t="inlineStr">
        <is>
          <t>Heavy Rare EARTHS Ltd</t>
        </is>
      </c>
      <c r="J2003" t="inlineStr">
        <is>
          <t>AUD</t>
        </is>
      </c>
      <c r="K2003" s="5" t="inlineStr">
        <is>
          <t>01a152b9-6ee2-7577-bddd-382bc3853fde</t>
        </is>
      </c>
      <c r="M2003" t="inlineStr">
        <is>
          <t>UNKNOWN</t>
        </is>
      </c>
      <c r="N2003" t="inlineStr">
        <is>
          <t>DEFAULT</t>
        </is>
      </c>
      <c r="Q2003" t="n">
        <v>0</v>
      </c>
      <c r="R2003" t="inlineStr">
        <is>
          <t>AUD</t>
        </is>
      </c>
      <c r="S2003" t="n">
        <v>0</v>
      </c>
      <c r="T2003" t="inlineStr">
        <is>
          <t>AUD</t>
        </is>
      </c>
      <c r="U2003" t="n">
        <v>0</v>
      </c>
    </row>
    <row r="2004">
      <c r="A2004" s="5" t="inlineStr">
        <is>
          <t>01a152b9-8dd6-72a6-8179-2c2f5cf6087f</t>
        </is>
      </c>
      <c r="C2004" s="5" t="inlineStr">
        <is>
          <t>01a152b9-6e67-75da-8adb-b03e5d07fd21</t>
        </is>
      </c>
      <c r="D2004" s="4" t="n">
        <v>46314.24600248785</v>
      </c>
      <c r="E2004" s="4" t="n">
        <v>46314.24600248796</v>
      </c>
      <c r="F2004" t="b">
        <v>1</v>
      </c>
      <c r="G2004" t="n">
        <v/>
      </c>
      <c r="H2004" t="inlineStr">
        <is>
          <t>FFF</t>
        </is>
      </c>
      <c r="I2004" t="inlineStr">
        <is>
          <t>Forbidden Foods Ltd</t>
        </is>
      </c>
      <c r="J2004" t="inlineStr">
        <is>
          <t>AUD</t>
        </is>
      </c>
      <c r="K2004" s="5" t="inlineStr">
        <is>
          <t>01a152b9-6ee2-7577-bddd-382bc3853fde</t>
        </is>
      </c>
      <c r="M2004" t="inlineStr">
        <is>
          <t>UNKNOWN</t>
        </is>
      </c>
      <c r="N2004" t="inlineStr">
        <is>
          <t>DEFAULT</t>
        </is>
      </c>
      <c r="Q2004" t="n">
        <v>0</v>
      </c>
      <c r="R2004" t="inlineStr">
        <is>
          <t>AUD</t>
        </is>
      </c>
      <c r="S2004" t="n">
        <v>0</v>
      </c>
      <c r="T2004" t="inlineStr">
        <is>
          <t>AUD</t>
        </is>
      </c>
      <c r="U2004" t="n">
        <v>0</v>
      </c>
    </row>
    <row r="2005">
      <c r="A2005" s="5" t="inlineStr">
        <is>
          <t>01a152b9-8dda-75e6-8dbf-7c39971c450e</t>
        </is>
      </c>
      <c r="C2005" s="5" t="inlineStr">
        <is>
          <t>01a152b9-6e67-75da-8adb-b03e5d07fd21</t>
        </is>
      </c>
      <c r="D2005" s="4" t="n">
        <v>46314.24600252703</v>
      </c>
      <c r="E2005" s="4" t="n">
        <v>46314.24600252712</v>
      </c>
      <c r="F2005" t="b">
        <v>1</v>
      </c>
      <c r="G2005" t="n">
        <v/>
      </c>
      <c r="H2005" t="inlineStr">
        <is>
          <t>LVE</t>
        </is>
      </c>
      <c r="I2005" t="inlineStr">
        <is>
          <t>Love Group Global Ltd</t>
        </is>
      </c>
      <c r="J2005" t="inlineStr">
        <is>
          <t>AUD</t>
        </is>
      </c>
      <c r="K2005" s="5" t="inlineStr">
        <is>
          <t>01a152b9-6ee2-7577-bddd-382bc3853fde</t>
        </is>
      </c>
      <c r="M2005" t="inlineStr">
        <is>
          <t>UNKNOWN</t>
        </is>
      </c>
      <c r="N2005" t="inlineStr">
        <is>
          <t>DEFAULT</t>
        </is>
      </c>
      <c r="Q2005" t="n">
        <v>0</v>
      </c>
      <c r="R2005" t="inlineStr">
        <is>
          <t>AUD</t>
        </is>
      </c>
      <c r="S2005" t="n">
        <v>0</v>
      </c>
      <c r="T2005" t="inlineStr">
        <is>
          <t>AUD</t>
        </is>
      </c>
      <c r="U2005" t="n">
        <v>0</v>
      </c>
    </row>
    <row r="2006">
      <c r="A2006" s="5" t="inlineStr">
        <is>
          <t>01a152b9-8ddd-745f-a5a6-9dd684694b68</t>
        </is>
      </c>
      <c r="C2006" s="5" t="inlineStr">
        <is>
          <t>01a152b9-6e67-75da-8adb-b03e5d07fd21</t>
        </is>
      </c>
      <c r="D2006" s="4" t="n">
        <v>46314.24600256686</v>
      </c>
      <c r="E2006" s="4" t="n">
        <v>46314.24600256698</v>
      </c>
      <c r="F2006" t="b">
        <v>1</v>
      </c>
      <c r="G2006" t="n">
        <v/>
      </c>
      <c r="H2006" t="inlineStr">
        <is>
          <t>GTG</t>
        </is>
      </c>
      <c r="I2006" t="inlineStr">
        <is>
          <t>Genetic Technologies Ltd</t>
        </is>
      </c>
      <c r="J2006" t="inlineStr">
        <is>
          <t>AUD</t>
        </is>
      </c>
      <c r="K2006" s="5" t="inlineStr">
        <is>
          <t>01a152b9-6ee2-7577-bddd-382bc3853fde</t>
        </is>
      </c>
      <c r="M2006" t="inlineStr">
        <is>
          <t>UNKNOWN</t>
        </is>
      </c>
      <c r="N2006" t="inlineStr">
        <is>
          <t>DEFAULT</t>
        </is>
      </c>
      <c r="Q2006" t="n">
        <v>0</v>
      </c>
      <c r="R2006" t="inlineStr">
        <is>
          <t>AUD</t>
        </is>
      </c>
      <c r="S2006" t="n">
        <v>0</v>
      </c>
      <c r="T2006" t="inlineStr">
        <is>
          <t>AUD</t>
        </is>
      </c>
      <c r="U2006" t="n">
        <v>0</v>
      </c>
    </row>
    <row r="2007">
      <c r="A2007" s="5" t="inlineStr">
        <is>
          <t>01a152b9-8de1-7269-8d0f-4aa0d113a1fb</t>
        </is>
      </c>
      <c r="C2007" s="5" t="inlineStr">
        <is>
          <t>01a152b9-6e67-75da-8adb-b03e5d07fd21</t>
        </is>
      </c>
      <c r="D2007" s="4" t="n">
        <v>46314.24600261266</v>
      </c>
      <c r="E2007" s="4" t="n">
        <v>46314.24600261277</v>
      </c>
      <c r="F2007" t="b">
        <v>1</v>
      </c>
      <c r="G2007" t="n">
        <v/>
      </c>
      <c r="H2007" t="inlineStr">
        <is>
          <t>ZMI</t>
        </is>
      </c>
      <c r="I2007" t="inlineStr">
        <is>
          <t>ZINC of Ireland NL</t>
        </is>
      </c>
      <c r="J2007" t="inlineStr">
        <is>
          <t>AUD</t>
        </is>
      </c>
      <c r="K2007" s="5" t="inlineStr">
        <is>
          <t>01a152b9-6ee2-7577-bddd-382bc3853fde</t>
        </is>
      </c>
      <c r="M2007" t="inlineStr">
        <is>
          <t>UNKNOWN</t>
        </is>
      </c>
      <c r="N2007" t="inlineStr">
        <is>
          <t>DEFAULT</t>
        </is>
      </c>
      <c r="Q2007" t="n">
        <v>0</v>
      </c>
      <c r="R2007" t="inlineStr">
        <is>
          <t>AUD</t>
        </is>
      </c>
      <c r="S2007" t="n">
        <v>0</v>
      </c>
      <c r="T2007" t="inlineStr">
        <is>
          <t>AUD</t>
        </is>
      </c>
      <c r="U2007" t="n">
        <v>0</v>
      </c>
    </row>
    <row r="2008">
      <c r="A2008" s="5" t="inlineStr">
        <is>
          <t>01a152b9-8de4-750e-a159-4a266f8313dd</t>
        </is>
      </c>
      <c r="C2008" s="5" t="inlineStr">
        <is>
          <t>01a152b9-6e67-75da-8adb-b03e5d07fd21</t>
        </is>
      </c>
      <c r="D2008" s="4" t="n">
        <v>46314.24600264894</v>
      </c>
      <c r="E2008" s="4" t="n">
        <v>46314.24600264904</v>
      </c>
      <c r="F2008" t="b">
        <v>1</v>
      </c>
      <c r="G2008" t="n">
        <v/>
      </c>
      <c r="H2008" t="inlineStr">
        <is>
          <t>BGT</t>
        </is>
      </c>
      <c r="I2008" t="inlineStr">
        <is>
          <t>Bio-Gene Technology Ltd</t>
        </is>
      </c>
      <c r="J2008" t="inlineStr">
        <is>
          <t>AUD</t>
        </is>
      </c>
      <c r="K2008" s="5" t="inlineStr">
        <is>
          <t>01a152b9-6ee2-7577-bddd-382bc3853fde</t>
        </is>
      </c>
      <c r="M2008" t="inlineStr">
        <is>
          <t>UNKNOWN</t>
        </is>
      </c>
      <c r="N2008" t="inlineStr">
        <is>
          <t>DEFAULT</t>
        </is>
      </c>
      <c r="Q2008" t="n">
        <v>0</v>
      </c>
      <c r="R2008" t="inlineStr">
        <is>
          <t>AUD</t>
        </is>
      </c>
      <c r="S2008" t="n">
        <v>0</v>
      </c>
      <c r="T2008" t="inlineStr">
        <is>
          <t>AUD</t>
        </is>
      </c>
      <c r="U2008" t="n">
        <v>0</v>
      </c>
    </row>
    <row r="2009">
      <c r="A2009" s="5" t="inlineStr">
        <is>
          <t>01a152b9-8de7-7390-9866-2161fea3abd0</t>
        </is>
      </c>
      <c r="C2009" s="5" t="inlineStr">
        <is>
          <t>01a152b9-6e67-75da-8adb-b03e5d07fd21</t>
        </is>
      </c>
      <c r="D2009" s="4" t="n">
        <v>46314.24600268603</v>
      </c>
      <c r="E2009" s="4" t="n">
        <v>46314.24600268612</v>
      </c>
      <c r="F2009" t="b">
        <v>1</v>
      </c>
      <c r="G2009" t="n">
        <v/>
      </c>
      <c r="H2009" t="inlineStr">
        <is>
          <t>LM1</t>
        </is>
      </c>
      <c r="I2009" t="inlineStr">
        <is>
          <t>Leeuwin Metals Ltd</t>
        </is>
      </c>
      <c r="J2009" t="inlineStr">
        <is>
          <t>AUD</t>
        </is>
      </c>
      <c r="K2009" s="5" t="inlineStr">
        <is>
          <t>01a152b9-6ee2-7577-bddd-382bc3853fde</t>
        </is>
      </c>
      <c r="M2009" t="inlineStr">
        <is>
          <t>UNKNOWN</t>
        </is>
      </c>
      <c r="N2009" t="inlineStr">
        <is>
          <t>DEFAULT</t>
        </is>
      </c>
      <c r="Q2009" t="n">
        <v>0</v>
      </c>
      <c r="R2009" t="inlineStr">
        <is>
          <t>AUD</t>
        </is>
      </c>
      <c r="S2009" t="n">
        <v>0</v>
      </c>
      <c r="T2009" t="inlineStr">
        <is>
          <t>AUD</t>
        </is>
      </c>
      <c r="U2009" t="n">
        <v>0</v>
      </c>
    </row>
    <row r="2010">
      <c r="A2010" s="5" t="inlineStr">
        <is>
          <t>01a152b9-8deb-7367-9eab-ce9c1a681a4f</t>
        </is>
      </c>
      <c r="C2010" s="5" t="inlineStr">
        <is>
          <t>01a152b9-6e67-75da-8adb-b03e5d07fd21</t>
        </is>
      </c>
      <c r="D2010" s="4" t="n">
        <v>46314.24600272941</v>
      </c>
      <c r="E2010" s="4" t="n">
        <v>46314.24600272954</v>
      </c>
      <c r="F2010" t="b">
        <v>1</v>
      </c>
      <c r="G2010" t="n">
        <v/>
      </c>
      <c r="H2010" t="inlineStr">
        <is>
          <t>BCC</t>
        </is>
      </c>
      <c r="I2010" t="inlineStr">
        <is>
          <t>Beam Communications Holdings Ltd</t>
        </is>
      </c>
      <c r="J2010" t="inlineStr">
        <is>
          <t>AUD</t>
        </is>
      </c>
      <c r="K2010" s="5" t="inlineStr">
        <is>
          <t>01a152b9-6ee2-7577-bddd-382bc3853fde</t>
        </is>
      </c>
      <c r="M2010" t="inlineStr">
        <is>
          <t>UNKNOWN</t>
        </is>
      </c>
      <c r="N2010" t="inlineStr">
        <is>
          <t>DEFAULT</t>
        </is>
      </c>
      <c r="Q2010" t="n">
        <v>0</v>
      </c>
      <c r="R2010" t="inlineStr">
        <is>
          <t>AUD</t>
        </is>
      </c>
      <c r="S2010" t="n">
        <v>0</v>
      </c>
      <c r="T2010" t="inlineStr">
        <is>
          <t>AUD</t>
        </is>
      </c>
      <c r="U2010" t="n">
        <v>0</v>
      </c>
    </row>
    <row r="2011">
      <c r="A2011" s="5" t="inlineStr">
        <is>
          <t>01a152b9-8def-77fd-96d2-20db6ca9cdff</t>
        </is>
      </c>
      <c r="C2011" s="5" t="inlineStr">
        <is>
          <t>01a152b9-6e67-75da-8adb-b03e5d07fd21</t>
        </is>
      </c>
      <c r="D2011" s="4" t="n">
        <v>46314.24600277123</v>
      </c>
      <c r="E2011" s="4" t="n">
        <v>46314.24600277132</v>
      </c>
      <c r="F2011" t="b">
        <v>1</v>
      </c>
      <c r="G2011" t="n">
        <v/>
      </c>
      <c r="H2011" t="inlineStr">
        <is>
          <t>IXC</t>
        </is>
      </c>
      <c r="I2011" t="inlineStr">
        <is>
          <t>INVEX Therapeutics Ltd</t>
        </is>
      </c>
      <c r="J2011" t="inlineStr">
        <is>
          <t>AUD</t>
        </is>
      </c>
      <c r="K2011" s="5" t="inlineStr">
        <is>
          <t>01a152b9-6ee2-7577-bddd-382bc3853fde</t>
        </is>
      </c>
      <c r="M2011" t="inlineStr">
        <is>
          <t>UNKNOWN</t>
        </is>
      </c>
      <c r="N2011" t="inlineStr">
        <is>
          <t>DEFAULT</t>
        </is>
      </c>
      <c r="Q2011" t="n">
        <v>0</v>
      </c>
      <c r="R2011" t="inlineStr">
        <is>
          <t>AUD</t>
        </is>
      </c>
      <c r="S2011" t="n">
        <v>0</v>
      </c>
      <c r="T2011" t="inlineStr">
        <is>
          <t>AUD</t>
        </is>
      </c>
      <c r="U2011" t="n">
        <v>0</v>
      </c>
    </row>
    <row r="2012">
      <c r="A2012" s="5" t="inlineStr">
        <is>
          <t>01a152b9-8df2-7188-a9d6-feff83c2b336</t>
        </is>
      </c>
      <c r="C2012" s="5" t="inlineStr">
        <is>
          <t>01a152b9-6e67-75da-8adb-b03e5d07fd21</t>
        </is>
      </c>
      <c r="D2012" s="4" t="n">
        <v>46314.24600280831</v>
      </c>
      <c r="E2012" s="4" t="n">
        <v>46314.2460028084</v>
      </c>
      <c r="F2012" t="b">
        <v>1</v>
      </c>
      <c r="G2012" t="n">
        <v/>
      </c>
      <c r="H2012" t="inlineStr">
        <is>
          <t>HVLU</t>
        </is>
      </c>
      <c r="I2012" t="inlineStr">
        <is>
          <t>Vaneck MSCI International Value (Aud Hedged) ETF</t>
        </is>
      </c>
      <c r="J2012" t="inlineStr">
        <is>
          <t>AUD</t>
        </is>
      </c>
      <c r="K2012" s="5" t="inlineStr">
        <is>
          <t>01a152b9-6ee2-7577-bddd-382bc3853fde</t>
        </is>
      </c>
      <c r="M2012" t="inlineStr">
        <is>
          <t>UNKNOWN</t>
        </is>
      </c>
      <c r="N2012" t="inlineStr">
        <is>
          <t>DEFAULT</t>
        </is>
      </c>
      <c r="Q2012" t="n">
        <v>0</v>
      </c>
      <c r="R2012" t="inlineStr">
        <is>
          <t>AUD</t>
        </is>
      </c>
      <c r="S2012" t="n">
        <v>0</v>
      </c>
      <c r="T2012" t="inlineStr">
        <is>
          <t>AUD</t>
        </is>
      </c>
      <c r="U2012" t="n">
        <v>0</v>
      </c>
    </row>
    <row r="2013">
      <c r="A2013" s="5" t="inlineStr">
        <is>
          <t>01a152b9-8df5-75ef-95bd-004092f15e63</t>
        </is>
      </c>
      <c r="C2013" s="5" t="inlineStr">
        <is>
          <t>01a152b9-6e67-75da-8adb-b03e5d07fd21</t>
        </is>
      </c>
      <c r="D2013" s="4" t="n">
        <v>46314.24600284857</v>
      </c>
      <c r="E2013" s="4" t="n">
        <v>46314.24600284867</v>
      </c>
      <c r="F2013" t="b">
        <v>1</v>
      </c>
      <c r="G2013" t="n">
        <v/>
      </c>
      <c r="H2013" t="inlineStr">
        <is>
          <t>NSB</t>
        </is>
      </c>
      <c r="I2013" t="inlineStr">
        <is>
          <t>Neuroscientific Biopharmaceuticals Ltd</t>
        </is>
      </c>
      <c r="J2013" t="inlineStr">
        <is>
          <t>AUD</t>
        </is>
      </c>
      <c r="K2013" s="5" t="inlineStr">
        <is>
          <t>01a152b9-6ee2-7577-bddd-382bc3853fde</t>
        </is>
      </c>
      <c r="M2013" t="inlineStr">
        <is>
          <t>UNKNOWN</t>
        </is>
      </c>
      <c r="N2013" t="inlineStr">
        <is>
          <t>DEFAULT</t>
        </is>
      </c>
      <c r="Q2013" t="n">
        <v>0</v>
      </c>
      <c r="R2013" t="inlineStr">
        <is>
          <t>AUD</t>
        </is>
      </c>
      <c r="S2013" t="n">
        <v>0</v>
      </c>
      <c r="T2013" t="inlineStr">
        <is>
          <t>AUD</t>
        </is>
      </c>
      <c r="U2013" t="n">
        <v>0</v>
      </c>
    </row>
    <row r="2014">
      <c r="A2014" s="5" t="inlineStr">
        <is>
          <t>01a152b9-8df9-744d-a736-0776fd50fdb3</t>
        </is>
      </c>
      <c r="C2014" s="5" t="inlineStr">
        <is>
          <t>01a152b9-6e67-75da-8adb-b03e5d07fd21</t>
        </is>
      </c>
      <c r="D2014" s="4" t="n">
        <v>46314.24600288564</v>
      </c>
      <c r="E2014" s="4" t="n">
        <v>46314.24600288574</v>
      </c>
      <c r="F2014" t="b">
        <v>1</v>
      </c>
      <c r="G2014" t="n">
        <v/>
      </c>
      <c r="H2014" t="inlineStr">
        <is>
          <t>AML</t>
        </is>
      </c>
      <c r="I2014" t="inlineStr">
        <is>
          <t>Aeon Metals Ltd</t>
        </is>
      </c>
      <c r="J2014" t="inlineStr">
        <is>
          <t>AUD</t>
        </is>
      </c>
      <c r="K2014" s="5" t="inlineStr">
        <is>
          <t>01a152b9-6ee2-7577-bddd-382bc3853fde</t>
        </is>
      </c>
      <c r="M2014" t="inlineStr">
        <is>
          <t>UNKNOWN</t>
        </is>
      </c>
      <c r="N2014" t="inlineStr">
        <is>
          <t>DEFAULT</t>
        </is>
      </c>
      <c r="Q2014" t="n">
        <v>0</v>
      </c>
      <c r="R2014" t="inlineStr">
        <is>
          <t>AUD</t>
        </is>
      </c>
      <c r="S2014" t="n">
        <v>0</v>
      </c>
      <c r="T2014" t="inlineStr">
        <is>
          <t>AUD</t>
        </is>
      </c>
      <c r="U2014" t="n">
        <v>0</v>
      </c>
    </row>
    <row r="2015">
      <c r="A2015" s="5" t="inlineStr">
        <is>
          <t>01a152b9-8dfc-70c7-8f3e-f002b191906e</t>
        </is>
      </c>
      <c r="C2015" s="5" t="inlineStr">
        <is>
          <t>01a152b9-6e67-75da-8adb-b03e5d07fd21</t>
        </is>
      </c>
      <c r="D2015" s="4" t="n">
        <v>46314.2460029229</v>
      </c>
      <c r="E2015" s="4" t="n">
        <v>46314.246002923</v>
      </c>
      <c r="F2015" t="b">
        <v>1</v>
      </c>
      <c r="G2015" t="n">
        <v/>
      </c>
      <c r="H2015" t="inlineStr">
        <is>
          <t>NPM</t>
        </is>
      </c>
      <c r="I2015" t="inlineStr">
        <is>
          <t>Newpeak Metals Ltd</t>
        </is>
      </c>
      <c r="J2015" t="inlineStr">
        <is>
          <t>AUD</t>
        </is>
      </c>
      <c r="K2015" s="5" t="inlineStr">
        <is>
          <t>01a152b9-6ee2-7577-bddd-382bc3853fde</t>
        </is>
      </c>
      <c r="M2015" t="inlineStr">
        <is>
          <t>UNKNOWN</t>
        </is>
      </c>
      <c r="N2015" t="inlineStr">
        <is>
          <t>DEFAULT</t>
        </is>
      </c>
      <c r="Q2015" t="n">
        <v>0</v>
      </c>
      <c r="R2015" t="inlineStr">
        <is>
          <t>AUD</t>
        </is>
      </c>
      <c r="S2015" t="n">
        <v>0</v>
      </c>
      <c r="T2015" t="inlineStr">
        <is>
          <t>AUD</t>
        </is>
      </c>
      <c r="U2015" t="n">
        <v>0</v>
      </c>
    </row>
    <row r="2016">
      <c r="A2016" s="5" t="inlineStr">
        <is>
          <t>01a152b9-8e00-7082-bda3-6f62625366a5</t>
        </is>
      </c>
      <c r="C2016" s="5" t="inlineStr">
        <is>
          <t>01a152b9-6e67-75da-8adb-b03e5d07fd21</t>
        </is>
      </c>
      <c r="D2016" s="4" t="n">
        <v>46314.24600296503</v>
      </c>
      <c r="E2016" s="4" t="n">
        <v>46314.24600296514</v>
      </c>
      <c r="F2016" t="b">
        <v>1</v>
      </c>
      <c r="G2016" t="n">
        <v/>
      </c>
      <c r="H2016" t="inlineStr">
        <is>
          <t>PSL</t>
        </is>
      </c>
      <c r="I2016" t="inlineStr">
        <is>
          <t>Paterson Resources Ltd</t>
        </is>
      </c>
      <c r="J2016" t="inlineStr">
        <is>
          <t>AUD</t>
        </is>
      </c>
      <c r="K2016" s="5" t="inlineStr">
        <is>
          <t>01a152b9-6ee2-7577-bddd-382bc3853fde</t>
        </is>
      </c>
      <c r="M2016" t="inlineStr">
        <is>
          <t>UNKNOWN</t>
        </is>
      </c>
      <c r="N2016" t="inlineStr">
        <is>
          <t>DEFAULT</t>
        </is>
      </c>
      <c r="Q2016" t="n">
        <v>0</v>
      </c>
      <c r="R2016" t="inlineStr">
        <is>
          <t>AUD</t>
        </is>
      </c>
      <c r="S2016" t="n">
        <v>0</v>
      </c>
      <c r="T2016" t="inlineStr">
        <is>
          <t>AUD</t>
        </is>
      </c>
      <c r="U2016" t="n">
        <v>0</v>
      </c>
    </row>
    <row r="2017">
      <c r="A2017" s="5" t="inlineStr">
        <is>
          <t>01a152b9-8e03-71ed-bceb-612feb8cfa7e</t>
        </is>
      </c>
      <c r="C2017" s="5" t="inlineStr">
        <is>
          <t>01a152b9-6e67-75da-8adb-b03e5d07fd21</t>
        </is>
      </c>
      <c r="D2017" s="4" t="n">
        <v>46314.24600300493</v>
      </c>
      <c r="E2017" s="4" t="n">
        <v>46314.24600300504</v>
      </c>
      <c r="F2017" t="b">
        <v>1</v>
      </c>
      <c r="G2017" t="n">
        <v/>
      </c>
      <c r="H2017" t="inlineStr">
        <is>
          <t>MEG</t>
        </is>
      </c>
      <c r="I2017" t="inlineStr">
        <is>
          <t>Megado Minerals Ltd</t>
        </is>
      </c>
      <c r="J2017" t="inlineStr">
        <is>
          <t>AUD</t>
        </is>
      </c>
      <c r="K2017" s="5" t="inlineStr">
        <is>
          <t>01a152b9-6ee2-7577-bddd-382bc3853fde</t>
        </is>
      </c>
      <c r="M2017" t="inlineStr">
        <is>
          <t>UNKNOWN</t>
        </is>
      </c>
      <c r="N2017" t="inlineStr">
        <is>
          <t>DEFAULT</t>
        </is>
      </c>
      <c r="Q2017" t="n">
        <v>0</v>
      </c>
      <c r="R2017" t="inlineStr">
        <is>
          <t>AUD</t>
        </is>
      </c>
      <c r="S2017" t="n">
        <v>0</v>
      </c>
      <c r="T2017" t="inlineStr">
        <is>
          <t>AUD</t>
        </is>
      </c>
      <c r="U2017" t="n">
        <v>0</v>
      </c>
    </row>
    <row r="2018">
      <c r="A2018" s="5" t="inlineStr">
        <is>
          <t>01a152b9-8e06-75e1-a2e3-02612a3705f3</t>
        </is>
      </c>
      <c r="C2018" s="5" t="inlineStr">
        <is>
          <t>01a152b9-6e67-75da-8adb-b03e5d07fd21</t>
        </is>
      </c>
      <c r="D2018" s="4" t="n">
        <v>46314.24600304412</v>
      </c>
      <c r="E2018" s="4" t="n">
        <v>46314.24600304422</v>
      </c>
      <c r="F2018" t="b">
        <v>1</v>
      </c>
      <c r="G2018" t="n">
        <v/>
      </c>
      <c r="H2018" t="inlineStr">
        <is>
          <t>NSM</t>
        </is>
      </c>
      <c r="I2018" t="inlineStr">
        <is>
          <t>North Stawell Minerals Ltd</t>
        </is>
      </c>
      <c r="J2018" t="inlineStr">
        <is>
          <t>AUD</t>
        </is>
      </c>
      <c r="K2018" s="5" t="inlineStr">
        <is>
          <t>01a152b9-6ee2-7577-bddd-382bc3853fde</t>
        </is>
      </c>
      <c r="M2018" t="inlineStr">
        <is>
          <t>UNKNOWN</t>
        </is>
      </c>
      <c r="N2018" t="inlineStr">
        <is>
          <t>DEFAULT</t>
        </is>
      </c>
      <c r="Q2018" t="n">
        <v>0</v>
      </c>
      <c r="R2018" t="inlineStr">
        <is>
          <t>AUD</t>
        </is>
      </c>
      <c r="S2018" t="n">
        <v>0</v>
      </c>
      <c r="T2018" t="inlineStr">
        <is>
          <t>AUD</t>
        </is>
      </c>
      <c r="U2018" t="n">
        <v>0</v>
      </c>
    </row>
    <row r="2019">
      <c r="A2019" s="5" t="inlineStr">
        <is>
          <t>01a152b9-8e0a-721d-9745-a63885e177b8</t>
        </is>
      </c>
      <c r="C2019" s="5" t="inlineStr">
        <is>
          <t>01a152b9-6e67-75da-8adb-b03e5d07fd21</t>
        </is>
      </c>
      <c r="D2019" s="4" t="n">
        <v>46314.24600308537</v>
      </c>
      <c r="E2019" s="4" t="n">
        <v>46314.24600308548</v>
      </c>
      <c r="F2019" t="b">
        <v>1</v>
      </c>
      <c r="G2019" t="n">
        <v/>
      </c>
      <c r="H2019" t="inlineStr">
        <is>
          <t>BPM</t>
        </is>
      </c>
      <c r="I2019" t="inlineStr">
        <is>
          <t>BPM Minerals Ltd</t>
        </is>
      </c>
      <c r="J2019" t="inlineStr">
        <is>
          <t>AUD</t>
        </is>
      </c>
      <c r="K2019" s="5" t="inlineStr">
        <is>
          <t>01a152b9-6ee2-7577-bddd-382bc3853fde</t>
        </is>
      </c>
      <c r="M2019" t="inlineStr">
        <is>
          <t>UNKNOWN</t>
        </is>
      </c>
      <c r="N2019" t="inlineStr">
        <is>
          <t>DEFAULT</t>
        </is>
      </c>
      <c r="Q2019" t="n">
        <v>0</v>
      </c>
      <c r="R2019" t="inlineStr">
        <is>
          <t>AUD</t>
        </is>
      </c>
      <c r="S2019" t="n">
        <v>0</v>
      </c>
      <c r="T2019" t="inlineStr">
        <is>
          <t>AUD</t>
        </is>
      </c>
      <c r="U2019" t="n">
        <v>0</v>
      </c>
    </row>
    <row r="2020">
      <c r="A2020" s="5" t="inlineStr">
        <is>
          <t>01a152b9-8e0e-728d-b8ea-2d17966b84f3</t>
        </is>
      </c>
      <c r="C2020" s="5" t="inlineStr">
        <is>
          <t>01a152b9-6e67-75da-8adb-b03e5d07fd21</t>
        </is>
      </c>
      <c r="D2020" s="4" t="n">
        <v>46314.24600312704</v>
      </c>
      <c r="E2020" s="4" t="n">
        <v>46314.24600312718</v>
      </c>
      <c r="F2020" t="b">
        <v>1</v>
      </c>
      <c r="G2020" t="n">
        <v/>
      </c>
      <c r="H2020" t="inlineStr">
        <is>
          <t>NGS</t>
        </is>
      </c>
      <c r="I2020" t="inlineStr">
        <is>
          <t>Nutritional Growth Solutions Ltd</t>
        </is>
      </c>
      <c r="J2020" t="inlineStr">
        <is>
          <t>AUD</t>
        </is>
      </c>
      <c r="K2020" s="5" t="inlineStr">
        <is>
          <t>01a152b9-6ee2-7577-bddd-382bc3853fde</t>
        </is>
      </c>
      <c r="M2020" t="inlineStr">
        <is>
          <t>UNKNOWN</t>
        </is>
      </c>
      <c r="N2020" t="inlineStr">
        <is>
          <t>DEFAULT</t>
        </is>
      </c>
      <c r="Q2020" t="n">
        <v>0</v>
      </c>
      <c r="R2020" t="inlineStr">
        <is>
          <t>AUD</t>
        </is>
      </c>
      <c r="S2020" t="n">
        <v>0</v>
      </c>
      <c r="T2020" t="inlineStr">
        <is>
          <t>AUD</t>
        </is>
      </c>
      <c r="U2020" t="n">
        <v>0</v>
      </c>
    </row>
    <row r="2021">
      <c r="A2021" s="5" t="inlineStr">
        <is>
          <t>01a152b9-8e11-70f8-87fb-1d1cdc03e579</t>
        </is>
      </c>
      <c r="C2021" s="5" t="inlineStr">
        <is>
          <t>01a152b9-6e67-75da-8adb-b03e5d07fd21</t>
        </is>
      </c>
      <c r="D2021" s="4" t="n">
        <v>46314.24600316905</v>
      </c>
      <c r="E2021" s="4" t="n">
        <v>46314.24600316917</v>
      </c>
      <c r="F2021" t="b">
        <v>1</v>
      </c>
      <c r="G2021" t="n">
        <v/>
      </c>
      <c r="H2021" t="inlineStr">
        <is>
          <t>GC1PA</t>
        </is>
      </c>
      <c r="I2021" t="inlineStr">
        <is>
          <t>Glennon Small Companies Ltd</t>
        </is>
      </c>
      <c r="J2021" t="inlineStr">
        <is>
          <t>AUD</t>
        </is>
      </c>
      <c r="K2021" s="5" t="inlineStr">
        <is>
          <t>01a152b9-6ee2-7577-bddd-382bc3853fde</t>
        </is>
      </c>
      <c r="M2021" t="inlineStr">
        <is>
          <t>UNKNOWN</t>
        </is>
      </c>
      <c r="N2021" t="inlineStr">
        <is>
          <t>DEFAULT</t>
        </is>
      </c>
      <c r="Q2021" t="n">
        <v>0</v>
      </c>
      <c r="R2021" t="inlineStr">
        <is>
          <t>AUD</t>
        </is>
      </c>
      <c r="S2021" t="n">
        <v>0</v>
      </c>
      <c r="T2021" t="inlineStr">
        <is>
          <t>AUD</t>
        </is>
      </c>
      <c r="U2021" t="n">
        <v>0</v>
      </c>
    </row>
    <row r="2022">
      <c r="A2022" s="5" t="inlineStr">
        <is>
          <t>01a152b9-8e15-775e-9de7-64498c8bedc3</t>
        </is>
      </c>
      <c r="C2022" s="5" t="inlineStr">
        <is>
          <t>01a152b9-6e67-75da-8adb-b03e5d07fd21</t>
        </is>
      </c>
      <c r="D2022" s="4" t="n">
        <v>46314.24600321095</v>
      </c>
      <c r="E2022" s="4" t="n">
        <v>46314.24600321105</v>
      </c>
      <c r="F2022" t="b">
        <v>1</v>
      </c>
      <c r="G2022" t="n">
        <v/>
      </c>
      <c r="H2022" t="inlineStr">
        <is>
          <t>MHC</t>
        </is>
      </c>
      <c r="I2022" t="inlineStr">
        <is>
          <t>Manhattan Corporation Ltd</t>
        </is>
      </c>
      <c r="J2022" t="inlineStr">
        <is>
          <t>AUD</t>
        </is>
      </c>
      <c r="K2022" s="5" t="inlineStr">
        <is>
          <t>01a152b9-6ee2-7577-bddd-382bc3853fde</t>
        </is>
      </c>
      <c r="M2022" t="inlineStr">
        <is>
          <t>UNKNOWN</t>
        </is>
      </c>
      <c r="N2022" t="inlineStr">
        <is>
          <t>DEFAULT</t>
        </is>
      </c>
      <c r="Q2022" t="n">
        <v>0</v>
      </c>
      <c r="R2022" t="inlineStr">
        <is>
          <t>AUD</t>
        </is>
      </c>
      <c r="S2022" t="n">
        <v>0</v>
      </c>
      <c r="T2022" t="inlineStr">
        <is>
          <t>AUD</t>
        </is>
      </c>
      <c r="U2022" t="n">
        <v>0</v>
      </c>
    </row>
    <row r="2023">
      <c r="A2023" s="5" t="inlineStr">
        <is>
          <t>01a152b9-8e18-74f6-b8a8-7ac7e335b019</t>
        </is>
      </c>
      <c r="C2023" s="5" t="inlineStr">
        <is>
          <t>01a152b9-6e67-75da-8adb-b03e5d07fd21</t>
        </is>
      </c>
      <c r="D2023" s="4" t="n">
        <v>46314.24600325176</v>
      </c>
      <c r="E2023" s="4" t="n">
        <v>46314.24600325186</v>
      </c>
      <c r="F2023" t="b">
        <v>1</v>
      </c>
      <c r="G2023" t="n">
        <v/>
      </c>
      <c r="H2023" t="inlineStr">
        <is>
          <t>TG1</t>
        </is>
      </c>
      <c r="I2023" t="inlineStr">
        <is>
          <t>Techgen Metals Ltd</t>
        </is>
      </c>
      <c r="J2023" t="inlineStr">
        <is>
          <t>AUD</t>
        </is>
      </c>
      <c r="K2023" s="5" t="inlineStr">
        <is>
          <t>01a152b9-6ee2-7577-bddd-382bc3853fde</t>
        </is>
      </c>
      <c r="M2023" t="inlineStr">
        <is>
          <t>UNKNOWN</t>
        </is>
      </c>
      <c r="N2023" t="inlineStr">
        <is>
          <t>DEFAULT</t>
        </is>
      </c>
      <c r="Q2023" t="n">
        <v>0</v>
      </c>
      <c r="R2023" t="inlineStr">
        <is>
          <t>AUD</t>
        </is>
      </c>
      <c r="S2023" t="n">
        <v>0</v>
      </c>
      <c r="T2023" t="inlineStr">
        <is>
          <t>AUD</t>
        </is>
      </c>
      <c r="U2023" t="n">
        <v>0</v>
      </c>
    </row>
    <row r="2024">
      <c r="A2024" s="5" t="inlineStr">
        <is>
          <t>01a152b9-8e1c-7765-99c9-1ba9f2ed39e0</t>
        </is>
      </c>
      <c r="C2024" s="5" t="inlineStr">
        <is>
          <t>01a152b9-6e67-75da-8adb-b03e5d07fd21</t>
        </is>
      </c>
      <c r="D2024" s="4" t="n">
        <v>46314.24600329084</v>
      </c>
      <c r="E2024" s="4" t="n">
        <v>46314.24600329095</v>
      </c>
      <c r="F2024" t="b">
        <v>1</v>
      </c>
      <c r="G2024" t="n">
        <v/>
      </c>
      <c r="H2024" t="inlineStr">
        <is>
          <t>EMU</t>
        </is>
      </c>
      <c r="I2024" t="inlineStr">
        <is>
          <t>EMU NL</t>
        </is>
      </c>
      <c r="J2024" t="inlineStr">
        <is>
          <t>AUD</t>
        </is>
      </c>
      <c r="K2024" s="5" t="inlineStr">
        <is>
          <t>01a152b9-6ee2-7577-bddd-382bc3853fde</t>
        </is>
      </c>
      <c r="M2024" t="inlineStr">
        <is>
          <t>UNKNOWN</t>
        </is>
      </c>
      <c r="N2024" t="inlineStr">
        <is>
          <t>DEFAULT</t>
        </is>
      </c>
      <c r="Q2024" t="n">
        <v>0</v>
      </c>
      <c r="R2024" t="inlineStr">
        <is>
          <t>AUD</t>
        </is>
      </c>
      <c r="S2024" t="n">
        <v>0</v>
      </c>
      <c r="T2024" t="inlineStr">
        <is>
          <t>AUD</t>
        </is>
      </c>
      <c r="U2024" t="n">
        <v>0</v>
      </c>
    </row>
    <row r="2025">
      <c r="A2025" s="5" t="inlineStr">
        <is>
          <t>01a152b9-8e20-7701-a4ea-1c5a5ce7c6d1</t>
        </is>
      </c>
      <c r="C2025" s="5" t="inlineStr">
        <is>
          <t>01a152b9-6e67-75da-8adb-b03e5d07fd21</t>
        </is>
      </c>
      <c r="D2025" s="4" t="n">
        <v>46314.24600334153</v>
      </c>
      <c r="E2025" s="4" t="n">
        <v>46314.24600334166</v>
      </c>
      <c r="F2025" t="b">
        <v>1</v>
      </c>
      <c r="G2025" t="n">
        <v/>
      </c>
      <c r="H2025" t="inlineStr">
        <is>
          <t>DTI</t>
        </is>
      </c>
      <c r="I2025" t="inlineStr">
        <is>
          <t>DTI Group Ltd</t>
        </is>
      </c>
      <c r="J2025" t="inlineStr">
        <is>
          <t>AUD</t>
        </is>
      </c>
      <c r="K2025" s="5" t="inlineStr">
        <is>
          <t>01a152b9-6ee2-7577-bddd-382bc3853fde</t>
        </is>
      </c>
      <c r="M2025" t="inlineStr">
        <is>
          <t>UNKNOWN</t>
        </is>
      </c>
      <c r="N2025" t="inlineStr">
        <is>
          <t>DEFAULT</t>
        </is>
      </c>
      <c r="Q2025" t="n">
        <v>0</v>
      </c>
      <c r="R2025" t="inlineStr">
        <is>
          <t>AUD</t>
        </is>
      </c>
      <c r="S2025" t="n">
        <v>0</v>
      </c>
      <c r="T2025" t="inlineStr">
        <is>
          <t>AUD</t>
        </is>
      </c>
      <c r="U2025" t="n">
        <v>0</v>
      </c>
    </row>
    <row r="2026">
      <c r="A2026" s="5" t="inlineStr">
        <is>
          <t>01a152b9-8e24-71d7-b0d8-2b6415b4164d</t>
        </is>
      </c>
      <c r="C2026" s="5" t="inlineStr">
        <is>
          <t>01a152b9-6e67-75da-8adb-b03e5d07fd21</t>
        </is>
      </c>
      <c r="D2026" s="4" t="n">
        <v>46314.24600338773</v>
      </c>
      <c r="E2026" s="4" t="n">
        <v>46314.24600338785</v>
      </c>
      <c r="F2026" t="b">
        <v>1</v>
      </c>
      <c r="G2026" t="n">
        <v/>
      </c>
      <c r="H2026" t="inlineStr">
        <is>
          <t>ADS</t>
        </is>
      </c>
      <c r="I2026" t="inlineStr">
        <is>
          <t>Adslot Ltd</t>
        </is>
      </c>
      <c r="J2026" t="inlineStr">
        <is>
          <t>AUD</t>
        </is>
      </c>
      <c r="K2026" s="5" t="inlineStr">
        <is>
          <t>01a152b9-6ee2-7577-bddd-382bc3853fde</t>
        </is>
      </c>
      <c r="M2026" t="inlineStr">
        <is>
          <t>UNKNOWN</t>
        </is>
      </c>
      <c r="N2026" t="inlineStr">
        <is>
          <t>DEFAULT</t>
        </is>
      </c>
      <c r="Q2026" t="n">
        <v>0</v>
      </c>
      <c r="R2026" t="inlineStr">
        <is>
          <t>AUD</t>
        </is>
      </c>
      <c r="S2026" t="n">
        <v>0</v>
      </c>
      <c r="T2026" t="inlineStr">
        <is>
          <t>AUD</t>
        </is>
      </c>
      <c r="U2026" t="n">
        <v>0</v>
      </c>
    </row>
    <row r="2027">
      <c r="A2027" s="5" t="inlineStr">
        <is>
          <t>01a152b9-8e27-74bc-b71c-c1828e3e1174</t>
        </is>
      </c>
      <c r="C2027" s="5" t="inlineStr">
        <is>
          <t>01a152b9-6e67-75da-8adb-b03e5d07fd21</t>
        </is>
      </c>
      <c r="D2027" s="4" t="n">
        <v>46314.24600342698</v>
      </c>
      <c r="E2027" s="4" t="n">
        <v>46314.24600342713</v>
      </c>
      <c r="F2027" t="b">
        <v>1</v>
      </c>
      <c r="G2027" t="n">
        <v/>
      </c>
      <c r="H2027" t="inlineStr">
        <is>
          <t>IRX</t>
        </is>
      </c>
      <c r="I2027" t="inlineStr">
        <is>
          <t>Inhalerx Ltd</t>
        </is>
      </c>
      <c r="J2027" t="inlineStr">
        <is>
          <t>AUD</t>
        </is>
      </c>
      <c r="K2027" s="5" t="inlineStr">
        <is>
          <t>01a152b9-6ee2-7577-bddd-382bc3853fde</t>
        </is>
      </c>
      <c r="M2027" t="inlineStr">
        <is>
          <t>UNKNOWN</t>
        </is>
      </c>
      <c r="N2027" t="inlineStr">
        <is>
          <t>DEFAULT</t>
        </is>
      </c>
      <c r="Q2027" t="n">
        <v>0</v>
      </c>
      <c r="R2027" t="inlineStr">
        <is>
          <t>AUD</t>
        </is>
      </c>
      <c r="S2027" t="n">
        <v>0</v>
      </c>
      <c r="T2027" t="inlineStr">
        <is>
          <t>AUD</t>
        </is>
      </c>
      <c r="U2027" t="n">
        <v>0</v>
      </c>
    </row>
    <row r="2028">
      <c r="A2028" s="5" t="inlineStr">
        <is>
          <t>01a152b9-8e2b-7410-a261-d927ff1a9a01</t>
        </is>
      </c>
      <c r="C2028" s="5" t="inlineStr">
        <is>
          <t>01a152b9-6e67-75da-8adb-b03e5d07fd21</t>
        </is>
      </c>
      <c r="D2028" s="4" t="n">
        <v>46314.24600346798</v>
      </c>
      <c r="E2028" s="4" t="n">
        <v>46314.24600346809</v>
      </c>
      <c r="F2028" t="b">
        <v>1</v>
      </c>
      <c r="G2028" t="n">
        <v/>
      </c>
      <c r="H2028" t="inlineStr">
        <is>
          <t>HJHI</t>
        </is>
      </c>
      <c r="I2028" t="inlineStr">
        <is>
          <t>HEJAZ High Income Active ETF</t>
        </is>
      </c>
      <c r="J2028" t="inlineStr">
        <is>
          <t>AUD</t>
        </is>
      </c>
      <c r="K2028" s="5" t="inlineStr">
        <is>
          <t>01a152b9-6ee2-7577-bddd-382bc3853fde</t>
        </is>
      </c>
      <c r="M2028" t="inlineStr">
        <is>
          <t>UNKNOWN</t>
        </is>
      </c>
      <c r="N2028" t="inlineStr">
        <is>
          <t>DEFAULT</t>
        </is>
      </c>
      <c r="Q2028" t="n">
        <v>0</v>
      </c>
      <c r="R2028" t="inlineStr">
        <is>
          <t>AUD</t>
        </is>
      </c>
      <c r="S2028" t="n">
        <v>0</v>
      </c>
      <c r="T2028" t="inlineStr">
        <is>
          <t>AUD</t>
        </is>
      </c>
      <c r="U2028" t="n">
        <v>0</v>
      </c>
    </row>
    <row r="2029">
      <c r="A2029" s="5" t="inlineStr">
        <is>
          <t>01a152b9-8e2f-71a5-82d4-057921f2f9cf</t>
        </is>
      </c>
      <c r="C2029" s="5" t="inlineStr">
        <is>
          <t>01a152b9-6e67-75da-8adb-b03e5d07fd21</t>
        </is>
      </c>
      <c r="D2029" s="4" t="n">
        <v>46314.24600350912</v>
      </c>
      <c r="E2029" s="4" t="n">
        <v>46314.24600350922</v>
      </c>
      <c r="F2029" t="b">
        <v>1</v>
      </c>
      <c r="G2029" t="n">
        <v/>
      </c>
      <c r="H2029" t="inlineStr">
        <is>
          <t>CMB</t>
        </is>
      </c>
      <c r="I2029" t="inlineStr">
        <is>
          <t>Cambium Bio Ltd</t>
        </is>
      </c>
      <c r="J2029" t="inlineStr">
        <is>
          <t>AUD</t>
        </is>
      </c>
      <c r="K2029" s="5" t="inlineStr">
        <is>
          <t>01a152b9-6ee2-7577-bddd-382bc3853fde</t>
        </is>
      </c>
      <c r="M2029" t="inlineStr">
        <is>
          <t>UNKNOWN</t>
        </is>
      </c>
      <c r="N2029" t="inlineStr">
        <is>
          <t>DEFAULT</t>
        </is>
      </c>
      <c r="Q2029" t="n">
        <v>0</v>
      </c>
      <c r="R2029" t="inlineStr">
        <is>
          <t>AUD</t>
        </is>
      </c>
      <c r="S2029" t="n">
        <v>0</v>
      </c>
      <c r="T2029" t="inlineStr">
        <is>
          <t>AUD</t>
        </is>
      </c>
      <c r="U2029" t="n">
        <v>0</v>
      </c>
    </row>
    <row r="2030">
      <c r="A2030" s="5" t="inlineStr">
        <is>
          <t>01a152b9-8e32-7256-bcc1-92a30e0b8f74</t>
        </is>
      </c>
      <c r="C2030" s="5" t="inlineStr">
        <is>
          <t>01a152b9-6e67-75da-8adb-b03e5d07fd21</t>
        </is>
      </c>
      <c r="D2030" s="4" t="n">
        <v>46314.24600354792</v>
      </c>
      <c r="E2030" s="4" t="n">
        <v>46314.24600354801</v>
      </c>
      <c r="F2030" t="b">
        <v>1</v>
      </c>
      <c r="G2030" t="n">
        <v/>
      </c>
      <c r="H2030" t="inlineStr">
        <is>
          <t>EE1</t>
        </is>
      </c>
      <c r="I2030" t="inlineStr">
        <is>
          <t>EARTHS Energy Ltd</t>
        </is>
      </c>
      <c r="J2030" t="inlineStr">
        <is>
          <t>AUD</t>
        </is>
      </c>
      <c r="K2030" s="5" t="inlineStr">
        <is>
          <t>01a152b9-6ee2-7577-bddd-382bc3853fde</t>
        </is>
      </c>
      <c r="M2030" t="inlineStr">
        <is>
          <t>UNKNOWN</t>
        </is>
      </c>
      <c r="N2030" t="inlineStr">
        <is>
          <t>DEFAULT</t>
        </is>
      </c>
      <c r="Q2030" t="n">
        <v>0</v>
      </c>
      <c r="R2030" t="inlineStr">
        <is>
          <t>AUD</t>
        </is>
      </c>
      <c r="S2030" t="n">
        <v>0</v>
      </c>
      <c r="T2030" t="inlineStr">
        <is>
          <t>AUD</t>
        </is>
      </c>
      <c r="U2030" t="n">
        <v>0</v>
      </c>
    </row>
    <row r="2031">
      <c r="A2031" s="5" t="inlineStr">
        <is>
          <t>01a152b9-8e35-756e-818c-5ae59c924fef</t>
        </is>
      </c>
      <c r="C2031" s="5" t="inlineStr">
        <is>
          <t>01a152b9-6e67-75da-8adb-b03e5d07fd21</t>
        </is>
      </c>
      <c r="D2031" s="4" t="n">
        <v>46314.24600358922</v>
      </c>
      <c r="E2031" s="4" t="n">
        <v>46314.24600358934</v>
      </c>
      <c r="F2031" t="b">
        <v>1</v>
      </c>
      <c r="G2031" t="n">
        <v/>
      </c>
      <c r="H2031" t="inlineStr">
        <is>
          <t>EVE</t>
        </is>
      </c>
      <c r="I2031" t="inlineStr">
        <is>
          <t>EVE Health Group Ltd</t>
        </is>
      </c>
      <c r="J2031" t="inlineStr">
        <is>
          <t>AUD</t>
        </is>
      </c>
      <c r="K2031" s="5" t="inlineStr">
        <is>
          <t>01a152b9-6ee2-7577-bddd-382bc3853fde</t>
        </is>
      </c>
      <c r="M2031" t="inlineStr">
        <is>
          <t>UNKNOWN</t>
        </is>
      </c>
      <c r="N2031" t="inlineStr">
        <is>
          <t>DEFAULT</t>
        </is>
      </c>
      <c r="Q2031" t="n">
        <v>0</v>
      </c>
      <c r="R2031" t="inlineStr">
        <is>
          <t>AUD</t>
        </is>
      </c>
      <c r="S2031" t="n">
        <v>0</v>
      </c>
      <c r="T2031" t="inlineStr">
        <is>
          <t>AUD</t>
        </is>
      </c>
      <c r="U2031" t="n">
        <v>0</v>
      </c>
    </row>
    <row r="2032">
      <c r="A2032" s="5" t="inlineStr">
        <is>
          <t>01a152b9-8e39-7167-a212-4ec21a8238a2</t>
        </is>
      </c>
      <c r="C2032" s="5" t="inlineStr">
        <is>
          <t>01a152b9-6e67-75da-8adb-b03e5d07fd21</t>
        </is>
      </c>
      <c r="D2032" s="4" t="n">
        <v>46314.2460036276</v>
      </c>
      <c r="E2032" s="4" t="n">
        <v>46314.2460036277</v>
      </c>
      <c r="F2032" t="b">
        <v>1</v>
      </c>
      <c r="G2032" t="n">
        <v/>
      </c>
      <c r="H2032" t="inlineStr">
        <is>
          <t>FNR</t>
        </is>
      </c>
      <c r="I2032" t="inlineStr">
        <is>
          <t>Far Northern Resources Ltd</t>
        </is>
      </c>
      <c r="J2032" t="inlineStr">
        <is>
          <t>AUD</t>
        </is>
      </c>
      <c r="K2032" s="5" t="inlineStr">
        <is>
          <t>01a152b9-6ee2-7577-bddd-382bc3853fde</t>
        </is>
      </c>
      <c r="M2032" t="inlineStr">
        <is>
          <t>UNKNOWN</t>
        </is>
      </c>
      <c r="N2032" t="inlineStr">
        <is>
          <t>DEFAULT</t>
        </is>
      </c>
      <c r="Q2032" t="n">
        <v>0</v>
      </c>
      <c r="R2032" t="inlineStr">
        <is>
          <t>AUD</t>
        </is>
      </c>
      <c r="S2032" t="n">
        <v>0</v>
      </c>
      <c r="T2032" t="inlineStr">
        <is>
          <t>AUD</t>
        </is>
      </c>
      <c r="U2032" t="n">
        <v>0</v>
      </c>
    </row>
    <row r="2033">
      <c r="A2033" s="5" t="inlineStr">
        <is>
          <t>01a152b9-8e3c-719e-9264-5e4fae408061</t>
        </is>
      </c>
      <c r="C2033" s="5" t="inlineStr">
        <is>
          <t>01a152b9-6e67-75da-8adb-b03e5d07fd21</t>
        </is>
      </c>
      <c r="D2033" s="4" t="n">
        <v>46314.2460036632</v>
      </c>
      <c r="E2033" s="4" t="n">
        <v>46314.24600366328</v>
      </c>
      <c r="F2033" t="b">
        <v>1</v>
      </c>
      <c r="G2033" t="n">
        <v/>
      </c>
      <c r="H2033" t="inlineStr">
        <is>
          <t>AUG</t>
        </is>
      </c>
      <c r="I2033" t="inlineStr">
        <is>
          <t>Augustus Minerals Ltd</t>
        </is>
      </c>
      <c r="J2033" t="inlineStr">
        <is>
          <t>AUD</t>
        </is>
      </c>
      <c r="K2033" s="5" t="inlineStr">
        <is>
          <t>01a152b9-6ee2-7577-bddd-382bc3853fde</t>
        </is>
      </c>
      <c r="M2033" t="inlineStr">
        <is>
          <t>UNKNOWN</t>
        </is>
      </c>
      <c r="N2033" t="inlineStr">
        <is>
          <t>DEFAULT</t>
        </is>
      </c>
      <c r="Q2033" t="n">
        <v>0</v>
      </c>
      <c r="R2033" t="inlineStr">
        <is>
          <t>AUD</t>
        </is>
      </c>
      <c r="S2033" t="n">
        <v>0</v>
      </c>
      <c r="T2033" t="inlineStr">
        <is>
          <t>AUD</t>
        </is>
      </c>
      <c r="U2033" t="n">
        <v>0</v>
      </c>
    </row>
    <row r="2034">
      <c r="A2034" s="5" t="inlineStr">
        <is>
          <t>01a152b9-8e3f-71d7-9c1f-0a6a5fca7da9</t>
        </is>
      </c>
      <c r="C2034" s="5" t="inlineStr">
        <is>
          <t>01a152b9-6e67-75da-8adb-b03e5d07fd21</t>
        </is>
      </c>
      <c r="D2034" s="4" t="n">
        <v>46314.24600370207</v>
      </c>
      <c r="E2034" s="4" t="n">
        <v>46314.24600370217</v>
      </c>
      <c r="F2034" t="b">
        <v>1</v>
      </c>
      <c r="G2034" t="n">
        <v/>
      </c>
      <c r="H2034" t="inlineStr">
        <is>
          <t>HWK</t>
        </is>
      </c>
      <c r="I2034" t="inlineStr">
        <is>
          <t>Hawk Resources Ltd</t>
        </is>
      </c>
      <c r="J2034" t="inlineStr">
        <is>
          <t>AUD</t>
        </is>
      </c>
      <c r="K2034" s="5" t="inlineStr">
        <is>
          <t>01a152b9-6ee2-7577-bddd-382bc3853fde</t>
        </is>
      </c>
      <c r="M2034" t="inlineStr">
        <is>
          <t>UNKNOWN</t>
        </is>
      </c>
      <c r="N2034" t="inlineStr">
        <is>
          <t>DEFAULT</t>
        </is>
      </c>
      <c r="Q2034" t="n">
        <v>0</v>
      </c>
      <c r="R2034" t="inlineStr">
        <is>
          <t>AUD</t>
        </is>
      </c>
      <c r="S2034" t="n">
        <v>0</v>
      </c>
      <c r="T2034" t="inlineStr">
        <is>
          <t>AUD</t>
        </is>
      </c>
      <c r="U2034" t="n">
        <v>0</v>
      </c>
    </row>
    <row r="2035">
      <c r="A2035" s="5" t="inlineStr">
        <is>
          <t>01a152b9-8e42-75a0-b154-a1a332ac126f</t>
        </is>
      </c>
      <c r="C2035" s="5" t="inlineStr">
        <is>
          <t>01a152b9-6e67-75da-8adb-b03e5d07fd21</t>
        </is>
      </c>
      <c r="D2035" s="4" t="n">
        <v>46314.24600373506</v>
      </c>
      <c r="E2035" s="4" t="n">
        <v>46314.24600373514</v>
      </c>
      <c r="F2035" t="b">
        <v>1</v>
      </c>
      <c r="G2035" t="n">
        <v/>
      </c>
      <c r="H2035" t="inlineStr">
        <is>
          <t>JNO</t>
        </is>
      </c>
      <c r="I2035" t="inlineStr">
        <is>
          <t>Juno Minerals Ltd</t>
        </is>
      </c>
      <c r="J2035" t="inlineStr">
        <is>
          <t>AUD</t>
        </is>
      </c>
      <c r="K2035" s="5" t="inlineStr">
        <is>
          <t>01a152b9-6ee2-7577-bddd-382bc3853fde</t>
        </is>
      </c>
      <c r="M2035" t="inlineStr">
        <is>
          <t>UNKNOWN</t>
        </is>
      </c>
      <c r="N2035" t="inlineStr">
        <is>
          <t>DEFAULT</t>
        </is>
      </c>
      <c r="Q2035" t="n">
        <v>0</v>
      </c>
      <c r="R2035" t="inlineStr">
        <is>
          <t>AUD</t>
        </is>
      </c>
      <c r="S2035" t="n">
        <v>0</v>
      </c>
      <c r="T2035" t="inlineStr">
        <is>
          <t>AUD</t>
        </is>
      </c>
      <c r="U2035" t="n">
        <v>0</v>
      </c>
    </row>
    <row r="2036">
      <c r="A2036" s="5" t="inlineStr">
        <is>
          <t>01a152b9-8e45-768c-80f1-73ad39ff1a4d</t>
        </is>
      </c>
      <c r="C2036" s="5" t="inlineStr">
        <is>
          <t>01a152b9-6e67-75da-8adb-b03e5d07fd21</t>
        </is>
      </c>
      <c r="D2036" s="4" t="n">
        <v>46314.24600377081</v>
      </c>
      <c r="E2036" s="4" t="n">
        <v>46314.2460037709</v>
      </c>
      <c r="F2036" t="b">
        <v>1</v>
      </c>
      <c r="G2036" t="n">
        <v/>
      </c>
      <c r="H2036" t="inlineStr">
        <is>
          <t>ICN</t>
        </is>
      </c>
      <c r="I2036" t="inlineStr">
        <is>
          <t>Icon Energy Ltd</t>
        </is>
      </c>
      <c r="J2036" t="inlineStr">
        <is>
          <t>AUD</t>
        </is>
      </c>
      <c r="K2036" s="5" t="inlineStr">
        <is>
          <t>01a152b9-6ee2-7577-bddd-382bc3853fde</t>
        </is>
      </c>
      <c r="M2036" t="inlineStr">
        <is>
          <t>UNKNOWN</t>
        </is>
      </c>
      <c r="N2036" t="inlineStr">
        <is>
          <t>DEFAULT</t>
        </is>
      </c>
      <c r="Q2036" t="n">
        <v>0</v>
      </c>
      <c r="R2036" t="inlineStr">
        <is>
          <t>AUD</t>
        </is>
      </c>
      <c r="S2036" t="n">
        <v>0</v>
      </c>
      <c r="T2036" t="inlineStr">
        <is>
          <t>AUD</t>
        </is>
      </c>
      <c r="U2036" t="n">
        <v>0</v>
      </c>
    </row>
    <row r="2037">
      <c r="A2037" s="5" t="inlineStr">
        <is>
          <t>01a152b9-8e48-7281-a320-8f3879225c7a</t>
        </is>
      </c>
      <c r="C2037" s="5" t="inlineStr">
        <is>
          <t>01a152b9-6e67-75da-8adb-b03e5d07fd21</t>
        </is>
      </c>
      <c r="D2037" s="4" t="n">
        <v>46314.24600380734</v>
      </c>
      <c r="E2037" s="4" t="n">
        <v>46314.24600380744</v>
      </c>
      <c r="F2037" t="b">
        <v>1</v>
      </c>
      <c r="G2037" t="n">
        <v/>
      </c>
      <c r="H2037" t="inlineStr">
        <is>
          <t>RC1</t>
        </is>
      </c>
      <c r="I2037" t="inlineStr">
        <is>
          <t>Redcastle Resources Ltd</t>
        </is>
      </c>
      <c r="J2037" t="inlineStr">
        <is>
          <t>AUD</t>
        </is>
      </c>
      <c r="K2037" s="5" t="inlineStr">
        <is>
          <t>01a152b9-6ee2-7577-bddd-382bc3853fde</t>
        </is>
      </c>
      <c r="M2037" t="inlineStr">
        <is>
          <t>UNKNOWN</t>
        </is>
      </c>
      <c r="N2037" t="inlineStr">
        <is>
          <t>DEFAULT</t>
        </is>
      </c>
      <c r="Q2037" t="n">
        <v>0</v>
      </c>
      <c r="R2037" t="inlineStr">
        <is>
          <t>AUD</t>
        </is>
      </c>
      <c r="S2037" t="n">
        <v>0</v>
      </c>
      <c r="T2037" t="inlineStr">
        <is>
          <t>AUD</t>
        </is>
      </c>
      <c r="U2037" t="n">
        <v>0</v>
      </c>
    </row>
    <row r="2038">
      <c r="A2038" s="5" t="inlineStr">
        <is>
          <t>01a152b9-8e4b-72b8-922c-eb97fff9f7a2</t>
        </is>
      </c>
      <c r="C2038" s="5" t="inlineStr">
        <is>
          <t>01a152b9-6e67-75da-8adb-b03e5d07fd21</t>
        </is>
      </c>
      <c r="D2038" s="4" t="n">
        <v>46314.24600384165</v>
      </c>
      <c r="E2038" s="4" t="n">
        <v>46314.24600384173</v>
      </c>
      <c r="F2038" t="b">
        <v>1</v>
      </c>
      <c r="G2038" t="n">
        <v/>
      </c>
      <c r="H2038" t="inlineStr">
        <is>
          <t>M2M</t>
        </is>
      </c>
      <c r="I2038" t="inlineStr">
        <is>
          <t>MT Malcolm Mines NL</t>
        </is>
      </c>
      <c r="J2038" t="inlineStr">
        <is>
          <t>AUD</t>
        </is>
      </c>
      <c r="K2038" s="5" t="inlineStr">
        <is>
          <t>01a152b9-6ee2-7577-bddd-382bc3853fde</t>
        </is>
      </c>
      <c r="M2038" t="inlineStr">
        <is>
          <t>UNKNOWN</t>
        </is>
      </c>
      <c r="N2038" t="inlineStr">
        <is>
          <t>DEFAULT</t>
        </is>
      </c>
      <c r="Q2038" t="n">
        <v>0</v>
      </c>
      <c r="R2038" t="inlineStr">
        <is>
          <t>AUD</t>
        </is>
      </c>
      <c r="S2038" t="n">
        <v>0</v>
      </c>
      <c r="T2038" t="inlineStr">
        <is>
          <t>AUD</t>
        </is>
      </c>
      <c r="U2038" t="n">
        <v>0</v>
      </c>
    </row>
    <row r="2039">
      <c r="A2039" s="5" t="inlineStr">
        <is>
          <t>01a152b9-8e4f-758c-b292-7c11da79fdeb</t>
        </is>
      </c>
      <c r="C2039" s="5" t="inlineStr">
        <is>
          <t>01a152b9-6e67-75da-8adb-b03e5d07fd21</t>
        </is>
      </c>
      <c r="D2039" s="4" t="n">
        <v>46314.24600387957</v>
      </c>
      <c r="E2039" s="4" t="n">
        <v>46314.24600387968</v>
      </c>
      <c r="F2039" t="b">
        <v>1</v>
      </c>
      <c r="G2039" t="n">
        <v/>
      </c>
      <c r="H2039" t="inlineStr">
        <is>
          <t>IEQ</t>
        </is>
      </c>
      <c r="I2039" t="inlineStr">
        <is>
          <t>International Equities Corporation Ltd</t>
        </is>
      </c>
      <c r="J2039" t="inlineStr">
        <is>
          <t>AUD</t>
        </is>
      </c>
      <c r="K2039" s="5" t="inlineStr">
        <is>
          <t>01a152b9-6ee2-7577-bddd-382bc3853fde</t>
        </is>
      </c>
      <c r="M2039" t="inlineStr">
        <is>
          <t>UNKNOWN</t>
        </is>
      </c>
      <c r="N2039" t="inlineStr">
        <is>
          <t>DEFAULT</t>
        </is>
      </c>
      <c r="Q2039" t="n">
        <v>0</v>
      </c>
      <c r="R2039" t="inlineStr">
        <is>
          <t>AUD</t>
        </is>
      </c>
      <c r="S2039" t="n">
        <v>0</v>
      </c>
      <c r="T2039" t="inlineStr">
        <is>
          <t>AUD</t>
        </is>
      </c>
      <c r="U2039" t="n">
        <v>0</v>
      </c>
    </row>
    <row r="2040">
      <c r="A2040" s="5" t="inlineStr">
        <is>
          <t>01a152b9-8e52-756e-a3ba-55b22793bfa3</t>
        </is>
      </c>
      <c r="C2040" s="5" t="inlineStr">
        <is>
          <t>01a152b9-6e67-75da-8adb-b03e5d07fd21</t>
        </is>
      </c>
      <c r="D2040" s="4" t="n">
        <v>46314.24600392006</v>
      </c>
      <c r="E2040" s="4" t="n">
        <v>46314.24600392015</v>
      </c>
      <c r="F2040" t="b">
        <v>1</v>
      </c>
      <c r="G2040" t="n">
        <v/>
      </c>
      <c r="H2040" t="inlineStr">
        <is>
          <t>OZZ</t>
        </is>
      </c>
      <c r="I2040" t="inlineStr">
        <is>
          <t>OZZ Resources Ltd</t>
        </is>
      </c>
      <c r="J2040" t="inlineStr">
        <is>
          <t>AUD</t>
        </is>
      </c>
      <c r="K2040" s="5" t="inlineStr">
        <is>
          <t>01a152b9-6ee2-7577-bddd-382bc3853fde</t>
        </is>
      </c>
      <c r="M2040" t="inlineStr">
        <is>
          <t>UNKNOWN</t>
        </is>
      </c>
      <c r="N2040" t="inlineStr">
        <is>
          <t>DEFAULT</t>
        </is>
      </c>
      <c r="Q2040" t="n">
        <v>0</v>
      </c>
      <c r="R2040" t="inlineStr">
        <is>
          <t>AUD</t>
        </is>
      </c>
      <c r="S2040" t="n">
        <v>0</v>
      </c>
      <c r="T2040" t="inlineStr">
        <is>
          <t>AUD</t>
        </is>
      </c>
      <c r="U2040" t="n">
        <v>0</v>
      </c>
    </row>
    <row r="2041">
      <c r="A2041" s="5" t="inlineStr">
        <is>
          <t>01a152b9-8e55-7686-a3cd-176740fe0e54</t>
        </is>
      </c>
      <c r="C2041" s="5" t="inlineStr">
        <is>
          <t>01a152b9-6e67-75da-8adb-b03e5d07fd21</t>
        </is>
      </c>
      <c r="D2041" s="4" t="n">
        <v>46314.24600395545</v>
      </c>
      <c r="E2041" s="4" t="n">
        <v>46314.24600395554</v>
      </c>
      <c r="F2041" t="b">
        <v>1</v>
      </c>
      <c r="G2041" t="n">
        <v/>
      </c>
      <c r="H2041" t="inlineStr">
        <is>
          <t>CAZ</t>
        </is>
      </c>
      <c r="I2041" t="inlineStr">
        <is>
          <t>Cazaly Resources Ltd</t>
        </is>
      </c>
      <c r="J2041" t="inlineStr">
        <is>
          <t>AUD</t>
        </is>
      </c>
      <c r="K2041" s="5" t="inlineStr">
        <is>
          <t>01a152b9-6ee2-7577-bddd-382bc3853fde</t>
        </is>
      </c>
      <c r="M2041" t="inlineStr">
        <is>
          <t>UNKNOWN</t>
        </is>
      </c>
      <c r="N2041" t="inlineStr">
        <is>
          <t>DEFAULT</t>
        </is>
      </c>
      <c r="Q2041" t="n">
        <v>0</v>
      </c>
      <c r="R2041" t="inlineStr">
        <is>
          <t>AUD</t>
        </is>
      </c>
      <c r="S2041" t="n">
        <v>0</v>
      </c>
      <c r="T2041" t="inlineStr">
        <is>
          <t>AUD</t>
        </is>
      </c>
      <c r="U2041" t="n">
        <v>0</v>
      </c>
    </row>
    <row r="2042">
      <c r="A2042" s="5" t="inlineStr">
        <is>
          <t>01a152b9-8e58-7487-9b62-7266d7e82468</t>
        </is>
      </c>
      <c r="C2042" s="5" t="inlineStr">
        <is>
          <t>01a152b9-6e67-75da-8adb-b03e5d07fd21</t>
        </is>
      </c>
      <c r="D2042" s="4" t="n">
        <v>46314.24600399214</v>
      </c>
      <c r="E2042" s="4" t="n">
        <v>46314.24600399226</v>
      </c>
      <c r="F2042" t="b">
        <v>1</v>
      </c>
      <c r="G2042" t="n">
        <v/>
      </c>
      <c r="H2042" t="inlineStr">
        <is>
          <t>PR1</t>
        </is>
      </c>
      <c r="I2042" t="inlineStr">
        <is>
          <t>Pure Resources Ltd</t>
        </is>
      </c>
      <c r="J2042" t="inlineStr">
        <is>
          <t>AUD</t>
        </is>
      </c>
      <c r="K2042" s="5" t="inlineStr">
        <is>
          <t>01a152b9-6ee2-7577-bddd-382bc3853fde</t>
        </is>
      </c>
      <c r="M2042" t="inlineStr">
        <is>
          <t>UNKNOWN</t>
        </is>
      </c>
      <c r="N2042" t="inlineStr">
        <is>
          <t>DEFAULT</t>
        </is>
      </c>
      <c r="Q2042" t="n">
        <v>0</v>
      </c>
      <c r="R2042" t="inlineStr">
        <is>
          <t>AUD</t>
        </is>
      </c>
      <c r="S2042" t="n">
        <v>0</v>
      </c>
      <c r="T2042" t="inlineStr">
        <is>
          <t>AUD</t>
        </is>
      </c>
      <c r="U2042" t="n">
        <v>0</v>
      </c>
    </row>
    <row r="2043">
      <c r="A2043" s="5" t="inlineStr">
        <is>
          <t>01a152b9-8e5c-729a-a339-7cccf328a5e9</t>
        </is>
      </c>
      <c r="C2043" s="5" t="inlineStr">
        <is>
          <t>01a152b9-6e67-75da-8adb-b03e5d07fd21</t>
        </is>
      </c>
      <c r="D2043" s="4" t="n">
        <v>46314.24600403106</v>
      </c>
      <c r="E2043" s="4" t="n">
        <v>46314.24600403121</v>
      </c>
      <c r="F2043" t="b">
        <v>1</v>
      </c>
      <c r="G2043" t="n">
        <v/>
      </c>
      <c r="H2043" t="inlineStr">
        <is>
          <t>RGL</t>
        </is>
      </c>
      <c r="I2043" t="inlineStr">
        <is>
          <t>Riversgold Ltd</t>
        </is>
      </c>
      <c r="J2043" t="inlineStr">
        <is>
          <t>AUD</t>
        </is>
      </c>
      <c r="K2043" s="5" t="inlineStr">
        <is>
          <t>01a152b9-6ee2-7577-bddd-382bc3853fde</t>
        </is>
      </c>
      <c r="M2043" t="inlineStr">
        <is>
          <t>UNKNOWN</t>
        </is>
      </c>
      <c r="N2043" t="inlineStr">
        <is>
          <t>DEFAULT</t>
        </is>
      </c>
      <c r="Q2043" t="n">
        <v>0</v>
      </c>
      <c r="R2043" t="inlineStr">
        <is>
          <t>AUD</t>
        </is>
      </c>
      <c r="S2043" t="n">
        <v>0</v>
      </c>
      <c r="T2043" t="inlineStr">
        <is>
          <t>AUD</t>
        </is>
      </c>
      <c r="U2043" t="n">
        <v>0</v>
      </c>
    </row>
    <row r="2044">
      <c r="A2044" s="5" t="inlineStr">
        <is>
          <t>01a152b9-8e5f-7025-a6f7-6768037e4e4e</t>
        </is>
      </c>
      <c r="C2044" s="5" t="inlineStr">
        <is>
          <t>01a152b9-6e67-75da-8adb-b03e5d07fd21</t>
        </is>
      </c>
      <c r="D2044" s="4" t="n">
        <v>46314.24600407125</v>
      </c>
      <c r="E2044" s="4" t="n">
        <v>46314.24600407136</v>
      </c>
      <c r="F2044" t="b">
        <v>1</v>
      </c>
      <c r="G2044" t="n">
        <v/>
      </c>
      <c r="H2044" t="inlineStr">
        <is>
          <t>ZMM</t>
        </is>
      </c>
      <c r="I2044" t="inlineStr">
        <is>
          <t>ZIMI Ltd</t>
        </is>
      </c>
      <c r="J2044" t="inlineStr">
        <is>
          <t>AUD</t>
        </is>
      </c>
      <c r="K2044" s="5" t="inlineStr">
        <is>
          <t>01a152b9-6ee2-7577-bddd-382bc3853fde</t>
        </is>
      </c>
      <c r="M2044" t="inlineStr">
        <is>
          <t>UNKNOWN</t>
        </is>
      </c>
      <c r="N2044" t="inlineStr">
        <is>
          <t>DEFAULT</t>
        </is>
      </c>
      <c r="Q2044" t="n">
        <v>0</v>
      </c>
      <c r="R2044" t="inlineStr">
        <is>
          <t>AUD</t>
        </is>
      </c>
      <c r="S2044" t="n">
        <v>0</v>
      </c>
      <c r="T2044" t="inlineStr">
        <is>
          <t>AUD</t>
        </is>
      </c>
      <c r="U2044" t="n">
        <v>0</v>
      </c>
    </row>
    <row r="2045">
      <c r="A2045" s="5" t="inlineStr">
        <is>
          <t>01a152b9-8e62-733b-9b91-ae3113d407f0</t>
        </is>
      </c>
      <c r="C2045" s="5" t="inlineStr">
        <is>
          <t>01a152b9-6e67-75da-8adb-b03e5d07fd21</t>
        </is>
      </c>
      <c r="D2045" s="4" t="n">
        <v>46314.24600410627</v>
      </c>
      <c r="E2045" s="4" t="n">
        <v>46314.24600410638</v>
      </c>
      <c r="F2045" t="b">
        <v>1</v>
      </c>
      <c r="G2045" t="n">
        <v/>
      </c>
      <c r="H2045" t="inlineStr">
        <is>
          <t>GRL</t>
        </is>
      </c>
      <c r="I2045" t="inlineStr">
        <is>
          <t>Godolphin Resources Ltd</t>
        </is>
      </c>
      <c r="J2045" t="inlineStr">
        <is>
          <t>AUD</t>
        </is>
      </c>
      <c r="K2045" s="5" t="inlineStr">
        <is>
          <t>01a152b9-6ee2-7577-bddd-382bc3853fde</t>
        </is>
      </c>
      <c r="M2045" t="inlineStr">
        <is>
          <t>UNKNOWN</t>
        </is>
      </c>
      <c r="N2045" t="inlineStr">
        <is>
          <t>DEFAULT</t>
        </is>
      </c>
      <c r="Q2045" t="n">
        <v>0</v>
      </c>
      <c r="R2045" t="inlineStr">
        <is>
          <t>AUD</t>
        </is>
      </c>
      <c r="S2045" t="n">
        <v>0</v>
      </c>
      <c r="T2045" t="inlineStr">
        <is>
          <t>AUD</t>
        </is>
      </c>
      <c r="U2045" t="n">
        <v>0</v>
      </c>
    </row>
    <row r="2046">
      <c r="A2046" s="5" t="inlineStr">
        <is>
          <t>01a152b9-8e65-74b2-8545-26b88c254b62</t>
        </is>
      </c>
      <c r="C2046" s="5" t="inlineStr">
        <is>
          <t>01a152b9-6e67-75da-8adb-b03e5d07fd21</t>
        </is>
      </c>
      <c r="D2046" s="4" t="n">
        <v>46314.24600414272</v>
      </c>
      <c r="E2046" s="4" t="n">
        <v>46314.24600414283</v>
      </c>
      <c r="F2046" t="b">
        <v>1</v>
      </c>
      <c r="G2046" t="n">
        <v/>
      </c>
      <c r="H2046" t="inlineStr">
        <is>
          <t>CAQ</t>
        </is>
      </c>
      <c r="I2046" t="inlineStr">
        <is>
          <t>CAQ Holdings Ltd</t>
        </is>
      </c>
      <c r="J2046" t="inlineStr">
        <is>
          <t>AUD</t>
        </is>
      </c>
      <c r="K2046" s="5" t="inlineStr">
        <is>
          <t>01a152b9-6ee2-7577-bddd-382bc3853fde</t>
        </is>
      </c>
      <c r="M2046" t="inlineStr">
        <is>
          <t>UNKNOWN</t>
        </is>
      </c>
      <c r="N2046" t="inlineStr">
        <is>
          <t>DEFAULT</t>
        </is>
      </c>
      <c r="Q2046" t="n">
        <v>0</v>
      </c>
      <c r="R2046" t="inlineStr">
        <is>
          <t>AUD</t>
        </is>
      </c>
      <c r="S2046" t="n">
        <v>0</v>
      </c>
      <c r="T2046" t="inlineStr">
        <is>
          <t>AUD</t>
        </is>
      </c>
      <c r="U2046" t="n">
        <v>0</v>
      </c>
    </row>
    <row r="2047">
      <c r="A2047" s="5" t="inlineStr">
        <is>
          <t>01a152b9-8e69-708d-b29c-44526be16e99</t>
        </is>
      </c>
      <c r="C2047" s="5" t="inlineStr">
        <is>
          <t>01a152b9-6e67-75da-8adb-b03e5d07fd21</t>
        </is>
      </c>
      <c r="D2047" s="4" t="n">
        <v>46314.24600418227</v>
      </c>
      <c r="E2047" s="4" t="n">
        <v>46314.24600418239</v>
      </c>
      <c r="F2047" t="b">
        <v>1</v>
      </c>
      <c r="G2047" t="n">
        <v/>
      </c>
      <c r="H2047" t="inlineStr">
        <is>
          <t>AER</t>
        </is>
      </c>
      <c r="I2047" t="inlineStr">
        <is>
          <t>Aeeris Ltd</t>
        </is>
      </c>
      <c r="J2047" t="inlineStr">
        <is>
          <t>AUD</t>
        </is>
      </c>
      <c r="K2047" s="5" t="inlineStr">
        <is>
          <t>01a152b9-6ee2-7577-bddd-382bc3853fde</t>
        </is>
      </c>
      <c r="M2047" t="inlineStr">
        <is>
          <t>UNKNOWN</t>
        </is>
      </c>
      <c r="N2047" t="inlineStr">
        <is>
          <t>DEFAULT</t>
        </is>
      </c>
      <c r="Q2047" t="n">
        <v>0</v>
      </c>
      <c r="R2047" t="inlineStr">
        <is>
          <t>AUD</t>
        </is>
      </c>
      <c r="S2047" t="n">
        <v>0</v>
      </c>
      <c r="T2047" t="inlineStr">
        <is>
          <t>AUD</t>
        </is>
      </c>
      <c r="U2047" t="n">
        <v>0</v>
      </c>
    </row>
    <row r="2048">
      <c r="A2048" s="5" t="inlineStr">
        <is>
          <t>01a152b9-8e6d-76c5-9f57-d7a240ef2446</t>
        </is>
      </c>
      <c r="C2048" s="5" t="inlineStr">
        <is>
          <t>01a152b9-6e67-75da-8adb-b03e5d07fd21</t>
        </is>
      </c>
      <c r="D2048" s="4" t="n">
        <v>46314.24600422979</v>
      </c>
      <c r="E2048" s="4" t="n">
        <v>46314.24600422992</v>
      </c>
      <c r="F2048" t="b">
        <v>1</v>
      </c>
      <c r="G2048" t="n">
        <v/>
      </c>
      <c r="H2048" t="inlineStr">
        <is>
          <t>PL3</t>
        </is>
      </c>
      <c r="I2048" t="inlineStr">
        <is>
          <t>Patagonia Lithium Ltd</t>
        </is>
      </c>
      <c r="J2048" t="inlineStr">
        <is>
          <t>AUD</t>
        </is>
      </c>
      <c r="K2048" s="5" t="inlineStr">
        <is>
          <t>01a152b9-6ee2-7577-bddd-382bc3853fde</t>
        </is>
      </c>
      <c r="M2048" t="inlineStr">
        <is>
          <t>UNKNOWN</t>
        </is>
      </c>
      <c r="N2048" t="inlineStr">
        <is>
          <t>DEFAULT</t>
        </is>
      </c>
      <c r="Q2048" t="n">
        <v>0</v>
      </c>
      <c r="R2048" t="inlineStr">
        <is>
          <t>AUD</t>
        </is>
      </c>
      <c r="S2048" t="n">
        <v>0</v>
      </c>
      <c r="T2048" t="inlineStr">
        <is>
          <t>AUD</t>
        </is>
      </c>
      <c r="U2048" t="n">
        <v>0</v>
      </c>
    </row>
    <row r="2049">
      <c r="A2049" s="5" t="inlineStr">
        <is>
          <t>01a152b9-8e70-7543-a988-8486592c6215</t>
        </is>
      </c>
      <c r="C2049" s="5" t="inlineStr">
        <is>
          <t>01a152b9-6e67-75da-8adb-b03e5d07fd21</t>
        </is>
      </c>
      <c r="D2049" s="4" t="n">
        <v>46314.24600426994</v>
      </c>
      <c r="E2049" s="4" t="n">
        <v>46314.24600427007</v>
      </c>
      <c r="F2049" t="b">
        <v>1</v>
      </c>
      <c r="G2049" t="n">
        <v/>
      </c>
      <c r="H2049" t="inlineStr">
        <is>
          <t>ARC</t>
        </is>
      </c>
      <c r="I2049" t="inlineStr">
        <is>
          <t>ARC Funds Ltd</t>
        </is>
      </c>
      <c r="J2049" t="inlineStr">
        <is>
          <t>AUD</t>
        </is>
      </c>
      <c r="K2049" s="5" t="inlineStr">
        <is>
          <t>01a152b9-6ee2-7577-bddd-382bc3853fde</t>
        </is>
      </c>
      <c r="M2049" t="inlineStr">
        <is>
          <t>UNKNOWN</t>
        </is>
      </c>
      <c r="N2049" t="inlineStr">
        <is>
          <t>DEFAULT</t>
        </is>
      </c>
      <c r="Q2049" t="n">
        <v>0</v>
      </c>
      <c r="R2049" t="inlineStr">
        <is>
          <t>AUD</t>
        </is>
      </c>
      <c r="S2049" t="n">
        <v>0</v>
      </c>
      <c r="T2049" t="inlineStr">
        <is>
          <t>AUD</t>
        </is>
      </c>
      <c r="U2049" t="n">
        <v>0</v>
      </c>
    </row>
    <row r="2050">
      <c r="A2050" s="5" t="inlineStr">
        <is>
          <t>01a152b9-8e73-7355-8f50-f1812b99cb63</t>
        </is>
      </c>
      <c r="C2050" s="5" t="inlineStr">
        <is>
          <t>01a152b9-6e67-75da-8adb-b03e5d07fd21</t>
        </is>
      </c>
      <c r="D2050" s="4" t="n">
        <v>46314.24600430667</v>
      </c>
      <c r="E2050" s="4" t="n">
        <v>46314.24600430679</v>
      </c>
      <c r="F2050" t="b">
        <v>1</v>
      </c>
      <c r="G2050" t="n">
        <v/>
      </c>
      <c r="H2050" t="inlineStr">
        <is>
          <t>G88</t>
        </is>
      </c>
      <c r="I2050" t="inlineStr">
        <is>
          <t>Golden Mile Resources Ltd</t>
        </is>
      </c>
      <c r="J2050" t="inlineStr">
        <is>
          <t>AUD</t>
        </is>
      </c>
      <c r="K2050" s="5" t="inlineStr">
        <is>
          <t>01a152b9-6ee2-7577-bddd-382bc3853fde</t>
        </is>
      </c>
      <c r="M2050" t="inlineStr">
        <is>
          <t>UNKNOWN</t>
        </is>
      </c>
      <c r="N2050" t="inlineStr">
        <is>
          <t>DEFAULT</t>
        </is>
      </c>
      <c r="Q2050" t="n">
        <v>0</v>
      </c>
      <c r="R2050" t="inlineStr">
        <is>
          <t>AUD</t>
        </is>
      </c>
      <c r="S2050" t="n">
        <v>0</v>
      </c>
      <c r="T2050" t="inlineStr">
        <is>
          <t>AUD</t>
        </is>
      </c>
      <c r="U2050" t="n">
        <v>0</v>
      </c>
    </row>
    <row r="2051">
      <c r="A2051" s="5" t="inlineStr">
        <is>
          <t>01a152b9-8e77-7273-bfdc-694466fca9de</t>
        </is>
      </c>
      <c r="C2051" s="5" t="inlineStr">
        <is>
          <t>01a152b9-6e67-75da-8adb-b03e5d07fd21</t>
        </is>
      </c>
      <c r="D2051" s="4" t="n">
        <v>46314.24600434522</v>
      </c>
      <c r="E2051" s="4" t="n">
        <v>46314.24600434533</v>
      </c>
      <c r="F2051" t="b">
        <v>1</v>
      </c>
      <c r="G2051" t="n">
        <v/>
      </c>
      <c r="H2051" t="inlineStr">
        <is>
          <t>CHR</t>
        </is>
      </c>
      <c r="I2051" t="inlineStr">
        <is>
          <t>Charger Metals NL</t>
        </is>
      </c>
      <c r="J2051" t="inlineStr">
        <is>
          <t>AUD</t>
        </is>
      </c>
      <c r="K2051" s="5" t="inlineStr">
        <is>
          <t>01a152b9-6ee2-7577-bddd-382bc3853fde</t>
        </is>
      </c>
      <c r="M2051" t="inlineStr">
        <is>
          <t>UNKNOWN</t>
        </is>
      </c>
      <c r="N2051" t="inlineStr">
        <is>
          <t>DEFAULT</t>
        </is>
      </c>
      <c r="Q2051" t="n">
        <v>0</v>
      </c>
      <c r="R2051" t="inlineStr">
        <is>
          <t>AUD</t>
        </is>
      </c>
      <c r="S2051" t="n">
        <v>0</v>
      </c>
      <c r="T2051" t="inlineStr">
        <is>
          <t>AUD</t>
        </is>
      </c>
      <c r="U2051" t="n">
        <v>0</v>
      </c>
    </row>
    <row r="2052">
      <c r="A2052" s="5" t="inlineStr">
        <is>
          <t>01a152b9-8e7b-75a1-a178-14f343f7c99b</t>
        </is>
      </c>
      <c r="C2052" s="5" t="inlineStr">
        <is>
          <t>01a152b9-6e67-75da-8adb-b03e5d07fd21</t>
        </is>
      </c>
      <c r="D2052" s="4" t="n">
        <v>46314.24600438978</v>
      </c>
      <c r="E2052" s="4" t="n">
        <v>46314.2460043899</v>
      </c>
      <c r="F2052" t="b">
        <v>1</v>
      </c>
      <c r="G2052" t="n">
        <v/>
      </c>
      <c r="H2052" t="inlineStr">
        <is>
          <t>ENX</t>
        </is>
      </c>
      <c r="I2052" t="inlineStr">
        <is>
          <t>Enegex Ltd</t>
        </is>
      </c>
      <c r="J2052" t="inlineStr">
        <is>
          <t>AUD</t>
        </is>
      </c>
      <c r="K2052" s="5" t="inlineStr">
        <is>
          <t>01a152b9-6ee2-7577-bddd-382bc3853fde</t>
        </is>
      </c>
      <c r="M2052" t="inlineStr">
        <is>
          <t>UNKNOWN</t>
        </is>
      </c>
      <c r="N2052" t="inlineStr">
        <is>
          <t>DEFAULT</t>
        </is>
      </c>
      <c r="Q2052" t="n">
        <v>0</v>
      </c>
      <c r="R2052" t="inlineStr">
        <is>
          <t>AUD</t>
        </is>
      </c>
      <c r="S2052" t="n">
        <v>0</v>
      </c>
      <c r="T2052" t="inlineStr">
        <is>
          <t>AUD</t>
        </is>
      </c>
      <c r="U2052" t="n">
        <v>0</v>
      </c>
    </row>
    <row r="2053">
      <c r="A2053" s="5" t="inlineStr">
        <is>
          <t>01a152b9-8e7f-7172-85ae-8514ddfa4002</t>
        </is>
      </c>
      <c r="C2053" s="5" t="inlineStr">
        <is>
          <t>01a152b9-6e67-75da-8adb-b03e5d07fd21</t>
        </is>
      </c>
      <c r="D2053" s="4" t="n">
        <v>46314.2460044352</v>
      </c>
      <c r="E2053" s="4" t="n">
        <v>46314.24600443535</v>
      </c>
      <c r="F2053" t="b">
        <v>1</v>
      </c>
      <c r="G2053" t="n">
        <v/>
      </c>
      <c r="H2053" t="inlineStr">
        <is>
          <t>BHD</t>
        </is>
      </c>
      <c r="I2053" t="inlineStr">
        <is>
          <t>Benjamin Hornigold Ltd</t>
        </is>
      </c>
      <c r="J2053" t="inlineStr">
        <is>
          <t>AUD</t>
        </is>
      </c>
      <c r="K2053" s="5" t="inlineStr">
        <is>
          <t>01a152b9-6ee2-7577-bddd-382bc3853fde</t>
        </is>
      </c>
      <c r="M2053" t="inlineStr">
        <is>
          <t>UNKNOWN</t>
        </is>
      </c>
      <c r="N2053" t="inlineStr">
        <is>
          <t>DEFAULT</t>
        </is>
      </c>
      <c r="Q2053" t="n">
        <v>0</v>
      </c>
      <c r="R2053" t="inlineStr">
        <is>
          <t>AUD</t>
        </is>
      </c>
      <c r="S2053" t="n">
        <v>0</v>
      </c>
      <c r="T2053" t="inlineStr">
        <is>
          <t>AUD</t>
        </is>
      </c>
      <c r="U2053" t="n">
        <v>0</v>
      </c>
    </row>
    <row r="2054">
      <c r="A2054" s="5" t="inlineStr">
        <is>
          <t>01a152b9-8e83-756c-9730-b38b1e8f4883</t>
        </is>
      </c>
      <c r="C2054" s="5" t="inlineStr">
        <is>
          <t>01a152b9-6e67-75da-8adb-b03e5d07fd21</t>
        </is>
      </c>
      <c r="D2054" s="4" t="n">
        <v>46314.2460044813</v>
      </c>
      <c r="E2054" s="4" t="n">
        <v>46314.24600448144</v>
      </c>
      <c r="F2054" t="b">
        <v>1</v>
      </c>
      <c r="G2054" t="n">
        <v/>
      </c>
      <c r="H2054" t="inlineStr">
        <is>
          <t>SLM</t>
        </is>
      </c>
      <c r="I2054" t="inlineStr">
        <is>
          <t>Solis Minerals Ltd</t>
        </is>
      </c>
      <c r="J2054" t="inlineStr">
        <is>
          <t>AUD</t>
        </is>
      </c>
      <c r="K2054" s="5" t="inlineStr">
        <is>
          <t>01a152b9-6ee2-7577-bddd-382bc3853fde</t>
        </is>
      </c>
      <c r="M2054" t="inlineStr">
        <is>
          <t>UNKNOWN</t>
        </is>
      </c>
      <c r="N2054" t="inlineStr">
        <is>
          <t>DEFAULT</t>
        </is>
      </c>
      <c r="Q2054" t="n">
        <v>0</v>
      </c>
      <c r="R2054" t="inlineStr">
        <is>
          <t>AUD</t>
        </is>
      </c>
      <c r="S2054" t="n">
        <v>0</v>
      </c>
      <c r="T2054" t="inlineStr">
        <is>
          <t>AUD</t>
        </is>
      </c>
      <c r="U2054" t="n">
        <v>0</v>
      </c>
    </row>
    <row r="2055">
      <c r="A2055" s="5" t="inlineStr">
        <is>
          <t>01a152b9-8e87-72e5-866e-57e2d6aad97d</t>
        </is>
      </c>
      <c r="C2055" s="5" t="inlineStr">
        <is>
          <t>01a152b9-6e67-75da-8adb-b03e5d07fd21</t>
        </is>
      </c>
      <c r="D2055" s="4" t="n">
        <v>46314.24600453574</v>
      </c>
      <c r="E2055" s="4" t="n">
        <v>46314.2460045359</v>
      </c>
      <c r="F2055" t="b">
        <v>1</v>
      </c>
      <c r="G2055" t="n">
        <v/>
      </c>
      <c r="H2055" t="inlineStr">
        <is>
          <t>M8S</t>
        </is>
      </c>
      <c r="I2055" t="inlineStr">
        <is>
          <t>M8 Sustainable Ltd</t>
        </is>
      </c>
      <c r="J2055" t="inlineStr">
        <is>
          <t>AUD</t>
        </is>
      </c>
      <c r="K2055" s="5" t="inlineStr">
        <is>
          <t>01a152b9-6ee2-7577-bddd-382bc3853fde</t>
        </is>
      </c>
      <c r="M2055" t="inlineStr">
        <is>
          <t>UNKNOWN</t>
        </is>
      </c>
      <c r="N2055" t="inlineStr">
        <is>
          <t>DEFAULT</t>
        </is>
      </c>
      <c r="Q2055" t="n">
        <v>0</v>
      </c>
      <c r="R2055" t="inlineStr">
        <is>
          <t>AUD</t>
        </is>
      </c>
      <c r="S2055" t="n">
        <v>0</v>
      </c>
      <c r="T2055" t="inlineStr">
        <is>
          <t>AUD</t>
        </is>
      </c>
      <c r="U2055" t="n">
        <v>0</v>
      </c>
    </row>
    <row r="2056">
      <c r="A2056" s="5" t="inlineStr">
        <is>
          <t>01a152b9-8e8c-751f-a6ea-8022ae6996a3</t>
        </is>
      </c>
      <c r="C2056" s="5" t="inlineStr">
        <is>
          <t>01a152b9-6e67-75da-8adb-b03e5d07fd21</t>
        </is>
      </c>
      <c r="D2056" s="4" t="n">
        <v>46314.24600458777</v>
      </c>
      <c r="E2056" s="4" t="n">
        <v>46314.24600458793</v>
      </c>
      <c r="F2056" t="b">
        <v>1</v>
      </c>
      <c r="G2056" t="n">
        <v/>
      </c>
      <c r="H2056" t="inlineStr">
        <is>
          <t>ENV</t>
        </is>
      </c>
      <c r="I2056" t="inlineStr">
        <is>
          <t>Enova Mining Ltd</t>
        </is>
      </c>
      <c r="J2056" t="inlineStr">
        <is>
          <t>AUD</t>
        </is>
      </c>
      <c r="K2056" s="5" t="inlineStr">
        <is>
          <t>01a152b9-6ee2-7577-bddd-382bc3853fde</t>
        </is>
      </c>
      <c r="M2056" t="inlineStr">
        <is>
          <t>UNKNOWN</t>
        </is>
      </c>
      <c r="N2056" t="inlineStr">
        <is>
          <t>DEFAULT</t>
        </is>
      </c>
      <c r="Q2056" t="n">
        <v>0</v>
      </c>
      <c r="R2056" t="inlineStr">
        <is>
          <t>AUD</t>
        </is>
      </c>
      <c r="S2056" t="n">
        <v>0</v>
      </c>
      <c r="T2056" t="inlineStr">
        <is>
          <t>AUD</t>
        </is>
      </c>
      <c r="U2056" t="n">
        <v>0</v>
      </c>
    </row>
    <row r="2057">
      <c r="A2057" s="5" t="inlineStr">
        <is>
          <t>01a152b9-8e90-7370-935e-6cd913302886</t>
        </is>
      </c>
      <c r="C2057" s="5" t="inlineStr">
        <is>
          <t>01a152b9-6e67-75da-8adb-b03e5d07fd21</t>
        </is>
      </c>
      <c r="D2057" s="4" t="n">
        <v>46314.24600463538</v>
      </c>
      <c r="E2057" s="4" t="n">
        <v>46314.24600463551</v>
      </c>
      <c r="F2057" t="b">
        <v>1</v>
      </c>
      <c r="G2057" t="n">
        <v/>
      </c>
      <c r="H2057" t="inlineStr">
        <is>
          <t>UVA</t>
        </is>
      </c>
      <c r="I2057" t="inlineStr">
        <is>
          <t>Uvre Ltd</t>
        </is>
      </c>
      <c r="J2057" t="inlineStr">
        <is>
          <t>AUD</t>
        </is>
      </c>
      <c r="K2057" s="5" t="inlineStr">
        <is>
          <t>01a152b9-6ee2-7577-bddd-382bc3853fde</t>
        </is>
      </c>
      <c r="M2057" t="inlineStr">
        <is>
          <t>UNKNOWN</t>
        </is>
      </c>
      <c r="N2057" t="inlineStr">
        <is>
          <t>DEFAULT</t>
        </is>
      </c>
      <c r="Q2057" t="n">
        <v>0</v>
      </c>
      <c r="R2057" t="inlineStr">
        <is>
          <t>AUD</t>
        </is>
      </c>
      <c r="S2057" t="n">
        <v>0</v>
      </c>
      <c r="T2057" t="inlineStr">
        <is>
          <t>AUD</t>
        </is>
      </c>
      <c r="U2057" t="n">
        <v>0</v>
      </c>
    </row>
    <row r="2058">
      <c r="A2058" s="5" t="inlineStr">
        <is>
          <t>01a152b9-8e94-7352-842d-8d6b8b21716a</t>
        </is>
      </c>
      <c r="C2058" s="5" t="inlineStr">
        <is>
          <t>01a152b9-6e67-75da-8adb-b03e5d07fd21</t>
        </is>
      </c>
      <c r="D2058" s="4" t="n">
        <v>46314.24600467827</v>
      </c>
      <c r="E2058" s="4" t="n">
        <v>46314.24600467841</v>
      </c>
      <c r="F2058" t="b">
        <v>1</v>
      </c>
      <c r="G2058" t="n">
        <v/>
      </c>
      <c r="H2058" t="inlineStr">
        <is>
          <t>SNX</t>
        </is>
      </c>
      <c r="I2058" t="inlineStr">
        <is>
          <t>Sierra Nevada Gold Inc</t>
        </is>
      </c>
      <c r="J2058" t="inlineStr">
        <is>
          <t>AUD</t>
        </is>
      </c>
      <c r="K2058" s="5" t="inlineStr">
        <is>
          <t>01a152b9-6ee2-7577-bddd-382bc3853fde</t>
        </is>
      </c>
      <c r="M2058" t="inlineStr">
        <is>
          <t>UNKNOWN</t>
        </is>
      </c>
      <c r="N2058" t="inlineStr">
        <is>
          <t>DEFAULT</t>
        </is>
      </c>
      <c r="Q2058" t="n">
        <v>0</v>
      </c>
      <c r="R2058" t="inlineStr">
        <is>
          <t>AUD</t>
        </is>
      </c>
      <c r="S2058" t="n">
        <v>0</v>
      </c>
      <c r="T2058" t="inlineStr">
        <is>
          <t>AUD</t>
        </is>
      </c>
      <c r="U2058" t="n">
        <v>0</v>
      </c>
    </row>
    <row r="2059">
      <c r="A2059" s="5" t="inlineStr">
        <is>
          <t>01a152b9-8e98-708c-98d9-d60d84742a0f</t>
        </is>
      </c>
      <c r="C2059" s="5" t="inlineStr">
        <is>
          <t>01a152b9-6e67-75da-8adb-b03e5d07fd21</t>
        </is>
      </c>
      <c r="D2059" s="4" t="n">
        <v>46314.24600472656</v>
      </c>
      <c r="E2059" s="4" t="n">
        <v>46314.24600472672</v>
      </c>
      <c r="F2059" t="b">
        <v>1</v>
      </c>
      <c r="G2059" t="n">
        <v/>
      </c>
      <c r="H2059" t="inlineStr">
        <is>
          <t>R8R</t>
        </is>
      </c>
      <c r="I2059" t="inlineStr">
        <is>
          <t>REGENER8 Resources NL</t>
        </is>
      </c>
      <c r="J2059" t="inlineStr">
        <is>
          <t>AUD</t>
        </is>
      </c>
      <c r="K2059" s="5" t="inlineStr">
        <is>
          <t>01a152b9-6ee2-7577-bddd-382bc3853fde</t>
        </is>
      </c>
      <c r="M2059" t="inlineStr">
        <is>
          <t>UNKNOWN</t>
        </is>
      </c>
      <c r="N2059" t="inlineStr">
        <is>
          <t>DEFAULT</t>
        </is>
      </c>
      <c r="Q2059" t="n">
        <v>0</v>
      </c>
      <c r="R2059" t="inlineStr">
        <is>
          <t>AUD</t>
        </is>
      </c>
      <c r="S2059" t="n">
        <v>0</v>
      </c>
      <c r="T2059" t="inlineStr">
        <is>
          <t>AUD</t>
        </is>
      </c>
      <c r="U2059" t="n">
        <v>0</v>
      </c>
    </row>
    <row r="2060">
      <c r="A2060" s="5" t="inlineStr">
        <is>
          <t>01a152b9-8e9b-7524-99c6-ac6319584557</t>
        </is>
      </c>
      <c r="C2060" s="5" t="inlineStr">
        <is>
          <t>01a152b9-6e67-75da-8adb-b03e5d07fd21</t>
        </is>
      </c>
      <c r="D2060" s="4" t="n">
        <v>46314.24600476945</v>
      </c>
      <c r="E2060" s="4" t="n">
        <v>46314.24600476956</v>
      </c>
      <c r="F2060" t="b">
        <v>1</v>
      </c>
      <c r="G2060" t="n">
        <v/>
      </c>
      <c r="H2060" t="inlineStr">
        <is>
          <t>NTM</t>
        </is>
      </c>
      <c r="I2060" t="inlineStr">
        <is>
          <t>NT Minerals Ltd</t>
        </is>
      </c>
      <c r="J2060" t="inlineStr">
        <is>
          <t>AUD</t>
        </is>
      </c>
      <c r="K2060" s="5" t="inlineStr">
        <is>
          <t>01a152b9-6ee2-7577-bddd-382bc3853fde</t>
        </is>
      </c>
      <c r="M2060" t="inlineStr">
        <is>
          <t>UNKNOWN</t>
        </is>
      </c>
      <c r="N2060" t="inlineStr">
        <is>
          <t>DEFAULT</t>
        </is>
      </c>
      <c r="Q2060" t="n">
        <v>0</v>
      </c>
      <c r="R2060" t="inlineStr">
        <is>
          <t>AUD</t>
        </is>
      </c>
      <c r="S2060" t="n">
        <v>0</v>
      </c>
      <c r="T2060" t="inlineStr">
        <is>
          <t>AUD</t>
        </is>
      </c>
      <c r="U2060" t="n">
        <v>0</v>
      </c>
    </row>
    <row r="2061">
      <c r="A2061" s="5" t="inlineStr">
        <is>
          <t>01a152b9-8e9f-76de-b699-50be3020ef89</t>
        </is>
      </c>
      <c r="C2061" s="5" t="inlineStr">
        <is>
          <t>01a152b9-6e67-75da-8adb-b03e5d07fd21</t>
        </is>
      </c>
      <c r="D2061" s="4" t="n">
        <v>46314.24600480974</v>
      </c>
      <c r="E2061" s="4" t="n">
        <v>46314.24600480986</v>
      </c>
      <c r="F2061" t="b">
        <v>1</v>
      </c>
      <c r="G2061" t="n">
        <v/>
      </c>
      <c r="H2061" t="inlineStr">
        <is>
          <t>SFG</t>
        </is>
      </c>
      <c r="I2061" t="inlineStr">
        <is>
          <t>Seafarms Group Ltd</t>
        </is>
      </c>
      <c r="J2061" t="inlineStr">
        <is>
          <t>AUD</t>
        </is>
      </c>
      <c r="K2061" s="5" t="inlineStr">
        <is>
          <t>01a152b9-6ee2-7577-bddd-382bc3853fde</t>
        </is>
      </c>
      <c r="M2061" t="inlineStr">
        <is>
          <t>UNKNOWN</t>
        </is>
      </c>
      <c r="N2061" t="inlineStr">
        <is>
          <t>DEFAULT</t>
        </is>
      </c>
      <c r="Q2061" t="n">
        <v>0</v>
      </c>
      <c r="R2061" t="inlineStr">
        <is>
          <t>AUD</t>
        </is>
      </c>
      <c r="S2061" t="n">
        <v>0</v>
      </c>
      <c r="T2061" t="inlineStr">
        <is>
          <t>AUD</t>
        </is>
      </c>
      <c r="U2061" t="n">
        <v>0</v>
      </c>
    </row>
    <row r="2062">
      <c r="A2062" s="5" t="inlineStr">
        <is>
          <t>01a152b9-8ea3-76dd-bf01-00b0f7e5810b</t>
        </is>
      </c>
      <c r="C2062" s="5" t="inlineStr">
        <is>
          <t>01a152b9-6e67-75da-8adb-b03e5d07fd21</t>
        </is>
      </c>
      <c r="D2062" s="4" t="n">
        <v>46314.24600485384</v>
      </c>
      <c r="E2062" s="4" t="n">
        <v>46314.24600485394</v>
      </c>
      <c r="F2062" t="b">
        <v>1</v>
      </c>
      <c r="G2062" t="n">
        <v/>
      </c>
      <c r="H2062" t="inlineStr">
        <is>
          <t>BIM</t>
        </is>
      </c>
      <c r="I2062" t="inlineStr">
        <is>
          <t>Bindi Metals Ltd</t>
        </is>
      </c>
      <c r="J2062" t="inlineStr">
        <is>
          <t>AUD</t>
        </is>
      </c>
      <c r="K2062" s="5" t="inlineStr">
        <is>
          <t>01a152b9-6ee2-7577-bddd-382bc3853fde</t>
        </is>
      </c>
      <c r="M2062" t="inlineStr">
        <is>
          <t>UNKNOWN</t>
        </is>
      </c>
      <c r="N2062" t="inlineStr">
        <is>
          <t>DEFAULT</t>
        </is>
      </c>
      <c r="Q2062" t="n">
        <v>0</v>
      </c>
      <c r="R2062" t="inlineStr">
        <is>
          <t>AUD</t>
        </is>
      </c>
      <c r="S2062" t="n">
        <v>0</v>
      </c>
      <c r="T2062" t="inlineStr">
        <is>
          <t>AUD</t>
        </is>
      </c>
      <c r="U2062" t="n">
        <v>0</v>
      </c>
    </row>
    <row r="2063">
      <c r="A2063" s="5" t="inlineStr">
        <is>
          <t>01a152b9-8ea7-7620-82db-799ddf6f3a05</t>
        </is>
      </c>
      <c r="C2063" s="5" t="inlineStr">
        <is>
          <t>01a152b9-6e67-75da-8adb-b03e5d07fd21</t>
        </is>
      </c>
      <c r="D2063" s="4" t="n">
        <v>46314.2460049046</v>
      </c>
      <c r="E2063" s="4" t="n">
        <v>46314.24600490472</v>
      </c>
      <c r="F2063" t="b">
        <v>1</v>
      </c>
      <c r="G2063" t="n">
        <v/>
      </c>
      <c r="H2063" t="inlineStr">
        <is>
          <t>TAS</t>
        </is>
      </c>
      <c r="I2063" t="inlineStr">
        <is>
          <t>Tasman Resources Ltd</t>
        </is>
      </c>
      <c r="J2063" t="inlineStr">
        <is>
          <t>AUD</t>
        </is>
      </c>
      <c r="K2063" s="5" t="inlineStr">
        <is>
          <t>01a152b9-6ee2-7577-bddd-382bc3853fde</t>
        </is>
      </c>
      <c r="M2063" t="inlineStr">
        <is>
          <t>UNKNOWN</t>
        </is>
      </c>
      <c r="N2063" t="inlineStr">
        <is>
          <t>DEFAULT</t>
        </is>
      </c>
      <c r="Q2063" t="n">
        <v>0</v>
      </c>
      <c r="R2063" t="inlineStr">
        <is>
          <t>AUD</t>
        </is>
      </c>
      <c r="S2063" t="n">
        <v>0</v>
      </c>
      <c r="T2063" t="inlineStr">
        <is>
          <t>AUD</t>
        </is>
      </c>
      <c r="U2063" t="n">
        <v>0</v>
      </c>
    </row>
    <row r="2064">
      <c r="A2064" s="5" t="inlineStr">
        <is>
          <t>01a152b9-8eab-74d4-a8c9-3c6fe9a9275f</t>
        </is>
      </c>
      <c r="C2064" s="5" t="inlineStr">
        <is>
          <t>01a152b9-6e67-75da-8adb-b03e5d07fd21</t>
        </is>
      </c>
      <c r="D2064" s="4" t="n">
        <v>46314.24600494925</v>
      </c>
      <c r="E2064" s="4" t="n">
        <v>46314.24600494939</v>
      </c>
      <c r="F2064" t="b">
        <v>1</v>
      </c>
      <c r="G2064" t="n">
        <v/>
      </c>
      <c r="H2064" t="inlineStr">
        <is>
          <t>YOW</t>
        </is>
      </c>
      <c r="I2064" t="inlineStr">
        <is>
          <t>Yowie Group Ltd</t>
        </is>
      </c>
      <c r="J2064" t="inlineStr">
        <is>
          <t>AUD</t>
        </is>
      </c>
      <c r="K2064" s="5" t="inlineStr">
        <is>
          <t>01a152b9-6ee2-7577-bddd-382bc3853fde</t>
        </is>
      </c>
      <c r="M2064" t="inlineStr">
        <is>
          <t>UNKNOWN</t>
        </is>
      </c>
      <c r="N2064" t="inlineStr">
        <is>
          <t>DEFAULT</t>
        </is>
      </c>
      <c r="Q2064" t="n">
        <v>0</v>
      </c>
      <c r="R2064" t="inlineStr">
        <is>
          <t>AUD</t>
        </is>
      </c>
      <c r="S2064" t="n">
        <v>0</v>
      </c>
      <c r="T2064" t="inlineStr">
        <is>
          <t>AUD</t>
        </is>
      </c>
      <c r="U2064" t="n">
        <v>0</v>
      </c>
    </row>
    <row r="2065">
      <c r="A2065" s="5" t="inlineStr">
        <is>
          <t>01a152b9-8eaf-7446-b036-4b2d7f1c0d14</t>
        </is>
      </c>
      <c r="C2065" s="5" t="inlineStr">
        <is>
          <t>01a152b9-6e67-75da-8adb-b03e5d07fd21</t>
        </is>
      </c>
      <c r="D2065" s="4" t="n">
        <v>46314.24600499401</v>
      </c>
      <c r="E2065" s="4" t="n">
        <v>46314.24600499414</v>
      </c>
      <c r="F2065" t="b">
        <v>1</v>
      </c>
      <c r="G2065" t="n">
        <v/>
      </c>
      <c r="H2065" t="inlineStr">
        <is>
          <t>AUH</t>
        </is>
      </c>
      <c r="I2065" t="inlineStr">
        <is>
          <t>Austchina Holdings Ltd</t>
        </is>
      </c>
      <c r="J2065" t="inlineStr">
        <is>
          <t>AUD</t>
        </is>
      </c>
      <c r="K2065" s="5" t="inlineStr">
        <is>
          <t>01a152b9-6ee2-7577-bddd-382bc3853fde</t>
        </is>
      </c>
      <c r="M2065" t="inlineStr">
        <is>
          <t>UNKNOWN</t>
        </is>
      </c>
      <c r="N2065" t="inlineStr">
        <is>
          <t>DEFAULT</t>
        </is>
      </c>
      <c r="Q2065" t="n">
        <v>0</v>
      </c>
      <c r="R2065" t="inlineStr">
        <is>
          <t>AUD</t>
        </is>
      </c>
      <c r="S2065" t="n">
        <v>0</v>
      </c>
      <c r="T2065" t="inlineStr">
        <is>
          <t>AUD</t>
        </is>
      </c>
      <c r="U2065" t="n">
        <v>0</v>
      </c>
    </row>
    <row r="2066">
      <c r="A2066" s="5" t="inlineStr">
        <is>
          <t>01a152b9-8eb3-76e6-ae51-ff5f8b4e2f64</t>
        </is>
      </c>
      <c r="C2066" s="5" t="inlineStr">
        <is>
          <t>01a152b9-6e67-75da-8adb-b03e5d07fd21</t>
        </is>
      </c>
      <c r="D2066" s="4" t="n">
        <v>46314.2460050453</v>
      </c>
      <c r="E2066" s="4" t="n">
        <v>46314.24600504545</v>
      </c>
      <c r="F2066" t="b">
        <v>1</v>
      </c>
      <c r="G2066" t="n">
        <v/>
      </c>
      <c r="H2066" t="inlineStr">
        <is>
          <t>RB6</t>
        </is>
      </c>
      <c r="I2066" t="inlineStr">
        <is>
          <t>RUBIX Resources Ltd</t>
        </is>
      </c>
      <c r="J2066" t="inlineStr">
        <is>
          <t>AUD</t>
        </is>
      </c>
      <c r="K2066" s="5" t="inlineStr">
        <is>
          <t>01a152b9-6ee2-7577-bddd-382bc3853fde</t>
        </is>
      </c>
      <c r="M2066" t="inlineStr">
        <is>
          <t>UNKNOWN</t>
        </is>
      </c>
      <c r="N2066" t="inlineStr">
        <is>
          <t>DEFAULT</t>
        </is>
      </c>
      <c r="Q2066" t="n">
        <v>0</v>
      </c>
      <c r="R2066" t="inlineStr">
        <is>
          <t>AUD</t>
        </is>
      </c>
      <c r="S2066" t="n">
        <v>0</v>
      </c>
      <c r="T2066" t="inlineStr">
        <is>
          <t>AUD</t>
        </is>
      </c>
      <c r="U2066" t="n">
        <v>0</v>
      </c>
    </row>
    <row r="2067">
      <c r="A2067" s="5" t="inlineStr">
        <is>
          <t>01a152b9-8eb7-7266-aba7-334d320e93d8</t>
        </is>
      </c>
      <c r="C2067" s="5" t="inlineStr">
        <is>
          <t>01a152b9-6e67-75da-8adb-b03e5d07fd21</t>
        </is>
      </c>
      <c r="D2067" s="4" t="n">
        <v>46314.24600509192</v>
      </c>
      <c r="E2067" s="4" t="n">
        <v>46314.24600509203</v>
      </c>
      <c r="F2067" t="b">
        <v>1</v>
      </c>
      <c r="G2067" t="n">
        <v/>
      </c>
      <c r="H2067" t="inlineStr">
        <is>
          <t>SHE</t>
        </is>
      </c>
      <c r="I2067" t="inlineStr">
        <is>
          <t>Stonehorse Energy Ltd</t>
        </is>
      </c>
      <c r="J2067" t="inlineStr">
        <is>
          <t>AUD</t>
        </is>
      </c>
      <c r="K2067" s="5" t="inlineStr">
        <is>
          <t>01a152b9-6ee2-7577-bddd-382bc3853fde</t>
        </is>
      </c>
      <c r="M2067" t="inlineStr">
        <is>
          <t>UNKNOWN</t>
        </is>
      </c>
      <c r="N2067" t="inlineStr">
        <is>
          <t>DEFAULT</t>
        </is>
      </c>
      <c r="Q2067" t="n">
        <v>0</v>
      </c>
      <c r="R2067" t="inlineStr">
        <is>
          <t>AUD</t>
        </is>
      </c>
      <c r="S2067" t="n">
        <v>0</v>
      </c>
      <c r="T2067" t="inlineStr">
        <is>
          <t>AUD</t>
        </is>
      </c>
      <c r="U2067" t="n">
        <v>0</v>
      </c>
    </row>
    <row r="2068">
      <c r="A2068" s="5" t="inlineStr">
        <is>
          <t>01a152b9-8ebb-7692-aa27-e6f02add2568</t>
        </is>
      </c>
      <c r="C2068" s="5" t="inlineStr">
        <is>
          <t>01a152b9-6e67-75da-8adb-b03e5d07fd21</t>
        </is>
      </c>
      <c r="D2068" s="4" t="n">
        <v>46314.24600513872</v>
      </c>
      <c r="E2068" s="4" t="n">
        <v>46314.24600513886</v>
      </c>
      <c r="F2068" t="b">
        <v>1</v>
      </c>
      <c r="G2068" t="n">
        <v/>
      </c>
      <c r="H2068" t="inlineStr">
        <is>
          <t>RLG</t>
        </is>
      </c>
      <c r="I2068" t="inlineStr">
        <is>
          <t>Roolife Group Ltd</t>
        </is>
      </c>
      <c r="J2068" t="inlineStr">
        <is>
          <t>AUD</t>
        </is>
      </c>
      <c r="K2068" s="5" t="inlineStr">
        <is>
          <t>01a152b9-6ee2-7577-bddd-382bc3853fde</t>
        </is>
      </c>
      <c r="M2068" t="inlineStr">
        <is>
          <t>UNKNOWN</t>
        </is>
      </c>
      <c r="N2068" t="inlineStr">
        <is>
          <t>DEFAULT</t>
        </is>
      </c>
      <c r="Q2068" t="n">
        <v>0</v>
      </c>
      <c r="R2068" t="inlineStr">
        <is>
          <t>AUD</t>
        </is>
      </c>
      <c r="S2068" t="n">
        <v>0</v>
      </c>
      <c r="T2068" t="inlineStr">
        <is>
          <t>AUD</t>
        </is>
      </c>
      <c r="U2068" t="n">
        <v>0</v>
      </c>
    </row>
    <row r="2069">
      <c r="A2069" s="5" t="inlineStr">
        <is>
          <t>01a152b9-8ebf-70fe-b1db-f1375b046830</t>
        </is>
      </c>
      <c r="C2069" s="5" t="inlineStr">
        <is>
          <t>01a152b9-6e67-75da-8adb-b03e5d07fd21</t>
        </is>
      </c>
      <c r="D2069" s="4" t="n">
        <v>46314.24600518321</v>
      </c>
      <c r="E2069" s="4" t="n">
        <v>46314.24600518332</v>
      </c>
      <c r="F2069" t="b">
        <v>1</v>
      </c>
      <c r="G2069" t="n">
        <v/>
      </c>
      <c r="H2069" t="inlineStr">
        <is>
          <t>SVG</t>
        </is>
      </c>
      <c r="I2069" t="inlineStr">
        <is>
          <t>Savannah Goldfields Ltd</t>
        </is>
      </c>
      <c r="J2069" t="inlineStr">
        <is>
          <t>AUD</t>
        </is>
      </c>
      <c r="K2069" s="5" t="inlineStr">
        <is>
          <t>01a152b9-6ee2-7577-bddd-382bc3853fde</t>
        </is>
      </c>
      <c r="M2069" t="inlineStr">
        <is>
          <t>UNKNOWN</t>
        </is>
      </c>
      <c r="N2069" t="inlineStr">
        <is>
          <t>DEFAULT</t>
        </is>
      </c>
      <c r="Q2069" t="n">
        <v>0</v>
      </c>
      <c r="R2069" t="inlineStr">
        <is>
          <t>AUD</t>
        </is>
      </c>
      <c r="S2069" t="n">
        <v>0</v>
      </c>
      <c r="T2069" t="inlineStr">
        <is>
          <t>AUD</t>
        </is>
      </c>
      <c r="U2069" t="n">
        <v>0</v>
      </c>
    </row>
    <row r="2070">
      <c r="A2070" s="5" t="inlineStr">
        <is>
          <t>01a152b9-8ec3-73c0-99f1-6b0649103f70</t>
        </is>
      </c>
      <c r="C2070" s="5" t="inlineStr">
        <is>
          <t>01a152b9-6e67-75da-8adb-b03e5d07fd21</t>
        </is>
      </c>
      <c r="D2070" s="4" t="n">
        <v>46314.24600522991</v>
      </c>
      <c r="E2070" s="4" t="n">
        <v>46314.24600523002</v>
      </c>
      <c r="F2070" t="b">
        <v>1</v>
      </c>
      <c r="G2070" t="n">
        <v/>
      </c>
      <c r="H2070" t="inlineStr">
        <is>
          <t>HPP</t>
        </is>
      </c>
      <c r="I2070" t="inlineStr">
        <is>
          <t>Health and Plant Protein Group Ltd</t>
        </is>
      </c>
      <c r="J2070" t="inlineStr">
        <is>
          <t>AUD</t>
        </is>
      </c>
      <c r="K2070" s="5" t="inlineStr">
        <is>
          <t>01a152b9-6ee2-7577-bddd-382bc3853fde</t>
        </is>
      </c>
      <c r="M2070" t="inlineStr">
        <is>
          <t>UNKNOWN</t>
        </is>
      </c>
      <c r="N2070" t="inlineStr">
        <is>
          <t>DEFAULT</t>
        </is>
      </c>
      <c r="Q2070" t="n">
        <v>0</v>
      </c>
      <c r="R2070" t="inlineStr">
        <is>
          <t>AUD</t>
        </is>
      </c>
      <c r="S2070" t="n">
        <v>0</v>
      </c>
      <c r="T2070" t="inlineStr">
        <is>
          <t>AUD</t>
        </is>
      </c>
      <c r="U2070" t="n">
        <v>0</v>
      </c>
    </row>
    <row r="2071">
      <c r="A2071" s="5" t="inlineStr">
        <is>
          <t>01a152b9-8ec7-7115-8204-1777c80f570b</t>
        </is>
      </c>
      <c r="C2071" s="5" t="inlineStr">
        <is>
          <t>01a152b9-6e67-75da-8adb-b03e5d07fd21</t>
        </is>
      </c>
      <c r="D2071" s="4" t="n">
        <v>46314.24600527475</v>
      </c>
      <c r="E2071" s="4" t="n">
        <v>46314.24600527486</v>
      </c>
      <c r="F2071" t="b">
        <v>1</v>
      </c>
      <c r="G2071" t="n">
        <v/>
      </c>
      <c r="H2071" t="inlineStr">
        <is>
          <t>PRX</t>
        </is>
      </c>
      <c r="I2071" t="inlineStr">
        <is>
          <t>Prodigy Gold NL</t>
        </is>
      </c>
      <c r="J2071" t="inlineStr">
        <is>
          <t>AUD</t>
        </is>
      </c>
      <c r="K2071" s="5" t="inlineStr">
        <is>
          <t>01a152b9-6ee2-7577-bddd-382bc3853fde</t>
        </is>
      </c>
      <c r="M2071" t="inlineStr">
        <is>
          <t>UNKNOWN</t>
        </is>
      </c>
      <c r="N2071" t="inlineStr">
        <is>
          <t>DEFAULT</t>
        </is>
      </c>
      <c r="Q2071" t="n">
        <v>0</v>
      </c>
      <c r="R2071" t="inlineStr">
        <is>
          <t>AUD</t>
        </is>
      </c>
      <c r="S2071" t="n">
        <v>0</v>
      </c>
      <c r="T2071" t="inlineStr">
        <is>
          <t>AUD</t>
        </is>
      </c>
      <c r="U2071" t="n">
        <v>0</v>
      </c>
    </row>
    <row r="2072">
      <c r="A2072" s="5" t="inlineStr">
        <is>
          <t>01a152b9-8ecb-70ab-a680-78c8eb29fcac</t>
        </is>
      </c>
      <c r="C2072" s="5" t="inlineStr">
        <is>
          <t>01a152b9-6e67-75da-8adb-b03e5d07fd21</t>
        </is>
      </c>
      <c r="D2072" s="4" t="n">
        <v>46314.24600531458</v>
      </c>
      <c r="E2072" s="4" t="n">
        <v>46314.2460053147</v>
      </c>
      <c r="F2072" t="b">
        <v>1</v>
      </c>
      <c r="G2072" t="n">
        <v/>
      </c>
      <c r="H2072" t="inlineStr">
        <is>
          <t>GTH</t>
        </is>
      </c>
      <c r="I2072" t="inlineStr">
        <is>
          <t>Gathid Ltd</t>
        </is>
      </c>
      <c r="J2072" t="inlineStr">
        <is>
          <t>AUD</t>
        </is>
      </c>
      <c r="K2072" s="5" t="inlineStr">
        <is>
          <t>01a152b9-6ee2-7577-bddd-382bc3853fde</t>
        </is>
      </c>
      <c r="M2072" t="inlineStr">
        <is>
          <t>UNKNOWN</t>
        </is>
      </c>
      <c r="N2072" t="inlineStr">
        <is>
          <t>DEFAULT</t>
        </is>
      </c>
      <c r="Q2072" t="n">
        <v>0</v>
      </c>
      <c r="R2072" t="inlineStr">
        <is>
          <t>AUD</t>
        </is>
      </c>
      <c r="S2072" t="n">
        <v>0</v>
      </c>
      <c r="T2072" t="inlineStr">
        <is>
          <t>AUD</t>
        </is>
      </c>
      <c r="U2072" t="n">
        <v>0</v>
      </c>
    </row>
    <row r="2073">
      <c r="A2073" s="5" t="inlineStr">
        <is>
          <t>01a152b9-8ece-760c-aab7-bca19891c944</t>
        </is>
      </c>
      <c r="C2073" s="5" t="inlineStr">
        <is>
          <t>01a152b9-6e67-75da-8adb-b03e5d07fd21</t>
        </is>
      </c>
      <c r="D2073" s="4" t="n">
        <v>46314.24600535518</v>
      </c>
      <c r="E2073" s="4" t="n">
        <v>46314.2460053553</v>
      </c>
      <c r="F2073" t="b">
        <v>1</v>
      </c>
      <c r="G2073" t="n">
        <v/>
      </c>
      <c r="H2073" t="inlineStr">
        <is>
          <t>FRX</t>
        </is>
      </c>
      <c r="I2073" t="inlineStr">
        <is>
          <t>Flexiroam Ltd</t>
        </is>
      </c>
      <c r="J2073" t="inlineStr">
        <is>
          <t>AUD</t>
        </is>
      </c>
      <c r="K2073" s="5" t="inlineStr">
        <is>
          <t>01a152b9-6ee2-7577-bddd-382bc3853fde</t>
        </is>
      </c>
      <c r="M2073" t="inlineStr">
        <is>
          <t>UNKNOWN</t>
        </is>
      </c>
      <c r="N2073" t="inlineStr">
        <is>
          <t>DEFAULT</t>
        </is>
      </c>
      <c r="Q2073" t="n">
        <v>0</v>
      </c>
      <c r="R2073" t="inlineStr">
        <is>
          <t>AUD</t>
        </is>
      </c>
      <c r="S2073" t="n">
        <v>0</v>
      </c>
      <c r="T2073" t="inlineStr">
        <is>
          <t>AUD</t>
        </is>
      </c>
      <c r="U2073" t="n">
        <v>0</v>
      </c>
    </row>
    <row r="2074">
      <c r="A2074" s="5" t="inlineStr">
        <is>
          <t>01a152b9-8ed1-76ab-b9a3-da2925a8d15c</t>
        </is>
      </c>
      <c r="C2074" s="5" t="inlineStr">
        <is>
          <t>01a152b9-6e67-75da-8adb-b03e5d07fd21</t>
        </is>
      </c>
      <c r="D2074" s="4" t="n">
        <v>46314.24600539171</v>
      </c>
      <c r="E2074" s="4" t="n">
        <v>46314.2460053918</v>
      </c>
      <c r="F2074" t="b">
        <v>1</v>
      </c>
      <c r="G2074" t="n">
        <v/>
      </c>
      <c r="H2074" t="inlineStr">
        <is>
          <t>NFL</t>
        </is>
      </c>
      <c r="I2074" t="inlineStr">
        <is>
          <t>Norfolk Metals Ltd</t>
        </is>
      </c>
      <c r="J2074" t="inlineStr">
        <is>
          <t>AUD</t>
        </is>
      </c>
      <c r="K2074" s="5" t="inlineStr">
        <is>
          <t>01a152b9-6ee2-7577-bddd-382bc3853fde</t>
        </is>
      </c>
      <c r="M2074" t="inlineStr">
        <is>
          <t>UNKNOWN</t>
        </is>
      </c>
      <c r="N2074" t="inlineStr">
        <is>
          <t>DEFAULT</t>
        </is>
      </c>
      <c r="Q2074" t="n">
        <v>0</v>
      </c>
      <c r="R2074" t="inlineStr">
        <is>
          <t>AUD</t>
        </is>
      </c>
      <c r="S2074" t="n">
        <v>0</v>
      </c>
      <c r="T2074" t="inlineStr">
        <is>
          <t>AUD</t>
        </is>
      </c>
      <c r="U2074" t="n">
        <v>0</v>
      </c>
    </row>
    <row r="2075">
      <c r="A2075" s="5" t="inlineStr">
        <is>
          <t>01a152b9-8ed5-7518-a8b4-ec71b4bc4361</t>
        </is>
      </c>
      <c r="C2075" s="5" t="inlineStr">
        <is>
          <t>01a152b9-6e67-75da-8adb-b03e5d07fd21</t>
        </is>
      </c>
      <c r="D2075" s="4" t="n">
        <v>46314.24600543095</v>
      </c>
      <c r="E2075" s="4" t="n">
        <v>46314.24600543106</v>
      </c>
      <c r="F2075" t="b">
        <v>1</v>
      </c>
      <c r="G2075" t="n">
        <v/>
      </c>
      <c r="H2075" t="inlineStr">
        <is>
          <t>BLZ</t>
        </is>
      </c>
      <c r="I2075" t="inlineStr">
        <is>
          <t>BLAZE Minerals Ltd</t>
        </is>
      </c>
      <c r="J2075" t="inlineStr">
        <is>
          <t>AUD</t>
        </is>
      </c>
      <c r="K2075" s="5" t="inlineStr">
        <is>
          <t>01a152b9-6ee2-7577-bddd-382bc3853fde</t>
        </is>
      </c>
      <c r="M2075" t="inlineStr">
        <is>
          <t>UNKNOWN</t>
        </is>
      </c>
      <c r="N2075" t="inlineStr">
        <is>
          <t>DEFAULT</t>
        </is>
      </c>
      <c r="Q2075" t="n">
        <v>0</v>
      </c>
      <c r="R2075" t="inlineStr">
        <is>
          <t>AUD</t>
        </is>
      </c>
      <c r="S2075" t="n">
        <v>0</v>
      </c>
      <c r="T2075" t="inlineStr">
        <is>
          <t>AUD</t>
        </is>
      </c>
      <c r="U2075" t="n">
        <v>0</v>
      </c>
    </row>
    <row r="2076">
      <c r="A2076" s="5" t="inlineStr">
        <is>
          <t>01a152b9-8ed8-7135-9f9f-7dcc53af53a2</t>
        </is>
      </c>
      <c r="C2076" s="5" t="inlineStr">
        <is>
          <t>01a152b9-6e67-75da-8adb-b03e5d07fd21</t>
        </is>
      </c>
      <c r="D2076" s="4" t="n">
        <v>46314.2460054688</v>
      </c>
      <c r="E2076" s="4" t="n">
        <v>46314.2460054689</v>
      </c>
      <c r="F2076" t="b">
        <v>1</v>
      </c>
      <c r="G2076" t="n">
        <v/>
      </c>
      <c r="H2076" t="inlineStr">
        <is>
          <t>RAN</t>
        </is>
      </c>
      <c r="I2076" t="inlineStr">
        <is>
          <t>Range International Ltd</t>
        </is>
      </c>
      <c r="J2076" t="inlineStr">
        <is>
          <t>AUD</t>
        </is>
      </c>
      <c r="K2076" s="5" t="inlineStr">
        <is>
          <t>01a152b9-6ee2-7577-bddd-382bc3853fde</t>
        </is>
      </c>
      <c r="M2076" t="inlineStr">
        <is>
          <t>UNKNOWN</t>
        </is>
      </c>
      <c r="N2076" t="inlineStr">
        <is>
          <t>DEFAULT</t>
        </is>
      </c>
      <c r="Q2076" t="n">
        <v>0</v>
      </c>
      <c r="R2076" t="inlineStr">
        <is>
          <t>AUD</t>
        </is>
      </c>
      <c r="S2076" t="n">
        <v>0</v>
      </c>
      <c r="T2076" t="inlineStr">
        <is>
          <t>AUD</t>
        </is>
      </c>
      <c r="U2076" t="n">
        <v>0</v>
      </c>
    </row>
    <row r="2077">
      <c r="A2077" s="5" t="inlineStr">
        <is>
          <t>01a152b9-8edb-77fd-9e80-efb877e8bbbc</t>
        </is>
      </c>
      <c r="C2077" s="5" t="inlineStr">
        <is>
          <t>01a152b9-6e67-75da-8adb-b03e5d07fd21</t>
        </is>
      </c>
      <c r="D2077" s="4" t="n">
        <v>46314.24600550667</v>
      </c>
      <c r="E2077" s="4" t="n">
        <v>46314.24600550677</v>
      </c>
      <c r="F2077" t="b">
        <v>1</v>
      </c>
      <c r="G2077" t="n">
        <v/>
      </c>
      <c r="H2077" t="inlineStr">
        <is>
          <t>GR8</t>
        </is>
      </c>
      <c r="I2077" t="inlineStr">
        <is>
          <t>Great Dirt Resources Ltd</t>
        </is>
      </c>
      <c r="J2077" t="inlineStr">
        <is>
          <t>AUD</t>
        </is>
      </c>
      <c r="K2077" s="5" t="inlineStr">
        <is>
          <t>01a152b9-6ee2-7577-bddd-382bc3853fde</t>
        </is>
      </c>
      <c r="M2077" t="inlineStr">
        <is>
          <t>UNKNOWN</t>
        </is>
      </c>
      <c r="N2077" t="inlineStr">
        <is>
          <t>DEFAULT</t>
        </is>
      </c>
      <c r="Q2077" t="n">
        <v>0</v>
      </c>
      <c r="R2077" t="inlineStr">
        <is>
          <t>AUD</t>
        </is>
      </c>
      <c r="S2077" t="n">
        <v>0</v>
      </c>
      <c r="T2077" t="inlineStr">
        <is>
          <t>AUD</t>
        </is>
      </c>
      <c r="U2077" t="n">
        <v>0</v>
      </c>
    </row>
    <row r="2078">
      <c r="A2078" s="5" t="inlineStr">
        <is>
          <t>01a152b9-8ede-7502-b3f2-bd16e5f6c97c</t>
        </is>
      </c>
      <c r="C2078" s="5" t="inlineStr">
        <is>
          <t>01a152b9-6e67-75da-8adb-b03e5d07fd21</t>
        </is>
      </c>
      <c r="D2078" s="4" t="n">
        <v>46314.24600554276</v>
      </c>
      <c r="E2078" s="4" t="n">
        <v>46314.24600554285</v>
      </c>
      <c r="F2078" t="b">
        <v>1</v>
      </c>
      <c r="G2078" t="n">
        <v/>
      </c>
      <c r="H2078" t="inlineStr">
        <is>
          <t>DAF</t>
        </is>
      </c>
      <c r="I2078" t="inlineStr">
        <is>
          <t>Discovery Alaska Ltd</t>
        </is>
      </c>
      <c r="J2078" t="inlineStr">
        <is>
          <t>AUD</t>
        </is>
      </c>
      <c r="K2078" s="5" t="inlineStr">
        <is>
          <t>01a152b9-6ee2-7577-bddd-382bc3853fde</t>
        </is>
      </c>
      <c r="M2078" t="inlineStr">
        <is>
          <t>UNKNOWN</t>
        </is>
      </c>
      <c r="N2078" t="inlineStr">
        <is>
          <t>DEFAULT</t>
        </is>
      </c>
      <c r="Q2078" t="n">
        <v>0</v>
      </c>
      <c r="R2078" t="inlineStr">
        <is>
          <t>AUD</t>
        </is>
      </c>
      <c r="S2078" t="n">
        <v>0</v>
      </c>
      <c r="T2078" t="inlineStr">
        <is>
          <t>AUD</t>
        </is>
      </c>
      <c r="U2078" t="n">
        <v>0</v>
      </c>
    </row>
    <row r="2079">
      <c r="A2079" s="5" t="inlineStr">
        <is>
          <t>01a152b9-8ee1-7178-b749-94cbccb80ec6</t>
        </is>
      </c>
      <c r="C2079" s="5" t="inlineStr">
        <is>
          <t>01a152b9-6e67-75da-8adb-b03e5d07fd21</t>
        </is>
      </c>
      <c r="D2079" s="4" t="n">
        <v>46314.24600557889</v>
      </c>
      <c r="E2079" s="4" t="n">
        <v>46314.24600557898</v>
      </c>
      <c r="F2079" t="b">
        <v>1</v>
      </c>
      <c r="G2079" t="n">
        <v/>
      </c>
      <c r="H2079" t="inlineStr">
        <is>
          <t>EG1</t>
        </is>
      </c>
      <c r="I2079" t="inlineStr">
        <is>
          <t>Evergreen Lithium Ltd</t>
        </is>
      </c>
      <c r="J2079" t="inlineStr">
        <is>
          <t>AUD</t>
        </is>
      </c>
      <c r="K2079" s="5" t="inlineStr">
        <is>
          <t>01a152b9-6ee2-7577-bddd-382bc3853fde</t>
        </is>
      </c>
      <c r="M2079" t="inlineStr">
        <is>
          <t>UNKNOWN</t>
        </is>
      </c>
      <c r="N2079" t="inlineStr">
        <is>
          <t>DEFAULT</t>
        </is>
      </c>
      <c r="Q2079" t="n">
        <v>0</v>
      </c>
      <c r="R2079" t="inlineStr">
        <is>
          <t>AUD</t>
        </is>
      </c>
      <c r="S2079" t="n">
        <v>0</v>
      </c>
      <c r="T2079" t="inlineStr">
        <is>
          <t>AUD</t>
        </is>
      </c>
      <c r="U2079" t="n">
        <v>0</v>
      </c>
    </row>
    <row r="2080">
      <c r="A2080" s="5" t="inlineStr">
        <is>
          <t>01a152b9-8ee5-755c-99c4-636f6ada4a00</t>
        </is>
      </c>
      <c r="C2080" s="5" t="inlineStr">
        <is>
          <t>01a152b9-6e67-75da-8adb-b03e5d07fd21</t>
        </is>
      </c>
      <c r="D2080" s="4" t="n">
        <v>46314.24600561587</v>
      </c>
      <c r="E2080" s="4" t="n">
        <v>46314.24600561596</v>
      </c>
      <c r="F2080" t="b">
        <v>1</v>
      </c>
      <c r="G2080" t="n">
        <v/>
      </c>
      <c r="H2080" t="inlineStr">
        <is>
          <t>IMI</t>
        </is>
      </c>
      <c r="I2080" t="inlineStr">
        <is>
          <t>Infinity Mining Ltd</t>
        </is>
      </c>
      <c r="J2080" t="inlineStr">
        <is>
          <t>AUD</t>
        </is>
      </c>
      <c r="K2080" s="5" t="inlineStr">
        <is>
          <t>01a152b9-6ee2-7577-bddd-382bc3853fde</t>
        </is>
      </c>
      <c r="M2080" t="inlineStr">
        <is>
          <t>UNKNOWN</t>
        </is>
      </c>
      <c r="N2080" t="inlineStr">
        <is>
          <t>DEFAULT</t>
        </is>
      </c>
      <c r="Q2080" t="n">
        <v>0</v>
      </c>
      <c r="R2080" t="inlineStr">
        <is>
          <t>AUD</t>
        </is>
      </c>
      <c r="S2080" t="n">
        <v>0</v>
      </c>
      <c r="T2080" t="inlineStr">
        <is>
          <t>AUD</t>
        </is>
      </c>
      <c r="U2080" t="n">
        <v>0</v>
      </c>
    </row>
    <row r="2081">
      <c r="A2081" s="5" t="inlineStr">
        <is>
          <t>01a152b9-8ee8-7263-b727-63ff53ae4179</t>
        </is>
      </c>
      <c r="C2081" s="5" t="inlineStr">
        <is>
          <t>01a152b9-6e67-75da-8adb-b03e5d07fd21</t>
        </is>
      </c>
      <c r="D2081" s="4" t="n">
        <v>46314.24600564995</v>
      </c>
      <c r="E2081" s="4" t="n">
        <v>46314.24600565006</v>
      </c>
      <c r="F2081" t="b">
        <v>1</v>
      </c>
      <c r="G2081" t="n">
        <v/>
      </c>
      <c r="H2081" t="inlineStr">
        <is>
          <t>ERG</t>
        </is>
      </c>
      <c r="I2081" t="inlineStr">
        <is>
          <t>Eneco Refresh Ltd</t>
        </is>
      </c>
      <c r="J2081" t="inlineStr">
        <is>
          <t>AUD</t>
        </is>
      </c>
      <c r="K2081" s="5" t="inlineStr">
        <is>
          <t>01a152b9-6ee2-7577-bddd-382bc3853fde</t>
        </is>
      </c>
      <c r="M2081" t="inlineStr">
        <is>
          <t>UNKNOWN</t>
        </is>
      </c>
      <c r="N2081" t="inlineStr">
        <is>
          <t>DEFAULT</t>
        </is>
      </c>
      <c r="Q2081" t="n">
        <v>0</v>
      </c>
      <c r="R2081" t="inlineStr">
        <is>
          <t>AUD</t>
        </is>
      </c>
      <c r="S2081" t="n">
        <v>0</v>
      </c>
      <c r="T2081" t="inlineStr">
        <is>
          <t>AUD</t>
        </is>
      </c>
      <c r="U2081" t="n">
        <v>0</v>
      </c>
    </row>
    <row r="2082">
      <c r="A2082" s="5" t="inlineStr">
        <is>
          <t>01a152b9-8eeb-73a1-8b2f-618679fb904e</t>
        </is>
      </c>
      <c r="C2082" s="5" t="inlineStr">
        <is>
          <t>01a152b9-6e67-75da-8adb-b03e5d07fd21</t>
        </is>
      </c>
      <c r="D2082" s="4" t="n">
        <v>46314.24600568446</v>
      </c>
      <c r="E2082" s="4" t="n">
        <v>46314.24600568456</v>
      </c>
      <c r="F2082" t="b">
        <v>1</v>
      </c>
      <c r="G2082" t="n">
        <v/>
      </c>
      <c r="H2082" t="inlineStr">
        <is>
          <t>SP3</t>
        </is>
      </c>
      <c r="I2082" t="inlineStr">
        <is>
          <t>Spectur Ltd</t>
        </is>
      </c>
      <c r="J2082" t="inlineStr">
        <is>
          <t>AUD</t>
        </is>
      </c>
      <c r="K2082" s="5" t="inlineStr">
        <is>
          <t>01a152b9-6ee2-7577-bddd-382bc3853fde</t>
        </is>
      </c>
      <c r="M2082" t="inlineStr">
        <is>
          <t>UNKNOWN</t>
        </is>
      </c>
      <c r="N2082" t="inlineStr">
        <is>
          <t>DEFAULT</t>
        </is>
      </c>
      <c r="Q2082" t="n">
        <v>0</v>
      </c>
      <c r="R2082" t="inlineStr">
        <is>
          <t>AUD</t>
        </is>
      </c>
      <c r="S2082" t="n">
        <v>0</v>
      </c>
      <c r="T2082" t="inlineStr">
        <is>
          <t>AUD</t>
        </is>
      </c>
      <c r="U2082" t="n">
        <v>0</v>
      </c>
    </row>
    <row r="2083">
      <c r="A2083" s="5" t="inlineStr">
        <is>
          <t>01a152b9-8eee-72d7-aee0-c815408707ce</t>
        </is>
      </c>
      <c r="C2083" s="5" t="inlineStr">
        <is>
          <t>01a152b9-6e67-75da-8adb-b03e5d07fd21</t>
        </is>
      </c>
      <c r="D2083" s="4" t="n">
        <v>46314.2460057208</v>
      </c>
      <c r="E2083" s="4" t="n">
        <v>46314.24600572089</v>
      </c>
      <c r="F2083" t="b">
        <v>1</v>
      </c>
      <c r="G2083" t="n">
        <v/>
      </c>
      <c r="H2083" t="inlineStr">
        <is>
          <t>CPO</t>
        </is>
      </c>
      <c r="I2083" t="inlineStr">
        <is>
          <t>Culpeo Minerals Ltd</t>
        </is>
      </c>
      <c r="J2083" t="inlineStr">
        <is>
          <t>AUD</t>
        </is>
      </c>
      <c r="K2083" s="5" t="inlineStr">
        <is>
          <t>01a152b9-6ee2-7577-bddd-382bc3853fde</t>
        </is>
      </c>
      <c r="M2083" t="inlineStr">
        <is>
          <t>UNKNOWN</t>
        </is>
      </c>
      <c r="N2083" t="inlineStr">
        <is>
          <t>DEFAULT</t>
        </is>
      </c>
      <c r="Q2083" t="n">
        <v>0</v>
      </c>
      <c r="R2083" t="inlineStr">
        <is>
          <t>AUD</t>
        </is>
      </c>
      <c r="S2083" t="n">
        <v>0</v>
      </c>
      <c r="T2083" t="inlineStr">
        <is>
          <t>AUD</t>
        </is>
      </c>
      <c r="U2083" t="n">
        <v>0</v>
      </c>
    </row>
    <row r="2084">
      <c r="A2084" s="5" t="inlineStr">
        <is>
          <t>01a152b9-8ef2-74ee-9d11-2dd679d18cb9</t>
        </is>
      </c>
      <c r="C2084" s="5" t="inlineStr">
        <is>
          <t>01a152b9-6e67-75da-8adb-b03e5d07fd21</t>
        </is>
      </c>
      <c r="D2084" s="4" t="n">
        <v>46314.24600576566</v>
      </c>
      <c r="E2084" s="4" t="n">
        <v>46314.24600576577</v>
      </c>
      <c r="F2084" t="b">
        <v>1</v>
      </c>
      <c r="G2084" t="n">
        <v/>
      </c>
      <c r="H2084" t="inlineStr">
        <is>
          <t>REC</t>
        </is>
      </c>
      <c r="I2084" t="inlineStr">
        <is>
          <t>Recharge Metals Ltd</t>
        </is>
      </c>
      <c r="J2084" t="inlineStr">
        <is>
          <t>AUD</t>
        </is>
      </c>
      <c r="K2084" s="5" t="inlineStr">
        <is>
          <t>01a152b9-6ee2-7577-bddd-382bc3853fde</t>
        </is>
      </c>
      <c r="M2084" t="inlineStr">
        <is>
          <t>UNKNOWN</t>
        </is>
      </c>
      <c r="N2084" t="inlineStr">
        <is>
          <t>DEFAULT</t>
        </is>
      </c>
      <c r="Q2084" t="n">
        <v>0</v>
      </c>
      <c r="R2084" t="inlineStr">
        <is>
          <t>AUD</t>
        </is>
      </c>
      <c r="S2084" t="n">
        <v>0</v>
      </c>
      <c r="T2084" t="inlineStr">
        <is>
          <t>AUD</t>
        </is>
      </c>
      <c r="U2084" t="n">
        <v>0</v>
      </c>
    </row>
    <row r="2085">
      <c r="A2085" s="5" t="inlineStr">
        <is>
          <t>01a152b9-8ef5-732c-a9f0-f0f02ba6858b</t>
        </is>
      </c>
      <c r="C2085" s="5" t="inlineStr">
        <is>
          <t>01a152b9-6e67-75da-8adb-b03e5d07fd21</t>
        </is>
      </c>
      <c r="D2085" s="4" t="n">
        <v>46314.24600580609</v>
      </c>
      <c r="E2085" s="4" t="n">
        <v>46314.24600580623</v>
      </c>
      <c r="F2085" t="b">
        <v>1</v>
      </c>
      <c r="G2085" t="n">
        <v/>
      </c>
      <c r="H2085" t="inlineStr">
        <is>
          <t>DTEC</t>
        </is>
      </c>
      <c r="I2085" t="inlineStr">
        <is>
          <t>Global X Defence Tech ETF</t>
        </is>
      </c>
      <c r="J2085" t="inlineStr">
        <is>
          <t>AUD</t>
        </is>
      </c>
      <c r="K2085" s="5" t="inlineStr">
        <is>
          <t>01a152b9-6ee2-7577-bddd-382bc3853fde</t>
        </is>
      </c>
      <c r="M2085" t="inlineStr">
        <is>
          <t>UNKNOWN</t>
        </is>
      </c>
      <c r="N2085" t="inlineStr">
        <is>
          <t>DEFAULT</t>
        </is>
      </c>
      <c r="Q2085" t="n">
        <v>0</v>
      </c>
      <c r="R2085" t="inlineStr">
        <is>
          <t>AUD</t>
        </is>
      </c>
      <c r="S2085" t="n">
        <v>0</v>
      </c>
      <c r="T2085" t="inlineStr">
        <is>
          <t>AUD</t>
        </is>
      </c>
      <c r="U2085" t="n">
        <v>0</v>
      </c>
    </row>
    <row r="2086">
      <c r="A2086" s="5" t="inlineStr">
        <is>
          <t>01a152b9-8ef9-7758-ab28-6b459a179b6c</t>
        </is>
      </c>
      <c r="C2086" s="5" t="inlineStr">
        <is>
          <t>01a152b9-6e67-75da-8adb-b03e5d07fd21</t>
        </is>
      </c>
      <c r="D2086" s="4" t="n">
        <v>46314.24600584956</v>
      </c>
      <c r="E2086" s="4" t="n">
        <v>46314.2460058497</v>
      </c>
      <c r="F2086" t="b">
        <v>1</v>
      </c>
      <c r="G2086" t="n">
        <v/>
      </c>
      <c r="H2086" t="inlineStr">
        <is>
          <t>MHM</t>
        </is>
      </c>
      <c r="I2086" t="inlineStr">
        <is>
          <t>Mount Hope Mining Ltd</t>
        </is>
      </c>
      <c r="J2086" t="inlineStr">
        <is>
          <t>AUD</t>
        </is>
      </c>
      <c r="K2086" s="5" t="inlineStr">
        <is>
          <t>01a152b9-6ee2-7577-bddd-382bc3853fde</t>
        </is>
      </c>
      <c r="M2086" t="inlineStr">
        <is>
          <t>UNKNOWN</t>
        </is>
      </c>
      <c r="N2086" t="inlineStr">
        <is>
          <t>DEFAULT</t>
        </is>
      </c>
      <c r="Q2086" t="n">
        <v>0</v>
      </c>
      <c r="R2086" t="inlineStr">
        <is>
          <t>AUD</t>
        </is>
      </c>
      <c r="S2086" t="n">
        <v>0</v>
      </c>
      <c r="T2086" t="inlineStr">
        <is>
          <t>AUD</t>
        </is>
      </c>
      <c r="U2086" t="n">
        <v>0</v>
      </c>
    </row>
    <row r="2087">
      <c r="A2087" s="5" t="inlineStr">
        <is>
          <t>01a152b9-8efd-75a6-93fb-5812cb69e02e</t>
        </is>
      </c>
      <c r="C2087" s="5" t="inlineStr">
        <is>
          <t>01a152b9-6e67-75da-8adb-b03e5d07fd21</t>
        </is>
      </c>
      <c r="D2087" s="4" t="n">
        <v>46314.24600589618</v>
      </c>
      <c r="E2087" s="4" t="n">
        <v>46314.2460058963</v>
      </c>
      <c r="F2087" t="b">
        <v>1</v>
      </c>
      <c r="G2087" t="n">
        <v/>
      </c>
      <c r="H2087" t="inlineStr">
        <is>
          <t>JPHQ</t>
        </is>
      </c>
      <c r="I2087" t="inlineStr">
        <is>
          <t>JPM US100Q EQ Prem Inc H Active ETF (Managed Fund)</t>
        </is>
      </c>
      <c r="J2087" t="inlineStr">
        <is>
          <t>AUD</t>
        </is>
      </c>
      <c r="K2087" s="5" t="inlineStr">
        <is>
          <t>01a152b9-6ee2-7577-bddd-382bc3853fde</t>
        </is>
      </c>
      <c r="M2087" t="inlineStr">
        <is>
          <t>UNKNOWN</t>
        </is>
      </c>
      <c r="N2087" t="inlineStr">
        <is>
          <t>DEFAULT</t>
        </is>
      </c>
      <c r="Q2087" t="n">
        <v>0</v>
      </c>
      <c r="R2087" t="inlineStr">
        <is>
          <t>AUD</t>
        </is>
      </c>
      <c r="S2087" t="n">
        <v>0</v>
      </c>
      <c r="T2087" t="inlineStr">
        <is>
          <t>AUD</t>
        </is>
      </c>
      <c r="U2087" t="n">
        <v>0</v>
      </c>
    </row>
    <row r="2088">
      <c r="A2088" s="5" t="inlineStr">
        <is>
          <t>01a152b9-8f00-741b-ab06-801e28360e9b</t>
        </is>
      </c>
      <c r="C2088" s="5" t="inlineStr">
        <is>
          <t>01a152b9-6e67-75da-8adb-b03e5d07fd21</t>
        </is>
      </c>
      <c r="D2088" s="4" t="n">
        <v>46314.24600593715</v>
      </c>
      <c r="E2088" s="4" t="n">
        <v>46314.24600593728</v>
      </c>
      <c r="F2088" t="b">
        <v>1</v>
      </c>
      <c r="G2088" t="n">
        <v/>
      </c>
      <c r="H2088" t="inlineStr">
        <is>
          <t>HPC</t>
        </is>
      </c>
      <c r="I2088" t="inlineStr">
        <is>
          <t>The Hydration Pharmaceuticals Company Ltd</t>
        </is>
      </c>
      <c r="J2088" t="inlineStr">
        <is>
          <t>AUD</t>
        </is>
      </c>
      <c r="K2088" s="5" t="inlineStr">
        <is>
          <t>01a152b9-6ee2-7577-bddd-382bc3853fde</t>
        </is>
      </c>
      <c r="M2088" t="inlineStr">
        <is>
          <t>UNKNOWN</t>
        </is>
      </c>
      <c r="N2088" t="inlineStr">
        <is>
          <t>DEFAULT</t>
        </is>
      </c>
      <c r="Q2088" t="n">
        <v>0</v>
      </c>
      <c r="R2088" t="inlineStr">
        <is>
          <t>AUD</t>
        </is>
      </c>
      <c r="S2088" t="n">
        <v>0</v>
      </c>
      <c r="T2088" t="inlineStr">
        <is>
          <t>AUD</t>
        </is>
      </c>
      <c r="U2088" t="n">
        <v>0</v>
      </c>
    </row>
    <row r="2089">
      <c r="A2089" s="5" t="inlineStr">
        <is>
          <t>01a152b9-8f04-703e-9c5f-996e49787614</t>
        </is>
      </c>
      <c r="C2089" s="5" t="inlineStr">
        <is>
          <t>01a152b9-6e67-75da-8adb-b03e5d07fd21</t>
        </is>
      </c>
      <c r="D2089" s="4" t="n">
        <v>46314.24600597902</v>
      </c>
      <c r="E2089" s="4" t="n">
        <v>46314.24600597912</v>
      </c>
      <c r="F2089" t="b">
        <v>1</v>
      </c>
      <c r="G2089" t="n">
        <v/>
      </c>
      <c r="H2089" t="inlineStr">
        <is>
          <t>FCAP</t>
        </is>
      </c>
      <c r="I2089" t="inlineStr">
        <is>
          <t>Fidelity Global Future Leaders Active ETF</t>
        </is>
      </c>
      <c r="J2089" t="inlineStr">
        <is>
          <t>AUD</t>
        </is>
      </c>
      <c r="K2089" s="5" t="inlineStr">
        <is>
          <t>01a152b9-6ee2-7577-bddd-382bc3853fde</t>
        </is>
      </c>
      <c r="M2089" t="inlineStr">
        <is>
          <t>UNKNOWN</t>
        </is>
      </c>
      <c r="N2089" t="inlineStr">
        <is>
          <t>DEFAULT</t>
        </is>
      </c>
      <c r="Q2089" t="n">
        <v>0</v>
      </c>
      <c r="R2089" t="inlineStr">
        <is>
          <t>AUD</t>
        </is>
      </c>
      <c r="S2089" t="n">
        <v>0</v>
      </c>
      <c r="T2089" t="inlineStr">
        <is>
          <t>AUD</t>
        </is>
      </c>
      <c r="U2089" t="n">
        <v>0</v>
      </c>
    </row>
    <row r="2090">
      <c r="A2090" s="5" t="inlineStr">
        <is>
          <t>01a152b9-8f07-7485-a8d5-0d1b3e65ba49</t>
        </is>
      </c>
      <c r="C2090" s="5" t="inlineStr">
        <is>
          <t>01a152b9-6e67-75da-8adb-b03e5d07fd21</t>
        </is>
      </c>
      <c r="D2090" s="4" t="n">
        <v>46314.24600601532</v>
      </c>
      <c r="E2090" s="4" t="n">
        <v>46314.24600601542</v>
      </c>
      <c r="F2090" t="b">
        <v>1</v>
      </c>
      <c r="G2090" t="n">
        <v/>
      </c>
      <c r="H2090" t="inlineStr">
        <is>
          <t>FTC</t>
        </is>
      </c>
      <c r="I2090" t="inlineStr">
        <is>
          <t>Fintech Chain Ltd</t>
        </is>
      </c>
      <c r="J2090" t="inlineStr">
        <is>
          <t>AUD</t>
        </is>
      </c>
      <c r="K2090" s="5" t="inlineStr">
        <is>
          <t>01a152b9-6ee2-7577-bddd-382bc3853fde</t>
        </is>
      </c>
      <c r="M2090" t="inlineStr">
        <is>
          <t>UNKNOWN</t>
        </is>
      </c>
      <c r="N2090" t="inlineStr">
        <is>
          <t>DEFAULT</t>
        </is>
      </c>
      <c r="Q2090" t="n">
        <v>0</v>
      </c>
      <c r="R2090" t="inlineStr">
        <is>
          <t>AUD</t>
        </is>
      </c>
      <c r="S2090" t="n">
        <v>0</v>
      </c>
      <c r="T2090" t="inlineStr">
        <is>
          <t>AUD</t>
        </is>
      </c>
      <c r="U2090" t="n">
        <v>0</v>
      </c>
    </row>
    <row r="2091">
      <c r="A2091" s="5" t="inlineStr">
        <is>
          <t>01a152b9-8f0a-773d-b2f6-12cd36de2a84</t>
        </is>
      </c>
      <c r="C2091" s="5" t="inlineStr">
        <is>
          <t>01a152b9-6e67-75da-8adb-b03e5d07fd21</t>
        </is>
      </c>
      <c r="D2091" s="4" t="n">
        <v>46314.24600605224</v>
      </c>
      <c r="E2091" s="4" t="n">
        <v>46314.24600605233</v>
      </c>
      <c r="F2091" t="b">
        <v>1</v>
      </c>
      <c r="G2091" t="n">
        <v/>
      </c>
      <c r="H2091" t="inlineStr">
        <is>
          <t>OM1</t>
        </is>
      </c>
      <c r="I2091" t="inlineStr">
        <is>
          <t>Omnia Metals Group Ltd</t>
        </is>
      </c>
      <c r="J2091" t="inlineStr">
        <is>
          <t>AUD</t>
        </is>
      </c>
      <c r="K2091" s="5" t="inlineStr">
        <is>
          <t>01a152b9-6ee2-7577-bddd-382bc3853fde</t>
        </is>
      </c>
      <c r="M2091" t="inlineStr">
        <is>
          <t>UNKNOWN</t>
        </is>
      </c>
      <c r="N2091" t="inlineStr">
        <is>
          <t>DEFAULT</t>
        </is>
      </c>
      <c r="Q2091" t="n">
        <v>0</v>
      </c>
      <c r="R2091" t="inlineStr">
        <is>
          <t>AUD</t>
        </is>
      </c>
      <c r="S2091" t="n">
        <v>0</v>
      </c>
      <c r="T2091" t="inlineStr">
        <is>
          <t>AUD</t>
        </is>
      </c>
      <c r="U2091" t="n">
        <v>0</v>
      </c>
    </row>
    <row r="2092">
      <c r="A2092" s="5" t="inlineStr">
        <is>
          <t>01a152b9-8f0e-774f-a65f-db351cb3fc99</t>
        </is>
      </c>
      <c r="C2092" s="5" t="inlineStr">
        <is>
          <t>01a152b9-6e67-75da-8adb-b03e5d07fd21</t>
        </is>
      </c>
      <c r="D2092" s="4" t="n">
        <v>46314.24600608998</v>
      </c>
      <c r="E2092" s="4" t="n">
        <v>46314.24600609006</v>
      </c>
      <c r="F2092" t="b">
        <v>1</v>
      </c>
      <c r="G2092" t="n">
        <v/>
      </c>
      <c r="H2092" t="inlineStr">
        <is>
          <t>C1X</t>
        </is>
      </c>
      <c r="I2092" t="inlineStr">
        <is>
          <t>Cosmos Exploration Ltd</t>
        </is>
      </c>
      <c r="J2092" t="inlineStr">
        <is>
          <t>AUD</t>
        </is>
      </c>
      <c r="K2092" s="5" t="inlineStr">
        <is>
          <t>01a152b9-6ee2-7577-bddd-382bc3853fde</t>
        </is>
      </c>
      <c r="M2092" t="inlineStr">
        <is>
          <t>UNKNOWN</t>
        </is>
      </c>
      <c r="N2092" t="inlineStr">
        <is>
          <t>DEFAULT</t>
        </is>
      </c>
      <c r="Q2092" t="n">
        <v>0</v>
      </c>
      <c r="R2092" t="inlineStr">
        <is>
          <t>AUD</t>
        </is>
      </c>
      <c r="S2092" t="n">
        <v>0</v>
      </c>
      <c r="T2092" t="inlineStr">
        <is>
          <t>AUD</t>
        </is>
      </c>
      <c r="U2092" t="n">
        <v>0</v>
      </c>
    </row>
    <row r="2093">
      <c r="A2093" s="5" t="inlineStr">
        <is>
          <t>01a152b9-8f11-74ca-95f4-83f29706d01a</t>
        </is>
      </c>
      <c r="C2093" s="5" t="inlineStr">
        <is>
          <t>01a152b9-6e67-75da-8adb-b03e5d07fd21</t>
        </is>
      </c>
      <c r="D2093" s="4" t="n">
        <v>46314.24600612617</v>
      </c>
      <c r="E2093" s="4" t="n">
        <v>46314.24600612626</v>
      </c>
      <c r="F2093" t="b">
        <v>1</v>
      </c>
      <c r="G2093" t="n">
        <v/>
      </c>
      <c r="H2093" t="inlineStr">
        <is>
          <t>GAME</t>
        </is>
      </c>
      <c r="I2093" t="inlineStr">
        <is>
          <t>Betashares Video Games and Esports ETF</t>
        </is>
      </c>
      <c r="J2093" t="inlineStr">
        <is>
          <t>AUD</t>
        </is>
      </c>
      <c r="K2093" s="5" t="inlineStr">
        <is>
          <t>01a152b9-6ee2-7577-bddd-382bc3853fde</t>
        </is>
      </c>
      <c r="M2093" t="inlineStr">
        <is>
          <t>UNKNOWN</t>
        </is>
      </c>
      <c r="N2093" t="inlineStr">
        <is>
          <t>DEFAULT</t>
        </is>
      </c>
      <c r="Q2093" t="n">
        <v>0</v>
      </c>
      <c r="R2093" t="inlineStr">
        <is>
          <t>AUD</t>
        </is>
      </c>
      <c r="S2093" t="n">
        <v>0</v>
      </c>
      <c r="T2093" t="inlineStr">
        <is>
          <t>AUD</t>
        </is>
      </c>
      <c r="U2093" t="n">
        <v>0</v>
      </c>
    </row>
    <row r="2094">
      <c r="A2094" s="5" t="inlineStr">
        <is>
          <t>01a152b9-8f14-74ce-b1e9-c10ec96c1877</t>
        </is>
      </c>
      <c r="C2094" s="5" t="inlineStr">
        <is>
          <t>01a152b9-6e67-75da-8adb-b03e5d07fd21</t>
        </is>
      </c>
      <c r="D2094" s="4" t="n">
        <v>46314.24600616882</v>
      </c>
      <c r="E2094" s="4" t="n">
        <v>46314.24600616891</v>
      </c>
      <c r="F2094" t="b">
        <v>1</v>
      </c>
      <c r="G2094" t="n">
        <v/>
      </c>
      <c r="H2094" t="inlineStr">
        <is>
          <t>ICE</t>
        </is>
      </c>
      <c r="I2094" t="inlineStr">
        <is>
          <t>Icetana Ltd</t>
        </is>
      </c>
      <c r="J2094" t="inlineStr">
        <is>
          <t>AUD</t>
        </is>
      </c>
      <c r="K2094" s="5" t="inlineStr">
        <is>
          <t>01a152b9-6ee2-7577-bddd-382bc3853fde</t>
        </is>
      </c>
      <c r="M2094" t="inlineStr">
        <is>
          <t>UNKNOWN</t>
        </is>
      </c>
      <c r="N2094" t="inlineStr">
        <is>
          <t>DEFAULT</t>
        </is>
      </c>
      <c r="Q2094" t="n">
        <v>0</v>
      </c>
      <c r="R2094" t="inlineStr">
        <is>
          <t>AUD</t>
        </is>
      </c>
      <c r="S2094" t="n">
        <v>0</v>
      </c>
      <c r="T2094" t="inlineStr">
        <is>
          <t>AUD</t>
        </is>
      </c>
      <c r="U2094" t="n">
        <v>0</v>
      </c>
    </row>
    <row r="2095">
      <c r="A2095" s="5" t="inlineStr">
        <is>
          <t>01a152b9-8f18-71a1-83a5-5f84e8a936a2</t>
        </is>
      </c>
      <c r="C2095" s="5" t="inlineStr">
        <is>
          <t>01a152b9-6e67-75da-8adb-b03e5d07fd21</t>
        </is>
      </c>
      <c r="D2095" s="4" t="n">
        <v>46314.24600621215</v>
      </c>
      <c r="E2095" s="4" t="n">
        <v>46314.24600621227</v>
      </c>
      <c r="F2095" t="b">
        <v>1</v>
      </c>
      <c r="G2095" t="n">
        <v/>
      </c>
      <c r="H2095" t="inlineStr">
        <is>
          <t>BUY</t>
        </is>
      </c>
      <c r="I2095" t="inlineStr">
        <is>
          <t>Bounty Oil &amp; Gas NL</t>
        </is>
      </c>
      <c r="J2095" t="inlineStr">
        <is>
          <t>AUD</t>
        </is>
      </c>
      <c r="K2095" s="5" t="inlineStr">
        <is>
          <t>01a152b9-6ee2-7577-bddd-382bc3853fde</t>
        </is>
      </c>
      <c r="M2095" t="inlineStr">
        <is>
          <t>UNKNOWN</t>
        </is>
      </c>
      <c r="N2095" t="inlineStr">
        <is>
          <t>DEFAULT</t>
        </is>
      </c>
      <c r="Q2095" t="n">
        <v>0</v>
      </c>
      <c r="R2095" t="inlineStr">
        <is>
          <t>AUD</t>
        </is>
      </c>
      <c r="S2095" t="n">
        <v>0</v>
      </c>
      <c r="T2095" t="inlineStr">
        <is>
          <t>AUD</t>
        </is>
      </c>
      <c r="U2095" t="n">
        <v>0</v>
      </c>
    </row>
    <row r="2096">
      <c r="A2096" s="5" t="inlineStr">
        <is>
          <t>01a152b9-8f1c-73a6-b0ab-56f08c398f41</t>
        </is>
      </c>
      <c r="C2096" s="5" t="inlineStr">
        <is>
          <t>01a152b9-6e67-75da-8adb-b03e5d07fd21</t>
        </is>
      </c>
      <c r="D2096" s="4" t="n">
        <v>46314.24600625506</v>
      </c>
      <c r="E2096" s="4" t="n">
        <v>46314.24600625516</v>
      </c>
      <c r="F2096" t="b">
        <v>1</v>
      </c>
      <c r="G2096" t="n">
        <v/>
      </c>
      <c r="H2096" t="inlineStr">
        <is>
          <t>ZEU</t>
        </is>
      </c>
      <c r="I2096" t="inlineStr">
        <is>
          <t>ZEUS Resources Ltd</t>
        </is>
      </c>
      <c r="J2096" t="inlineStr">
        <is>
          <t>AUD</t>
        </is>
      </c>
      <c r="K2096" s="5" t="inlineStr">
        <is>
          <t>01a152b9-6ee2-7577-bddd-382bc3853fde</t>
        </is>
      </c>
      <c r="M2096" t="inlineStr">
        <is>
          <t>UNKNOWN</t>
        </is>
      </c>
      <c r="N2096" t="inlineStr">
        <is>
          <t>DEFAULT</t>
        </is>
      </c>
      <c r="Q2096" t="n">
        <v>0</v>
      </c>
      <c r="R2096" t="inlineStr">
        <is>
          <t>AUD</t>
        </is>
      </c>
      <c r="S2096" t="n">
        <v>0</v>
      </c>
      <c r="T2096" t="inlineStr">
        <is>
          <t>AUD</t>
        </is>
      </c>
      <c r="U2096" t="n">
        <v>0</v>
      </c>
    </row>
    <row r="2097">
      <c r="A2097" s="5" t="inlineStr">
        <is>
          <t>01a152b9-8f20-70b5-a015-8b31fc33ea42</t>
        </is>
      </c>
      <c r="C2097" s="5" t="inlineStr">
        <is>
          <t>01a152b9-6e67-75da-8adb-b03e5d07fd21</t>
        </is>
      </c>
      <c r="D2097" s="4" t="n">
        <v>46314.24600630732</v>
      </c>
      <c r="E2097" s="4" t="n">
        <v>46314.24600630747</v>
      </c>
      <c r="F2097" t="b">
        <v>1</v>
      </c>
      <c r="G2097" t="n">
        <v/>
      </c>
      <c r="H2097" t="inlineStr">
        <is>
          <t>JEGA</t>
        </is>
      </c>
      <c r="I2097" t="inlineStr">
        <is>
          <t>JPM Global Equity Premium Income Complex ETF</t>
        </is>
      </c>
      <c r="J2097" t="inlineStr">
        <is>
          <t>AUD</t>
        </is>
      </c>
      <c r="K2097" s="5" t="inlineStr">
        <is>
          <t>01a152b9-6ee2-7577-bddd-382bc3853fde</t>
        </is>
      </c>
      <c r="M2097" t="inlineStr">
        <is>
          <t>UNKNOWN</t>
        </is>
      </c>
      <c r="N2097" t="inlineStr">
        <is>
          <t>DEFAULT</t>
        </is>
      </c>
      <c r="Q2097" t="n">
        <v>0</v>
      </c>
      <c r="R2097" t="inlineStr">
        <is>
          <t>AUD</t>
        </is>
      </c>
      <c r="S2097" t="n">
        <v>0</v>
      </c>
      <c r="T2097" t="inlineStr">
        <is>
          <t>AUD</t>
        </is>
      </c>
      <c r="U2097" t="n">
        <v>0</v>
      </c>
    </row>
    <row r="2098">
      <c r="A2098" s="5" t="inlineStr">
        <is>
          <t>01a152b9-8f25-7140-b246-dc56677078c6</t>
        </is>
      </c>
      <c r="C2098" s="5" t="inlineStr">
        <is>
          <t>01a152b9-6e67-75da-8adb-b03e5d07fd21</t>
        </is>
      </c>
      <c r="D2098" s="4" t="n">
        <v>46314.24600636143</v>
      </c>
      <c r="E2098" s="4" t="n">
        <v>46314.24600636157</v>
      </c>
      <c r="F2098" t="b">
        <v>1</v>
      </c>
      <c r="G2098" t="n">
        <v/>
      </c>
      <c r="H2098" t="inlineStr">
        <is>
          <t>DAL</t>
        </is>
      </c>
      <c r="I2098" t="inlineStr">
        <is>
          <t>Dalaroo Metals Ltd</t>
        </is>
      </c>
      <c r="J2098" t="inlineStr">
        <is>
          <t>AUD</t>
        </is>
      </c>
      <c r="K2098" s="5" t="inlineStr">
        <is>
          <t>01a152b9-6ee2-7577-bddd-382bc3853fde</t>
        </is>
      </c>
      <c r="M2098" t="inlineStr">
        <is>
          <t>UNKNOWN</t>
        </is>
      </c>
      <c r="N2098" t="inlineStr">
        <is>
          <t>DEFAULT</t>
        </is>
      </c>
      <c r="Q2098" t="n">
        <v>0</v>
      </c>
      <c r="R2098" t="inlineStr">
        <is>
          <t>AUD</t>
        </is>
      </c>
      <c r="S2098" t="n">
        <v>0</v>
      </c>
      <c r="T2098" t="inlineStr">
        <is>
          <t>AUD</t>
        </is>
      </c>
      <c r="U2098" t="n">
        <v>0</v>
      </c>
    </row>
    <row r="2099">
      <c r="A2099" s="5" t="inlineStr">
        <is>
          <t>01a152b9-8f29-724a-9cb7-7bc67bed46c7</t>
        </is>
      </c>
      <c r="C2099" s="5" t="inlineStr">
        <is>
          <t>01a152b9-6e67-75da-8adb-b03e5d07fd21</t>
        </is>
      </c>
      <c r="D2099" s="4" t="n">
        <v>46314.24600640691</v>
      </c>
      <c r="E2099" s="4" t="n">
        <v>46314.24600640706</v>
      </c>
      <c r="F2099" t="b">
        <v>1</v>
      </c>
      <c r="G2099" t="n">
        <v/>
      </c>
      <c r="H2099" t="inlineStr">
        <is>
          <t>ERL</t>
        </is>
      </c>
      <c r="I2099" t="inlineStr">
        <is>
          <t>Empire Resources Ltd</t>
        </is>
      </c>
      <c r="J2099" t="inlineStr">
        <is>
          <t>AUD</t>
        </is>
      </c>
      <c r="K2099" s="5" t="inlineStr">
        <is>
          <t>01a152b9-6ee2-7577-bddd-382bc3853fde</t>
        </is>
      </c>
      <c r="M2099" t="inlineStr">
        <is>
          <t>UNKNOWN</t>
        </is>
      </c>
      <c r="N2099" t="inlineStr">
        <is>
          <t>DEFAULT</t>
        </is>
      </c>
      <c r="Q2099" t="n">
        <v>0</v>
      </c>
      <c r="R2099" t="inlineStr">
        <is>
          <t>AUD</t>
        </is>
      </c>
      <c r="S2099" t="n">
        <v>0</v>
      </c>
      <c r="T2099" t="inlineStr">
        <is>
          <t>AUD</t>
        </is>
      </c>
      <c r="U2099" t="n">
        <v>0</v>
      </c>
    </row>
    <row r="2100">
      <c r="A2100" s="5" t="inlineStr">
        <is>
          <t>01a152b9-8f2d-740d-b9d7-5a1dd5cd5095</t>
        </is>
      </c>
      <c r="C2100" s="5" t="inlineStr">
        <is>
          <t>01a152b9-6e67-75da-8adb-b03e5d07fd21</t>
        </is>
      </c>
      <c r="D2100" s="4" t="n">
        <v>46314.2460064545</v>
      </c>
      <c r="E2100" s="4" t="n">
        <v>46314.24600645464</v>
      </c>
      <c r="F2100" t="b">
        <v>1</v>
      </c>
      <c r="G2100" t="n">
        <v/>
      </c>
      <c r="H2100" t="inlineStr">
        <is>
          <t>KAL</t>
        </is>
      </c>
      <c r="I2100" t="inlineStr">
        <is>
          <t>Kalgoorlie Gold Mining Ltd</t>
        </is>
      </c>
      <c r="J2100" t="inlineStr">
        <is>
          <t>AUD</t>
        </is>
      </c>
      <c r="K2100" s="5" t="inlineStr">
        <is>
          <t>01a152b9-6ee2-7577-bddd-382bc3853fde</t>
        </is>
      </c>
      <c r="M2100" t="inlineStr">
        <is>
          <t>UNKNOWN</t>
        </is>
      </c>
      <c r="N2100" t="inlineStr">
        <is>
          <t>DEFAULT</t>
        </is>
      </c>
      <c r="Q2100" t="n">
        <v>0</v>
      </c>
      <c r="R2100" t="inlineStr">
        <is>
          <t>AUD</t>
        </is>
      </c>
      <c r="S2100" t="n">
        <v>0</v>
      </c>
      <c r="T2100" t="inlineStr">
        <is>
          <t>AUD</t>
        </is>
      </c>
      <c r="U2100" t="n">
        <v>0</v>
      </c>
    </row>
    <row r="2101">
      <c r="A2101" s="5" t="inlineStr">
        <is>
          <t>01a152b9-8f31-773f-a2fb-d301d0e52eb2</t>
        </is>
      </c>
      <c r="C2101" s="5" t="inlineStr">
        <is>
          <t>01a152b9-6e67-75da-8adb-b03e5d07fd21</t>
        </is>
      </c>
      <c r="D2101" s="4" t="n">
        <v>46314.246006496</v>
      </c>
      <c r="E2101" s="4" t="n">
        <v>46314.24600649621</v>
      </c>
      <c r="F2101" t="b">
        <v>1</v>
      </c>
      <c r="G2101" t="n">
        <v/>
      </c>
      <c r="H2101" t="inlineStr">
        <is>
          <t>SER</t>
        </is>
      </c>
      <c r="I2101" t="inlineStr">
        <is>
          <t>Strategic Energy Resources Ltd</t>
        </is>
      </c>
      <c r="J2101" t="inlineStr">
        <is>
          <t>AUD</t>
        </is>
      </c>
      <c r="K2101" s="5" t="inlineStr">
        <is>
          <t>01a152b9-6ee2-7577-bddd-382bc3853fde</t>
        </is>
      </c>
      <c r="M2101" t="inlineStr">
        <is>
          <t>UNKNOWN</t>
        </is>
      </c>
      <c r="N2101" t="inlineStr">
        <is>
          <t>DEFAULT</t>
        </is>
      </c>
      <c r="Q2101" t="n">
        <v>0</v>
      </c>
      <c r="R2101" t="inlineStr">
        <is>
          <t>AUD</t>
        </is>
      </c>
      <c r="S2101" t="n">
        <v>0</v>
      </c>
      <c r="T2101" t="inlineStr">
        <is>
          <t>AUD</t>
        </is>
      </c>
      <c r="U2101" t="n">
        <v>0</v>
      </c>
    </row>
    <row r="2102">
      <c r="A2102" s="5" t="inlineStr">
        <is>
          <t>01a152b9-8f34-7022-9353-72c288f8d6df</t>
        </is>
      </c>
      <c r="C2102" s="5" t="inlineStr">
        <is>
          <t>01a152b9-6e67-75da-8adb-b03e5d07fd21</t>
        </is>
      </c>
      <c r="D2102" s="4" t="n">
        <v>46314.24600653885</v>
      </c>
      <c r="E2102" s="4" t="n">
        <v>46314.24600653898</v>
      </c>
      <c r="F2102" t="b">
        <v>1</v>
      </c>
      <c r="G2102" t="n">
        <v/>
      </c>
      <c r="H2102" t="inlineStr">
        <is>
          <t>XPN</t>
        </is>
      </c>
      <c r="I2102" t="inlineStr">
        <is>
          <t>Xpon Technologies Group Ltd</t>
        </is>
      </c>
      <c r="J2102" t="inlineStr">
        <is>
          <t>AUD</t>
        </is>
      </c>
      <c r="K2102" s="5" t="inlineStr">
        <is>
          <t>01a152b9-6ee2-7577-bddd-382bc3853fde</t>
        </is>
      </c>
      <c r="M2102" t="inlineStr">
        <is>
          <t>UNKNOWN</t>
        </is>
      </c>
      <c r="N2102" t="inlineStr">
        <is>
          <t>DEFAULT</t>
        </is>
      </c>
      <c r="Q2102" t="n">
        <v>0</v>
      </c>
      <c r="R2102" t="inlineStr">
        <is>
          <t>AUD</t>
        </is>
      </c>
      <c r="S2102" t="n">
        <v>0</v>
      </c>
      <c r="T2102" t="inlineStr">
        <is>
          <t>AUD</t>
        </is>
      </c>
      <c r="U2102" t="n">
        <v>0</v>
      </c>
    </row>
    <row r="2103">
      <c r="A2103" s="5" t="inlineStr">
        <is>
          <t>01a152b9-8f39-7081-a18c-35e57acbe4c8</t>
        </is>
      </c>
      <c r="C2103" s="5" t="inlineStr">
        <is>
          <t>01a152b9-6e67-75da-8adb-b03e5d07fd21</t>
        </is>
      </c>
      <c r="D2103" s="4" t="n">
        <v>46314.24600659575</v>
      </c>
      <c r="E2103" s="4" t="n">
        <v>46314.246006596</v>
      </c>
      <c r="F2103" t="b">
        <v>1</v>
      </c>
      <c r="G2103" t="n">
        <v/>
      </c>
      <c r="H2103" t="inlineStr">
        <is>
          <t>CBY</t>
        </is>
      </c>
      <c r="I2103" t="inlineStr">
        <is>
          <t>Canterbury Resources Ltd</t>
        </is>
      </c>
      <c r="J2103" t="inlineStr">
        <is>
          <t>AUD</t>
        </is>
      </c>
      <c r="K2103" s="5" t="inlineStr">
        <is>
          <t>01a152b9-6ee2-7577-bddd-382bc3853fde</t>
        </is>
      </c>
      <c r="M2103" t="inlineStr">
        <is>
          <t>UNKNOWN</t>
        </is>
      </c>
      <c r="N2103" t="inlineStr">
        <is>
          <t>DEFAULT</t>
        </is>
      </c>
      <c r="Q2103" t="n">
        <v>0</v>
      </c>
      <c r="R2103" t="inlineStr">
        <is>
          <t>AUD</t>
        </is>
      </c>
      <c r="S2103" t="n">
        <v>0</v>
      </c>
      <c r="T2103" t="inlineStr">
        <is>
          <t>AUD</t>
        </is>
      </c>
      <c r="U2103" t="n">
        <v>0</v>
      </c>
    </row>
    <row r="2104">
      <c r="A2104" s="5" t="inlineStr">
        <is>
          <t>01a152b9-8f3d-76ff-94bd-8bd18fb98e96</t>
        </is>
      </c>
      <c r="C2104" s="5" t="inlineStr">
        <is>
          <t>01a152b9-6e67-75da-8adb-b03e5d07fd21</t>
        </is>
      </c>
      <c r="D2104" s="4" t="n">
        <v>46314.24600663767</v>
      </c>
      <c r="E2104" s="4" t="n">
        <v>46314.24600663781</v>
      </c>
      <c r="F2104" t="b">
        <v>1</v>
      </c>
      <c r="G2104" t="n">
        <v/>
      </c>
      <c r="H2104" t="inlineStr">
        <is>
          <t>A8G</t>
        </is>
      </c>
      <c r="I2104" t="inlineStr">
        <is>
          <t>Australasian Metals Ltd</t>
        </is>
      </c>
      <c r="J2104" t="inlineStr">
        <is>
          <t>AUD</t>
        </is>
      </c>
      <c r="K2104" s="5" t="inlineStr">
        <is>
          <t>01a152b9-6ee2-7577-bddd-382bc3853fde</t>
        </is>
      </c>
      <c r="M2104" t="inlineStr">
        <is>
          <t>UNKNOWN</t>
        </is>
      </c>
      <c r="N2104" t="inlineStr">
        <is>
          <t>DEFAULT</t>
        </is>
      </c>
      <c r="Q2104" t="n">
        <v>0</v>
      </c>
      <c r="R2104" t="inlineStr">
        <is>
          <t>AUD</t>
        </is>
      </c>
      <c r="S2104" t="n">
        <v>0</v>
      </c>
      <c r="T2104" t="inlineStr">
        <is>
          <t>AUD</t>
        </is>
      </c>
      <c r="U2104" t="n">
        <v>0</v>
      </c>
    </row>
    <row r="2105">
      <c r="A2105" s="5" t="inlineStr">
        <is>
          <t>01a152b9-8f41-7564-910c-8f8939ebe594</t>
        </is>
      </c>
      <c r="C2105" s="5" t="inlineStr">
        <is>
          <t>01a152b9-6e67-75da-8adb-b03e5d07fd21</t>
        </is>
      </c>
      <c r="D2105" s="4" t="n">
        <v>46314.24600668429</v>
      </c>
      <c r="E2105" s="4" t="n">
        <v>46314.24600668442</v>
      </c>
      <c r="F2105" t="b">
        <v>1</v>
      </c>
      <c r="G2105" t="n">
        <v/>
      </c>
      <c r="H2105" t="inlineStr">
        <is>
          <t>OB1</t>
        </is>
      </c>
      <c r="I2105" t="inlineStr">
        <is>
          <t>Orbminco Ltd</t>
        </is>
      </c>
      <c r="J2105" t="inlineStr">
        <is>
          <t>AUD</t>
        </is>
      </c>
      <c r="K2105" s="5" t="inlineStr">
        <is>
          <t>01a152b9-6ee2-7577-bddd-382bc3853fde</t>
        </is>
      </c>
      <c r="M2105" t="inlineStr">
        <is>
          <t>UNKNOWN</t>
        </is>
      </c>
      <c r="N2105" t="inlineStr">
        <is>
          <t>DEFAULT</t>
        </is>
      </c>
      <c r="Q2105" t="n">
        <v>0</v>
      </c>
      <c r="R2105" t="inlineStr">
        <is>
          <t>AUD</t>
        </is>
      </c>
      <c r="S2105" t="n">
        <v>0</v>
      </c>
      <c r="T2105" t="inlineStr">
        <is>
          <t>AUD</t>
        </is>
      </c>
      <c r="U2105" t="n">
        <v>0</v>
      </c>
    </row>
    <row r="2106">
      <c r="A2106" s="5" t="inlineStr">
        <is>
          <t>01a152b9-8f44-7465-a42f-d5fa345d2a4b</t>
        </is>
      </c>
      <c r="C2106" s="5" t="inlineStr">
        <is>
          <t>01a152b9-6e67-75da-8adb-b03e5d07fd21</t>
        </is>
      </c>
      <c r="D2106" s="4" t="n">
        <v>46314.24600672202</v>
      </c>
      <c r="E2106" s="4" t="n">
        <v>46314.24600672213</v>
      </c>
      <c r="F2106" t="b">
        <v>1</v>
      </c>
      <c r="G2106" t="n">
        <v/>
      </c>
      <c r="H2106" t="inlineStr">
        <is>
          <t>OLI</t>
        </is>
      </c>
      <c r="I2106" t="inlineStr">
        <is>
          <t>Oliver's Real Food Ltd</t>
        </is>
      </c>
      <c r="J2106" t="inlineStr">
        <is>
          <t>AUD</t>
        </is>
      </c>
      <c r="K2106" s="5" t="inlineStr">
        <is>
          <t>01a152b9-6ee2-7577-bddd-382bc3853fde</t>
        </is>
      </c>
      <c r="M2106" t="inlineStr">
        <is>
          <t>UNKNOWN</t>
        </is>
      </c>
      <c r="N2106" t="inlineStr">
        <is>
          <t>DEFAULT</t>
        </is>
      </c>
      <c r="Q2106" t="n">
        <v>0</v>
      </c>
      <c r="R2106" t="inlineStr">
        <is>
          <t>AUD</t>
        </is>
      </c>
      <c r="S2106" t="n">
        <v>0</v>
      </c>
      <c r="T2106" t="inlineStr">
        <is>
          <t>AUD</t>
        </is>
      </c>
      <c r="U2106" t="n">
        <v>0</v>
      </c>
    </row>
    <row r="2107">
      <c r="A2107" s="5" t="inlineStr">
        <is>
          <t>01a152b9-8f48-756c-b565-1fd2b535cdce</t>
        </is>
      </c>
      <c r="C2107" s="5" t="inlineStr">
        <is>
          <t>01a152b9-6e67-75da-8adb-b03e5d07fd21</t>
        </is>
      </c>
      <c r="D2107" s="4" t="n">
        <v>46314.24600676567</v>
      </c>
      <c r="E2107" s="4" t="n">
        <v>46314.24600676582</v>
      </c>
      <c r="F2107" t="b">
        <v>1</v>
      </c>
      <c r="G2107" t="n">
        <v/>
      </c>
      <c r="H2107" t="inlineStr">
        <is>
          <t>BMM</t>
        </is>
      </c>
      <c r="I2107" t="inlineStr">
        <is>
          <t>Bayan Mining and Minerals Ltd</t>
        </is>
      </c>
      <c r="J2107" t="inlineStr">
        <is>
          <t>AUD</t>
        </is>
      </c>
      <c r="K2107" s="5" t="inlineStr">
        <is>
          <t>01a152b9-6ee2-7577-bddd-382bc3853fde</t>
        </is>
      </c>
      <c r="M2107" t="inlineStr">
        <is>
          <t>UNKNOWN</t>
        </is>
      </c>
      <c r="N2107" t="inlineStr">
        <is>
          <t>DEFAULT</t>
        </is>
      </c>
      <c r="Q2107" t="n">
        <v>0</v>
      </c>
      <c r="R2107" t="inlineStr">
        <is>
          <t>AUD</t>
        </is>
      </c>
      <c r="S2107" t="n">
        <v>0</v>
      </c>
      <c r="T2107" t="inlineStr">
        <is>
          <t>AUD</t>
        </is>
      </c>
      <c r="U2107" t="n">
        <v>0</v>
      </c>
    </row>
    <row r="2108">
      <c r="A2108" s="5" t="inlineStr">
        <is>
          <t>01a152b9-8f4c-73ec-941e-75764d49fd13</t>
        </is>
      </c>
      <c r="C2108" s="5" t="inlineStr">
        <is>
          <t>01a152b9-6e67-75da-8adb-b03e5d07fd21</t>
        </is>
      </c>
      <c r="D2108" s="4" t="n">
        <v>46314.24600681455</v>
      </c>
      <c r="E2108" s="4" t="n">
        <v>46314.24600681471</v>
      </c>
      <c r="F2108" t="b">
        <v>1</v>
      </c>
      <c r="G2108" t="n">
        <v/>
      </c>
      <c r="H2108" t="inlineStr">
        <is>
          <t>JHPI</t>
        </is>
      </c>
      <c r="I2108" t="inlineStr">
        <is>
          <t>JPM EQTY Prem Inc H Active ETF (Managed Fund)</t>
        </is>
      </c>
      <c r="J2108" t="inlineStr">
        <is>
          <t>AUD</t>
        </is>
      </c>
      <c r="K2108" s="5" t="inlineStr">
        <is>
          <t>01a152b9-6ee2-7577-bddd-382bc3853fde</t>
        </is>
      </c>
      <c r="M2108" t="inlineStr">
        <is>
          <t>UNKNOWN</t>
        </is>
      </c>
      <c r="N2108" t="inlineStr">
        <is>
          <t>DEFAULT</t>
        </is>
      </c>
      <c r="Q2108" t="n">
        <v>0</v>
      </c>
      <c r="R2108" t="inlineStr">
        <is>
          <t>AUD</t>
        </is>
      </c>
      <c r="S2108" t="n">
        <v>0</v>
      </c>
      <c r="T2108" t="inlineStr">
        <is>
          <t>AUD</t>
        </is>
      </c>
      <c r="U2108" t="n">
        <v>0</v>
      </c>
    </row>
    <row r="2109">
      <c r="A2109" s="5" t="inlineStr">
        <is>
          <t>01a152b9-8f50-70cb-8ca0-f74b42a941ad</t>
        </is>
      </c>
      <c r="C2109" s="5" t="inlineStr">
        <is>
          <t>01a152b9-6e67-75da-8adb-b03e5d07fd21</t>
        </is>
      </c>
      <c r="D2109" s="4" t="n">
        <v>46314.24600686175</v>
      </c>
      <c r="E2109" s="4" t="n">
        <v>46314.24600686191</v>
      </c>
      <c r="F2109" t="b">
        <v>1</v>
      </c>
      <c r="G2109" t="n">
        <v/>
      </c>
      <c r="H2109" t="inlineStr">
        <is>
          <t>BOD</t>
        </is>
      </c>
      <c r="I2109" t="inlineStr">
        <is>
          <t>BOD Science Ltd</t>
        </is>
      </c>
      <c r="J2109" t="inlineStr">
        <is>
          <t>AUD</t>
        </is>
      </c>
      <c r="K2109" s="5" t="inlineStr">
        <is>
          <t>01a152b9-6ee2-7577-bddd-382bc3853fde</t>
        </is>
      </c>
      <c r="M2109" t="inlineStr">
        <is>
          <t>UNKNOWN</t>
        </is>
      </c>
      <c r="N2109" t="inlineStr">
        <is>
          <t>DEFAULT</t>
        </is>
      </c>
      <c r="Q2109" t="n">
        <v>0</v>
      </c>
      <c r="R2109" t="inlineStr">
        <is>
          <t>AUD</t>
        </is>
      </c>
      <c r="S2109" t="n">
        <v>0</v>
      </c>
      <c r="T2109" t="inlineStr">
        <is>
          <t>AUD</t>
        </is>
      </c>
      <c r="U2109" t="n">
        <v>0</v>
      </c>
    </row>
    <row r="2110">
      <c r="A2110" s="5" t="inlineStr">
        <is>
          <t>01a152b9-8f55-704d-a77f-1771d5ee008e</t>
        </is>
      </c>
      <c r="C2110" s="5" t="inlineStr">
        <is>
          <t>01a152b9-6e67-75da-8adb-b03e5d07fd21</t>
        </is>
      </c>
      <c r="D2110" s="4" t="n">
        <v>46314.24600691903</v>
      </c>
      <c r="E2110" s="4" t="n">
        <v>46314.2460069192</v>
      </c>
      <c r="F2110" t="b">
        <v>1</v>
      </c>
      <c r="G2110" t="n">
        <v/>
      </c>
      <c r="H2110" t="inlineStr">
        <is>
          <t>IPB</t>
        </is>
      </c>
      <c r="I2110" t="inlineStr">
        <is>
          <t>IPB Petroleum Ltd</t>
        </is>
      </c>
      <c r="J2110" t="inlineStr">
        <is>
          <t>AUD</t>
        </is>
      </c>
      <c r="K2110" s="5" t="inlineStr">
        <is>
          <t>01a152b9-6ee2-7577-bddd-382bc3853fde</t>
        </is>
      </c>
      <c r="M2110" t="inlineStr">
        <is>
          <t>UNKNOWN</t>
        </is>
      </c>
      <c r="N2110" t="inlineStr">
        <is>
          <t>DEFAULT</t>
        </is>
      </c>
      <c r="Q2110" t="n">
        <v>0</v>
      </c>
      <c r="R2110" t="inlineStr">
        <is>
          <t>AUD</t>
        </is>
      </c>
      <c r="S2110" t="n">
        <v>0</v>
      </c>
      <c r="T2110" t="inlineStr">
        <is>
          <t>AUD</t>
        </is>
      </c>
      <c r="U2110" t="n">
        <v>0</v>
      </c>
    </row>
    <row r="2111">
      <c r="A2111" s="5" t="inlineStr">
        <is>
          <t>01a152b9-8f5a-702a-9004-f30ece026422</t>
        </is>
      </c>
      <c r="C2111" s="5" t="inlineStr">
        <is>
          <t>01a152b9-6e67-75da-8adb-b03e5d07fd21</t>
        </is>
      </c>
      <c r="D2111" s="4" t="n">
        <v>46314.24600697697</v>
      </c>
      <c r="E2111" s="4" t="n">
        <v>46314.24600697716</v>
      </c>
      <c r="F2111" t="b">
        <v>1</v>
      </c>
      <c r="G2111" t="n">
        <v/>
      </c>
      <c r="H2111" t="inlineStr">
        <is>
          <t>MML</t>
        </is>
      </c>
      <c r="I2111" t="inlineStr">
        <is>
          <t>Mclaren Minerals Ltd</t>
        </is>
      </c>
      <c r="J2111" t="inlineStr">
        <is>
          <t>AUD</t>
        </is>
      </c>
      <c r="K2111" s="5" t="inlineStr">
        <is>
          <t>01a152b9-6ee2-7577-bddd-382bc3853fde</t>
        </is>
      </c>
      <c r="M2111" t="inlineStr">
        <is>
          <t>UNKNOWN</t>
        </is>
      </c>
      <c r="N2111" t="inlineStr">
        <is>
          <t>DEFAULT</t>
        </is>
      </c>
      <c r="Q2111" t="n">
        <v>0</v>
      </c>
      <c r="R2111" t="inlineStr">
        <is>
          <t>AUD</t>
        </is>
      </c>
      <c r="S2111" t="n">
        <v>0</v>
      </c>
      <c r="T2111" t="inlineStr">
        <is>
          <t>AUD</t>
        </is>
      </c>
      <c r="U2111" t="n">
        <v>0</v>
      </c>
    </row>
    <row r="2112">
      <c r="A2112" s="5" t="inlineStr">
        <is>
          <t>01a152b9-8f5e-75ab-9da1-4040f2c27d28</t>
        </is>
      </c>
      <c r="C2112" s="5" t="inlineStr">
        <is>
          <t>01a152b9-6e67-75da-8adb-b03e5d07fd21</t>
        </is>
      </c>
      <c r="D2112" s="4" t="n">
        <v>46314.24600702557</v>
      </c>
      <c r="E2112" s="4" t="n">
        <v>46314.24600702571</v>
      </c>
      <c r="F2112" t="b">
        <v>1</v>
      </c>
      <c r="G2112" t="n">
        <v/>
      </c>
      <c r="H2112" t="inlineStr">
        <is>
          <t>SMM</t>
        </is>
      </c>
      <c r="I2112" t="inlineStr">
        <is>
          <t>Somerset Minerals Ltd</t>
        </is>
      </c>
      <c r="J2112" t="inlineStr">
        <is>
          <t>AUD</t>
        </is>
      </c>
      <c r="K2112" s="5" t="inlineStr">
        <is>
          <t>01a152b9-6ee2-7577-bddd-382bc3853fde</t>
        </is>
      </c>
      <c r="M2112" t="inlineStr">
        <is>
          <t>UNKNOWN</t>
        </is>
      </c>
      <c r="N2112" t="inlineStr">
        <is>
          <t>DEFAULT</t>
        </is>
      </c>
      <c r="Q2112" t="n">
        <v>0</v>
      </c>
      <c r="R2112" t="inlineStr">
        <is>
          <t>AUD</t>
        </is>
      </c>
      <c r="S2112" t="n">
        <v>0</v>
      </c>
      <c r="T2112" t="inlineStr">
        <is>
          <t>AUD</t>
        </is>
      </c>
      <c r="U2112" t="n">
        <v>0</v>
      </c>
    </row>
    <row r="2113">
      <c r="A2113" s="5" t="inlineStr">
        <is>
          <t>01a152b9-8f63-7681-89a4-096df0a20ba3</t>
        </is>
      </c>
      <c r="C2113" s="5" t="inlineStr">
        <is>
          <t>01a152b9-6e67-75da-8adb-b03e5d07fd21</t>
        </is>
      </c>
      <c r="D2113" s="4" t="n">
        <v>46314.2460070817</v>
      </c>
      <c r="E2113" s="4" t="n">
        <v>46314.24600708186</v>
      </c>
      <c r="F2113" t="b">
        <v>1</v>
      </c>
      <c r="G2113" t="n">
        <v/>
      </c>
      <c r="H2113" t="inlineStr">
        <is>
          <t>PPG</t>
        </is>
      </c>
      <c r="I2113" t="inlineStr">
        <is>
          <t>Pro-Pac Packaging Ltd</t>
        </is>
      </c>
      <c r="J2113" t="inlineStr">
        <is>
          <t>AUD</t>
        </is>
      </c>
      <c r="K2113" s="5" t="inlineStr">
        <is>
          <t>01a152b9-6ee2-7577-bddd-382bc3853fde</t>
        </is>
      </c>
      <c r="M2113" t="inlineStr">
        <is>
          <t>UNKNOWN</t>
        </is>
      </c>
      <c r="N2113" t="inlineStr">
        <is>
          <t>DEFAULT</t>
        </is>
      </c>
      <c r="Q2113" t="n">
        <v>0</v>
      </c>
      <c r="R2113" t="inlineStr">
        <is>
          <t>AUD</t>
        </is>
      </c>
      <c r="S2113" t="n">
        <v>0</v>
      </c>
      <c r="T2113" t="inlineStr">
        <is>
          <t>AUD</t>
        </is>
      </c>
      <c r="U2113" t="n">
        <v>0</v>
      </c>
    </row>
    <row r="2114">
      <c r="A2114" s="5" t="inlineStr">
        <is>
          <t>01a152b9-8f68-75ef-8ebf-c3bd326a9a12</t>
        </is>
      </c>
      <c r="C2114" s="5" t="inlineStr">
        <is>
          <t>01a152b9-6e67-75da-8adb-b03e5d07fd21</t>
        </is>
      </c>
      <c r="D2114" s="4" t="n">
        <v>46314.24600713429</v>
      </c>
      <c r="E2114" s="4" t="n">
        <v>46314.24600713442</v>
      </c>
      <c r="F2114" t="b">
        <v>1</v>
      </c>
      <c r="G2114" t="n">
        <v/>
      </c>
      <c r="H2114" t="inlineStr">
        <is>
          <t>PHL</t>
        </is>
      </c>
      <c r="I2114" t="inlineStr">
        <is>
          <t>Propell Holdings Ltd</t>
        </is>
      </c>
      <c r="J2114" t="inlineStr">
        <is>
          <t>AUD</t>
        </is>
      </c>
      <c r="K2114" s="5" t="inlineStr">
        <is>
          <t>01a152b9-6ee2-7577-bddd-382bc3853fde</t>
        </is>
      </c>
      <c r="M2114" t="inlineStr">
        <is>
          <t>UNKNOWN</t>
        </is>
      </c>
      <c r="N2114" t="inlineStr">
        <is>
          <t>DEFAULT</t>
        </is>
      </c>
      <c r="Q2114" t="n">
        <v>0</v>
      </c>
      <c r="R2114" t="inlineStr">
        <is>
          <t>AUD</t>
        </is>
      </c>
      <c r="S2114" t="n">
        <v>0</v>
      </c>
      <c r="T2114" t="inlineStr">
        <is>
          <t>AUD</t>
        </is>
      </c>
      <c r="U2114" t="n">
        <v>0</v>
      </c>
    </row>
    <row r="2115">
      <c r="A2115" s="5" t="inlineStr">
        <is>
          <t>01a152b9-8f6d-71d1-ab55-5d9cbe7f4d2a</t>
        </is>
      </c>
      <c r="C2115" s="5" t="inlineStr">
        <is>
          <t>01a152b9-6e67-75da-8adb-b03e5d07fd21</t>
        </is>
      </c>
      <c r="D2115" s="4" t="n">
        <v>46314.2460071896</v>
      </c>
      <c r="E2115" s="4" t="n">
        <v>46314.24600718972</v>
      </c>
      <c r="F2115" t="b">
        <v>1</v>
      </c>
      <c r="G2115" t="n">
        <v/>
      </c>
      <c r="H2115" t="inlineStr">
        <is>
          <t>MQR</t>
        </is>
      </c>
      <c r="I2115" t="inlineStr">
        <is>
          <t>Marquee Resources Ltd</t>
        </is>
      </c>
      <c r="J2115" t="inlineStr">
        <is>
          <t>AUD</t>
        </is>
      </c>
      <c r="K2115" s="5" t="inlineStr">
        <is>
          <t>01a152b9-6ee2-7577-bddd-382bc3853fde</t>
        </is>
      </c>
      <c r="M2115" t="inlineStr">
        <is>
          <t>UNKNOWN</t>
        </is>
      </c>
      <c r="N2115" t="inlineStr">
        <is>
          <t>DEFAULT</t>
        </is>
      </c>
      <c r="Q2115" t="n">
        <v>0</v>
      </c>
      <c r="R2115" t="inlineStr">
        <is>
          <t>AUD</t>
        </is>
      </c>
      <c r="S2115" t="n">
        <v>0</v>
      </c>
      <c r="T2115" t="inlineStr">
        <is>
          <t>AUD</t>
        </is>
      </c>
      <c r="U2115" t="n">
        <v>0</v>
      </c>
    </row>
    <row r="2116">
      <c r="A2116" s="5" t="inlineStr">
        <is>
          <t>01a152b9-8f71-77f5-8a1b-470bbde1ef80</t>
        </is>
      </c>
      <c r="C2116" s="5" t="inlineStr">
        <is>
          <t>01a152b9-6e67-75da-8adb-b03e5d07fd21</t>
        </is>
      </c>
      <c r="D2116" s="4" t="n">
        <v>46314.24600724137</v>
      </c>
      <c r="E2116" s="4" t="n">
        <v>46314.24600724152</v>
      </c>
      <c r="F2116" t="b">
        <v>1</v>
      </c>
      <c r="G2116" t="n">
        <v/>
      </c>
      <c r="H2116" t="inlineStr">
        <is>
          <t>FHNG</t>
        </is>
      </c>
      <c r="I2116" t="inlineStr">
        <is>
          <t>Global X Fang+ (Currency Hedged) ETF</t>
        </is>
      </c>
      <c r="J2116" t="inlineStr">
        <is>
          <t>AUD</t>
        </is>
      </c>
      <c r="K2116" s="5" t="inlineStr">
        <is>
          <t>01a152b9-6ee2-7577-bddd-382bc3853fde</t>
        </is>
      </c>
      <c r="M2116" t="inlineStr">
        <is>
          <t>UNKNOWN</t>
        </is>
      </c>
      <c r="N2116" t="inlineStr">
        <is>
          <t>DEFAULT</t>
        </is>
      </c>
      <c r="Q2116" t="n">
        <v>0</v>
      </c>
      <c r="R2116" t="inlineStr">
        <is>
          <t>AUD</t>
        </is>
      </c>
      <c r="S2116" t="n">
        <v>0</v>
      </c>
      <c r="T2116" t="inlineStr">
        <is>
          <t>AUD</t>
        </is>
      </c>
      <c r="U2116" t="n">
        <v>0</v>
      </c>
    </row>
    <row r="2117">
      <c r="A2117" s="5" t="inlineStr">
        <is>
          <t>01a152b9-8f77-7185-bfc2-fef847112618</t>
        </is>
      </c>
      <c r="C2117" s="5" t="inlineStr">
        <is>
          <t>01a152b9-6e67-75da-8adb-b03e5d07fd21</t>
        </is>
      </c>
      <c r="D2117" s="4" t="n">
        <v>46314.24600730645</v>
      </c>
      <c r="E2117" s="4" t="n">
        <v>46314.24600730663</v>
      </c>
      <c r="F2117" t="b">
        <v>1</v>
      </c>
      <c r="G2117" t="n">
        <v/>
      </c>
      <c r="H2117" t="inlineStr">
        <is>
          <t>FAU</t>
        </is>
      </c>
      <c r="I2117" t="inlineStr">
        <is>
          <t>First Au Ltd</t>
        </is>
      </c>
      <c r="J2117" t="inlineStr">
        <is>
          <t>AUD</t>
        </is>
      </c>
      <c r="K2117" s="5" t="inlineStr">
        <is>
          <t>01a152b9-6ee2-7577-bddd-382bc3853fde</t>
        </is>
      </c>
      <c r="M2117" t="inlineStr">
        <is>
          <t>UNKNOWN</t>
        </is>
      </c>
      <c r="N2117" t="inlineStr">
        <is>
          <t>DEFAULT</t>
        </is>
      </c>
      <c r="Q2117" t="n">
        <v>0</v>
      </c>
      <c r="R2117" t="inlineStr">
        <is>
          <t>AUD</t>
        </is>
      </c>
      <c r="S2117" t="n">
        <v>0</v>
      </c>
      <c r="T2117" t="inlineStr">
        <is>
          <t>AUD</t>
        </is>
      </c>
      <c r="U2117" t="n">
        <v>0</v>
      </c>
    </row>
    <row r="2118">
      <c r="A2118" s="5" t="inlineStr">
        <is>
          <t>01a152b9-8f7a-76a5-9c67-a979c4d0329a</t>
        </is>
      </c>
      <c r="C2118" s="5" t="inlineStr">
        <is>
          <t>01a152b9-6e67-75da-8adb-b03e5d07fd21</t>
        </is>
      </c>
      <c r="D2118" s="4" t="n">
        <v>46314.24600735088</v>
      </c>
      <c r="E2118" s="4" t="n">
        <v>46314.24600735102</v>
      </c>
      <c r="F2118" t="b">
        <v>1</v>
      </c>
      <c r="G2118" t="n">
        <v/>
      </c>
      <c r="H2118" t="inlineStr">
        <is>
          <t>IFG</t>
        </is>
      </c>
      <c r="I2118" t="inlineStr">
        <is>
          <t>Infocus Group Holdings Ltd</t>
        </is>
      </c>
      <c r="J2118" t="inlineStr">
        <is>
          <t>AUD</t>
        </is>
      </c>
      <c r="K2118" s="5" t="inlineStr">
        <is>
          <t>01a152b9-6ee2-7577-bddd-382bc3853fde</t>
        </is>
      </c>
      <c r="M2118" t="inlineStr">
        <is>
          <t>UNKNOWN</t>
        </is>
      </c>
      <c r="N2118" t="inlineStr">
        <is>
          <t>DEFAULT</t>
        </is>
      </c>
      <c r="Q2118" t="n">
        <v>0</v>
      </c>
      <c r="R2118" t="inlineStr">
        <is>
          <t>AUD</t>
        </is>
      </c>
      <c r="S2118" t="n">
        <v>0</v>
      </c>
      <c r="T2118" t="inlineStr">
        <is>
          <t>AUD</t>
        </is>
      </c>
      <c r="U2118" t="n">
        <v>0</v>
      </c>
    </row>
    <row r="2119">
      <c r="A2119" s="5" t="inlineStr">
        <is>
          <t>01a152b9-8f7f-779c-95ce-a7df13be4383</t>
        </is>
      </c>
      <c r="C2119" s="5" t="inlineStr">
        <is>
          <t>01a152b9-6e67-75da-8adb-b03e5d07fd21</t>
        </is>
      </c>
      <c r="D2119" s="4" t="n">
        <v>46314.2460074046</v>
      </c>
      <c r="E2119" s="4" t="n">
        <v>46314.24600740477</v>
      </c>
      <c r="F2119" t="b">
        <v>1</v>
      </c>
      <c r="G2119" t="n">
        <v/>
      </c>
      <c r="H2119" t="inlineStr">
        <is>
          <t>SBW</t>
        </is>
      </c>
      <c r="I2119" t="inlineStr">
        <is>
          <t>Shekel Brainweigh Ltd</t>
        </is>
      </c>
      <c r="J2119" t="inlineStr">
        <is>
          <t>AUD</t>
        </is>
      </c>
      <c r="K2119" s="5" t="inlineStr">
        <is>
          <t>01a152b9-6ee2-7577-bddd-382bc3853fde</t>
        </is>
      </c>
      <c r="M2119" t="inlineStr">
        <is>
          <t>UNKNOWN</t>
        </is>
      </c>
      <c r="N2119" t="inlineStr">
        <is>
          <t>DEFAULT</t>
        </is>
      </c>
      <c r="Q2119" t="n">
        <v>0</v>
      </c>
      <c r="R2119" t="inlineStr">
        <is>
          <t>AUD</t>
        </is>
      </c>
      <c r="S2119" t="n">
        <v>0</v>
      </c>
      <c r="T2119" t="inlineStr">
        <is>
          <t>AUD</t>
        </is>
      </c>
      <c r="U2119" t="n">
        <v>0</v>
      </c>
    </row>
    <row r="2120">
      <c r="A2120" s="5" t="inlineStr">
        <is>
          <t>01a152b9-8f85-70e1-9bee-63370457476d</t>
        </is>
      </c>
      <c r="C2120" s="5" t="inlineStr">
        <is>
          <t>01a152b9-6e67-75da-8adb-b03e5d07fd21</t>
        </is>
      </c>
      <c r="D2120" s="4" t="n">
        <v>46314.24600747658</v>
      </c>
      <c r="E2120" s="4" t="n">
        <v>46314.24600747709</v>
      </c>
      <c r="F2120" t="b">
        <v>1</v>
      </c>
      <c r="G2120" t="n">
        <v/>
      </c>
      <c r="H2120" t="inlineStr">
        <is>
          <t>FIIN</t>
        </is>
      </c>
      <c r="I2120" t="inlineStr">
        <is>
          <t>Fidelity India Active ETF</t>
        </is>
      </c>
      <c r="J2120" t="inlineStr">
        <is>
          <t>AUD</t>
        </is>
      </c>
      <c r="K2120" s="5" t="inlineStr">
        <is>
          <t>01a152b9-6ee2-7577-bddd-382bc3853fde</t>
        </is>
      </c>
      <c r="M2120" t="inlineStr">
        <is>
          <t>UNKNOWN</t>
        </is>
      </c>
      <c r="N2120" t="inlineStr">
        <is>
          <t>DEFAULT</t>
        </is>
      </c>
      <c r="Q2120" t="n">
        <v>0</v>
      </c>
      <c r="R2120" t="inlineStr">
        <is>
          <t>AUD</t>
        </is>
      </c>
      <c r="S2120" t="n">
        <v>0</v>
      </c>
      <c r="T2120" t="inlineStr">
        <is>
          <t>AUD</t>
        </is>
      </c>
      <c r="U2120" t="n">
        <v>0</v>
      </c>
    </row>
    <row r="2121">
      <c r="A2121" s="5" t="inlineStr">
        <is>
          <t>01a152b9-8f8b-75ba-9458-a1ecc15fb98b</t>
        </is>
      </c>
      <c r="C2121" s="5" t="inlineStr">
        <is>
          <t>01a152b9-6e67-75da-8adb-b03e5d07fd21</t>
        </is>
      </c>
      <c r="D2121" s="4" t="n">
        <v>46314.24600754653</v>
      </c>
      <c r="E2121" s="4" t="n">
        <v>46314.24600754669</v>
      </c>
      <c r="F2121" t="b">
        <v>1</v>
      </c>
      <c r="G2121" t="n">
        <v/>
      </c>
      <c r="H2121" t="inlineStr">
        <is>
          <t>VBS</t>
        </is>
      </c>
      <c r="I2121" t="inlineStr">
        <is>
          <t>Vectus Biosystems Ltd</t>
        </is>
      </c>
      <c r="J2121" t="inlineStr">
        <is>
          <t>AUD</t>
        </is>
      </c>
      <c r="K2121" s="5" t="inlineStr">
        <is>
          <t>01a152b9-6ee2-7577-bddd-382bc3853fde</t>
        </is>
      </c>
      <c r="M2121" t="inlineStr">
        <is>
          <t>UNKNOWN</t>
        </is>
      </c>
      <c r="N2121" t="inlineStr">
        <is>
          <t>DEFAULT</t>
        </is>
      </c>
      <c r="Q2121" t="n">
        <v>0</v>
      </c>
      <c r="R2121" t="inlineStr">
        <is>
          <t>AUD</t>
        </is>
      </c>
      <c r="S2121" t="n">
        <v>0</v>
      </c>
      <c r="T2121" t="inlineStr">
        <is>
          <t>AUD</t>
        </is>
      </c>
      <c r="U2121" t="n">
        <v>0</v>
      </c>
    </row>
    <row r="2122">
      <c r="A2122" s="5" t="inlineStr">
        <is>
          <t>01a152b9-8f90-76f8-a339-b20ba19dcd4d</t>
        </is>
      </c>
      <c r="C2122" s="5" t="inlineStr">
        <is>
          <t>01a152b9-6e67-75da-8adb-b03e5d07fd21</t>
        </is>
      </c>
      <c r="D2122" s="4" t="n">
        <v>46314.24600760039</v>
      </c>
      <c r="E2122" s="4" t="n">
        <v>46314.24600760053</v>
      </c>
      <c r="F2122" t="b">
        <v>1</v>
      </c>
      <c r="G2122" t="n">
        <v/>
      </c>
      <c r="H2122" t="inlineStr">
        <is>
          <t>GGX</t>
        </is>
      </c>
      <c r="I2122" t="inlineStr">
        <is>
          <t>GAS2GRID Ltd</t>
        </is>
      </c>
      <c r="J2122" t="inlineStr">
        <is>
          <t>AUD</t>
        </is>
      </c>
      <c r="K2122" s="5" t="inlineStr">
        <is>
          <t>01a152b9-6ee2-7577-bddd-382bc3853fde</t>
        </is>
      </c>
      <c r="M2122" t="inlineStr">
        <is>
          <t>UNKNOWN</t>
        </is>
      </c>
      <c r="N2122" t="inlineStr">
        <is>
          <t>DEFAULT</t>
        </is>
      </c>
      <c r="Q2122" t="n">
        <v>0</v>
      </c>
      <c r="R2122" t="inlineStr">
        <is>
          <t>AUD</t>
        </is>
      </c>
      <c r="S2122" t="n">
        <v>0</v>
      </c>
      <c r="T2122" t="inlineStr">
        <is>
          <t>AUD</t>
        </is>
      </c>
      <c r="U2122" t="n">
        <v>0</v>
      </c>
    </row>
    <row r="2123">
      <c r="A2123" s="5" t="inlineStr">
        <is>
          <t>01a152b9-8f94-740d-aa91-c3bd813dfeb7</t>
        </is>
      </c>
      <c r="C2123" s="5" t="inlineStr">
        <is>
          <t>01a152b9-6e67-75da-8adb-b03e5d07fd21</t>
        </is>
      </c>
      <c r="D2123" s="4" t="n">
        <v>46314.24600764798</v>
      </c>
      <c r="E2123" s="4" t="n">
        <v>46314.24600764811</v>
      </c>
      <c r="F2123" t="b">
        <v>1</v>
      </c>
      <c r="G2123" t="n">
        <v/>
      </c>
      <c r="H2123" t="inlineStr">
        <is>
          <t>MOZG</t>
        </is>
      </c>
      <c r="I2123" t="inlineStr">
        <is>
          <t>Mosaic Brands Ltd</t>
        </is>
      </c>
      <c r="J2123" t="inlineStr">
        <is>
          <t>AUD</t>
        </is>
      </c>
      <c r="K2123" s="5" t="inlineStr">
        <is>
          <t>01a152b9-6ee2-7577-bddd-382bc3853fde</t>
        </is>
      </c>
      <c r="M2123" t="inlineStr">
        <is>
          <t>UNKNOWN</t>
        </is>
      </c>
      <c r="N2123" t="inlineStr">
        <is>
          <t>DEFAULT</t>
        </is>
      </c>
      <c r="Q2123" t="n">
        <v>0</v>
      </c>
      <c r="R2123" t="inlineStr">
        <is>
          <t>AUD</t>
        </is>
      </c>
      <c r="S2123" t="n">
        <v>0</v>
      </c>
      <c r="T2123" t="inlineStr">
        <is>
          <t>AUD</t>
        </is>
      </c>
      <c r="U2123" t="n">
        <v>0</v>
      </c>
    </row>
    <row r="2124">
      <c r="A2124" s="5" t="inlineStr">
        <is>
          <t>01a152b9-8f98-70da-b96f-046a6be63940</t>
        </is>
      </c>
      <c r="C2124" s="5" t="inlineStr">
        <is>
          <t>01a152b9-6e67-75da-8adb-b03e5d07fd21</t>
        </is>
      </c>
      <c r="D2124" s="4" t="n">
        <v>46314.246007693</v>
      </c>
      <c r="E2124" s="4" t="n">
        <v>46314.24600769314</v>
      </c>
      <c r="F2124" t="b">
        <v>1</v>
      </c>
      <c r="G2124" t="n">
        <v/>
      </c>
      <c r="H2124" t="inlineStr">
        <is>
          <t>SLB</t>
        </is>
      </c>
      <c r="I2124" t="inlineStr">
        <is>
          <t>Stelar Metals Ltd</t>
        </is>
      </c>
      <c r="J2124" t="inlineStr">
        <is>
          <t>AUD</t>
        </is>
      </c>
      <c r="K2124" s="5" t="inlineStr">
        <is>
          <t>01a152b9-6ee2-7577-bddd-382bc3853fde</t>
        </is>
      </c>
      <c r="M2124" t="inlineStr">
        <is>
          <t>UNKNOWN</t>
        </is>
      </c>
      <c r="N2124" t="inlineStr">
        <is>
          <t>DEFAULT</t>
        </is>
      </c>
      <c r="Q2124" t="n">
        <v>0</v>
      </c>
      <c r="R2124" t="inlineStr">
        <is>
          <t>AUD</t>
        </is>
      </c>
      <c r="S2124" t="n">
        <v>0</v>
      </c>
      <c r="T2124" t="inlineStr">
        <is>
          <t>AUD</t>
        </is>
      </c>
      <c r="U2124" t="n">
        <v>0</v>
      </c>
    </row>
    <row r="2125">
      <c r="A2125" s="5" t="inlineStr">
        <is>
          <t>01a152b9-8f9d-72e6-bae9-a646374e07a0</t>
        </is>
      </c>
      <c r="C2125" s="5" t="inlineStr">
        <is>
          <t>01a152b9-6e67-75da-8adb-b03e5d07fd21</t>
        </is>
      </c>
      <c r="D2125" s="4" t="n">
        <v>46314.24600775031</v>
      </c>
      <c r="E2125" s="4" t="n">
        <v>46314.24600775047</v>
      </c>
      <c r="F2125" t="b">
        <v>1</v>
      </c>
      <c r="G2125" t="n">
        <v/>
      </c>
      <c r="H2125" t="inlineStr">
        <is>
          <t>1TT</t>
        </is>
      </c>
      <c r="I2125" t="inlineStr">
        <is>
          <t>Thrive Tribe Technologies Ltd</t>
        </is>
      </c>
      <c r="J2125" t="inlineStr">
        <is>
          <t>AUD</t>
        </is>
      </c>
      <c r="K2125" s="5" t="inlineStr">
        <is>
          <t>01a152b9-6ee2-7577-bddd-382bc3853fde</t>
        </is>
      </c>
      <c r="M2125" t="inlineStr">
        <is>
          <t>UNKNOWN</t>
        </is>
      </c>
      <c r="N2125" t="inlineStr">
        <is>
          <t>DEFAULT</t>
        </is>
      </c>
      <c r="Q2125" t="n">
        <v>0</v>
      </c>
      <c r="R2125" t="inlineStr">
        <is>
          <t>AUD</t>
        </is>
      </c>
      <c r="S2125" t="n">
        <v>0</v>
      </c>
      <c r="T2125" t="inlineStr">
        <is>
          <t>AUD</t>
        </is>
      </c>
      <c r="U2125" t="n">
        <v>0</v>
      </c>
    </row>
    <row r="2126">
      <c r="A2126" s="5" t="inlineStr">
        <is>
          <t>01a152b9-8fa1-744c-ade0-18c7cc4bd325</t>
        </is>
      </c>
      <c r="C2126" s="5" t="inlineStr">
        <is>
          <t>01a152b9-6e67-75da-8adb-b03e5d07fd21</t>
        </is>
      </c>
      <c r="D2126" s="4" t="n">
        <v>46314.24600780263</v>
      </c>
      <c r="E2126" s="4" t="n">
        <v>46314.24600780277</v>
      </c>
      <c r="F2126" t="b">
        <v>1</v>
      </c>
      <c r="G2126" t="n">
        <v/>
      </c>
      <c r="H2126" t="inlineStr">
        <is>
          <t>AEBD</t>
        </is>
      </c>
      <c r="I2126" t="inlineStr">
        <is>
          <t>Betashares Ethical Australian Composite Bond ETF</t>
        </is>
      </c>
      <c r="J2126" t="inlineStr">
        <is>
          <t>AUD</t>
        </is>
      </c>
      <c r="K2126" s="5" t="inlineStr">
        <is>
          <t>01a152b9-6ee2-7577-bddd-382bc3853fde</t>
        </is>
      </c>
      <c r="M2126" t="inlineStr">
        <is>
          <t>UNKNOWN</t>
        </is>
      </c>
      <c r="N2126" t="inlineStr">
        <is>
          <t>DEFAULT</t>
        </is>
      </c>
      <c r="Q2126" t="n">
        <v>0</v>
      </c>
      <c r="R2126" t="inlineStr">
        <is>
          <t>AUD</t>
        </is>
      </c>
      <c r="S2126" t="n">
        <v>0</v>
      </c>
      <c r="T2126" t="inlineStr">
        <is>
          <t>AUD</t>
        </is>
      </c>
      <c r="U2126" t="n">
        <v>0</v>
      </c>
    </row>
    <row r="2127">
      <c r="A2127" s="5" t="inlineStr">
        <is>
          <t>01a152b9-8fa6-7643-a24f-9536e6c60cc9</t>
        </is>
      </c>
      <c r="C2127" s="5" t="inlineStr">
        <is>
          <t>01a152b9-6e67-75da-8adb-b03e5d07fd21</t>
        </is>
      </c>
      <c r="D2127" s="4" t="n">
        <v>46314.24600785266</v>
      </c>
      <c r="E2127" s="4" t="n">
        <v>46314.24600785278</v>
      </c>
      <c r="F2127" t="b">
        <v>1</v>
      </c>
      <c r="G2127" t="n">
        <v/>
      </c>
      <c r="H2127" t="inlineStr">
        <is>
          <t>NNG</t>
        </is>
      </c>
      <c r="I2127" t="inlineStr">
        <is>
          <t>Nexion Group Ltd</t>
        </is>
      </c>
      <c r="J2127" t="inlineStr">
        <is>
          <t>AUD</t>
        </is>
      </c>
      <c r="K2127" s="5" t="inlineStr">
        <is>
          <t>01a152b9-6ee2-7577-bddd-382bc3853fde</t>
        </is>
      </c>
      <c r="M2127" t="inlineStr">
        <is>
          <t>UNKNOWN</t>
        </is>
      </c>
      <c r="N2127" t="inlineStr">
        <is>
          <t>DEFAULT</t>
        </is>
      </c>
      <c r="Q2127" t="n">
        <v>0</v>
      </c>
      <c r="R2127" t="inlineStr">
        <is>
          <t>AUD</t>
        </is>
      </c>
      <c r="S2127" t="n">
        <v>0</v>
      </c>
      <c r="T2127" t="inlineStr">
        <is>
          <t>AUD</t>
        </is>
      </c>
      <c r="U2127" t="n">
        <v>0</v>
      </c>
    </row>
    <row r="2128">
      <c r="A2128" s="5" t="inlineStr">
        <is>
          <t>01a152b9-8faa-7535-b03f-f8c86b9d883b</t>
        </is>
      </c>
      <c r="C2128" s="5" t="inlineStr">
        <is>
          <t>01a152b9-6e67-75da-8adb-b03e5d07fd21</t>
        </is>
      </c>
      <c r="D2128" s="4" t="n">
        <v>46314.24600790179</v>
      </c>
      <c r="E2128" s="4" t="n">
        <v>46314.24600790191</v>
      </c>
      <c r="F2128" t="b">
        <v>1</v>
      </c>
      <c r="G2128" t="n">
        <v/>
      </c>
      <c r="H2128" t="inlineStr">
        <is>
          <t>SMS</t>
        </is>
      </c>
      <c r="I2128" t="inlineStr">
        <is>
          <t>Star Minerals Ltd</t>
        </is>
      </c>
      <c r="J2128" t="inlineStr">
        <is>
          <t>AUD</t>
        </is>
      </c>
      <c r="K2128" s="5" t="inlineStr">
        <is>
          <t>01a152b9-6ee2-7577-bddd-382bc3853fde</t>
        </is>
      </c>
      <c r="M2128" t="inlineStr">
        <is>
          <t>UNKNOWN</t>
        </is>
      </c>
      <c r="N2128" t="inlineStr">
        <is>
          <t>DEFAULT</t>
        </is>
      </c>
      <c r="Q2128" t="n">
        <v>0</v>
      </c>
      <c r="R2128" t="inlineStr">
        <is>
          <t>AUD</t>
        </is>
      </c>
      <c r="S2128" t="n">
        <v>0</v>
      </c>
      <c r="T2128" t="inlineStr">
        <is>
          <t>AUD</t>
        </is>
      </c>
      <c r="U2128" t="n">
        <v>0</v>
      </c>
    </row>
    <row r="2129">
      <c r="A2129" s="5" t="inlineStr">
        <is>
          <t>01a152b9-8fae-702c-ad6d-52f815547088</t>
        </is>
      </c>
      <c r="C2129" s="5" t="inlineStr">
        <is>
          <t>01a152b9-6e67-75da-8adb-b03e5d07fd21</t>
        </is>
      </c>
      <c r="D2129" s="4" t="n">
        <v>46314.2460079533</v>
      </c>
      <c r="E2129" s="4" t="n">
        <v>46314.24600795344</v>
      </c>
      <c r="F2129" t="b">
        <v>1</v>
      </c>
      <c r="G2129" t="n">
        <v/>
      </c>
      <c r="H2129" t="inlineStr">
        <is>
          <t>HAR</t>
        </is>
      </c>
      <c r="I2129" t="inlineStr">
        <is>
          <t>Haranga Resources Ltd</t>
        </is>
      </c>
      <c r="J2129" t="inlineStr">
        <is>
          <t>AUD</t>
        </is>
      </c>
      <c r="K2129" s="5" t="inlineStr">
        <is>
          <t>01a152b9-6ee2-7577-bddd-382bc3853fde</t>
        </is>
      </c>
      <c r="M2129" t="inlineStr">
        <is>
          <t>UNKNOWN</t>
        </is>
      </c>
      <c r="N2129" t="inlineStr">
        <is>
          <t>DEFAULT</t>
        </is>
      </c>
      <c r="Q2129" t="n">
        <v>0</v>
      </c>
      <c r="R2129" t="inlineStr">
        <is>
          <t>AUD</t>
        </is>
      </c>
      <c r="S2129" t="n">
        <v>0</v>
      </c>
      <c r="T2129" t="inlineStr">
        <is>
          <t>AUD</t>
        </is>
      </c>
      <c r="U2129" t="n">
        <v>0</v>
      </c>
    </row>
    <row r="2130">
      <c r="A2130" s="5" t="inlineStr">
        <is>
          <t>01a152b9-8fb2-7297-9782-a156e44ef701</t>
        </is>
      </c>
      <c r="C2130" s="5" t="inlineStr">
        <is>
          <t>01a152b9-6e67-75da-8adb-b03e5d07fd21</t>
        </is>
      </c>
      <c r="D2130" s="4" t="n">
        <v>46314.24600799624</v>
      </c>
      <c r="E2130" s="4" t="n">
        <v>46314.24600799636</v>
      </c>
      <c r="F2130" t="b">
        <v>1</v>
      </c>
      <c r="G2130" t="n">
        <v/>
      </c>
      <c r="H2130" t="inlineStr">
        <is>
          <t>M24</t>
        </is>
      </c>
      <c r="I2130" t="inlineStr">
        <is>
          <t>Mamba Exploration Ltd</t>
        </is>
      </c>
      <c r="J2130" t="inlineStr">
        <is>
          <t>AUD</t>
        </is>
      </c>
      <c r="K2130" s="5" t="inlineStr">
        <is>
          <t>01a152b9-6ee2-7577-bddd-382bc3853fde</t>
        </is>
      </c>
      <c r="M2130" t="inlineStr">
        <is>
          <t>UNKNOWN</t>
        </is>
      </c>
      <c r="N2130" t="inlineStr">
        <is>
          <t>DEFAULT</t>
        </is>
      </c>
      <c r="Q2130" t="n">
        <v>0</v>
      </c>
      <c r="R2130" t="inlineStr">
        <is>
          <t>AUD</t>
        </is>
      </c>
      <c r="S2130" t="n">
        <v>0</v>
      </c>
      <c r="T2130" t="inlineStr">
        <is>
          <t>AUD</t>
        </is>
      </c>
      <c r="U2130" t="n">
        <v>0</v>
      </c>
    </row>
    <row r="2131">
      <c r="A2131" s="5" t="inlineStr">
        <is>
          <t>01a152b9-8fb6-705b-8050-1b2ebbb4e035</t>
        </is>
      </c>
      <c r="C2131" s="5" t="inlineStr">
        <is>
          <t>01a152b9-6e67-75da-8adb-b03e5d07fd21</t>
        </is>
      </c>
      <c r="D2131" s="4" t="n">
        <v>46314.24600803515</v>
      </c>
      <c r="E2131" s="4" t="n">
        <v>46314.24600803527</v>
      </c>
      <c r="F2131" t="b">
        <v>1</v>
      </c>
      <c r="G2131" t="n">
        <v/>
      </c>
      <c r="H2131" t="inlineStr">
        <is>
          <t>SRI</t>
        </is>
      </c>
      <c r="I2131" t="inlineStr">
        <is>
          <t>Sipa Resources Ltd</t>
        </is>
      </c>
      <c r="J2131" t="inlineStr">
        <is>
          <t>AUD</t>
        </is>
      </c>
      <c r="K2131" s="5" t="inlineStr">
        <is>
          <t>01a152b9-6ee2-7577-bddd-382bc3853fde</t>
        </is>
      </c>
      <c r="M2131" t="inlineStr">
        <is>
          <t>UNKNOWN</t>
        </is>
      </c>
      <c r="N2131" t="inlineStr">
        <is>
          <t>DEFAULT</t>
        </is>
      </c>
      <c r="Q2131" t="n">
        <v>0</v>
      </c>
      <c r="R2131" t="inlineStr">
        <is>
          <t>AUD</t>
        </is>
      </c>
      <c r="S2131" t="n">
        <v>0</v>
      </c>
      <c r="T2131" t="inlineStr">
        <is>
          <t>AUD</t>
        </is>
      </c>
      <c r="U2131" t="n">
        <v>0</v>
      </c>
    </row>
    <row r="2132">
      <c r="A2132" s="5" t="inlineStr">
        <is>
          <t>01a152b9-8fb9-719b-90f1-3b573f421203</t>
        </is>
      </c>
      <c r="C2132" s="5" t="inlineStr">
        <is>
          <t>01a152b9-6e67-75da-8adb-b03e5d07fd21</t>
        </is>
      </c>
      <c r="D2132" s="4" t="n">
        <v>46314.24600807748</v>
      </c>
      <c r="E2132" s="4" t="n">
        <v>46314.24600807758</v>
      </c>
      <c r="F2132" t="b">
        <v>1</v>
      </c>
      <c r="G2132" t="n">
        <v/>
      </c>
      <c r="H2132" t="inlineStr">
        <is>
          <t>OSX</t>
        </is>
      </c>
      <c r="I2132" t="inlineStr">
        <is>
          <t>Osteopore Ltd</t>
        </is>
      </c>
      <c r="J2132" t="inlineStr">
        <is>
          <t>AUD</t>
        </is>
      </c>
      <c r="K2132" s="5" t="inlineStr">
        <is>
          <t>01a152b9-6ee2-7577-bddd-382bc3853fde</t>
        </is>
      </c>
      <c r="M2132" t="inlineStr">
        <is>
          <t>UNKNOWN</t>
        </is>
      </c>
      <c r="N2132" t="inlineStr">
        <is>
          <t>DEFAULT</t>
        </is>
      </c>
      <c r="Q2132" t="n">
        <v>0</v>
      </c>
      <c r="R2132" t="inlineStr">
        <is>
          <t>AUD</t>
        </is>
      </c>
      <c r="S2132" t="n">
        <v>0</v>
      </c>
      <c r="T2132" t="inlineStr">
        <is>
          <t>AUD</t>
        </is>
      </c>
      <c r="U2132" t="n">
        <v>0</v>
      </c>
    </row>
    <row r="2133">
      <c r="A2133" s="5" t="inlineStr">
        <is>
          <t>01a152b9-8fbc-74ef-bf1f-46aa68bb141d</t>
        </is>
      </c>
      <c r="C2133" s="5" t="inlineStr">
        <is>
          <t>01a152b9-6e67-75da-8adb-b03e5d07fd21</t>
        </is>
      </c>
      <c r="D2133" s="4" t="n">
        <v>46314.24600811267</v>
      </c>
      <c r="E2133" s="4" t="n">
        <v>46314.24600811276</v>
      </c>
      <c r="F2133" t="b">
        <v>1</v>
      </c>
      <c r="G2133" t="n">
        <v/>
      </c>
      <c r="H2133" t="inlineStr">
        <is>
          <t>AFA</t>
        </is>
      </c>
      <c r="I2133" t="inlineStr">
        <is>
          <t>Asf Group Ltd</t>
        </is>
      </c>
      <c r="J2133" t="inlineStr">
        <is>
          <t>AUD</t>
        </is>
      </c>
      <c r="K2133" s="5" t="inlineStr">
        <is>
          <t>01a152b9-6ee2-7577-bddd-382bc3853fde</t>
        </is>
      </c>
      <c r="M2133" t="inlineStr">
        <is>
          <t>UNKNOWN</t>
        </is>
      </c>
      <c r="N2133" t="inlineStr">
        <is>
          <t>DEFAULT</t>
        </is>
      </c>
      <c r="Q2133" t="n">
        <v>0</v>
      </c>
      <c r="R2133" t="inlineStr">
        <is>
          <t>AUD</t>
        </is>
      </c>
      <c r="S2133" t="n">
        <v>0</v>
      </c>
      <c r="T2133" t="inlineStr">
        <is>
          <t>AUD</t>
        </is>
      </c>
      <c r="U2133" t="n">
        <v>0</v>
      </c>
    </row>
    <row r="2134">
      <c r="A2134" s="5" t="inlineStr">
        <is>
          <t>01a152b9-8fc0-7606-bb5f-6bebdeb3769e</t>
        </is>
      </c>
      <c r="C2134" s="5" t="inlineStr">
        <is>
          <t>01a152b9-6e67-75da-8adb-b03e5d07fd21</t>
        </is>
      </c>
      <c r="D2134" s="4" t="n">
        <v>46314.24600815213</v>
      </c>
      <c r="E2134" s="4" t="n">
        <v>46314.24600815222</v>
      </c>
      <c r="F2134" t="b">
        <v>1</v>
      </c>
      <c r="G2134" t="n">
        <v/>
      </c>
      <c r="H2134" t="inlineStr">
        <is>
          <t>IMLC</t>
        </is>
      </c>
      <c r="I2134" t="inlineStr">
        <is>
          <t>IML Conc Aus Shares Fund (Quoted Managed Fund)</t>
        </is>
      </c>
      <c r="J2134" t="inlineStr">
        <is>
          <t>AUD</t>
        </is>
      </c>
      <c r="K2134" s="5" t="inlineStr">
        <is>
          <t>01a152b9-6ee2-7577-bddd-382bc3853fde</t>
        </is>
      </c>
      <c r="M2134" t="inlineStr">
        <is>
          <t>UNKNOWN</t>
        </is>
      </c>
      <c r="N2134" t="inlineStr">
        <is>
          <t>DEFAULT</t>
        </is>
      </c>
      <c r="Q2134" t="n">
        <v>0</v>
      </c>
      <c r="R2134" t="inlineStr">
        <is>
          <t>AUD</t>
        </is>
      </c>
      <c r="S2134" t="n">
        <v>0</v>
      </c>
      <c r="T2134" t="inlineStr">
        <is>
          <t>AUD</t>
        </is>
      </c>
      <c r="U2134" t="n">
        <v>0</v>
      </c>
    </row>
    <row r="2135">
      <c r="A2135" s="5" t="inlineStr">
        <is>
          <t>01a152b9-8fc3-73b6-9ead-832243957009</t>
        </is>
      </c>
      <c r="C2135" s="5" t="inlineStr">
        <is>
          <t>01a152b9-6e67-75da-8adb-b03e5d07fd21</t>
        </is>
      </c>
      <c r="D2135" s="4" t="n">
        <v>46314.24600818992</v>
      </c>
      <c r="E2135" s="4" t="n">
        <v>46314.24600819001</v>
      </c>
      <c r="F2135" t="b">
        <v>1</v>
      </c>
      <c r="G2135" t="n">
        <v/>
      </c>
      <c r="H2135" t="inlineStr">
        <is>
          <t>QXR</t>
        </is>
      </c>
      <c r="I2135" t="inlineStr">
        <is>
          <t>QX Resources Ltd</t>
        </is>
      </c>
      <c r="J2135" t="inlineStr">
        <is>
          <t>AUD</t>
        </is>
      </c>
      <c r="K2135" s="5" t="inlineStr">
        <is>
          <t>01a152b9-6ee2-7577-bddd-382bc3853fde</t>
        </is>
      </c>
      <c r="M2135" t="inlineStr">
        <is>
          <t>UNKNOWN</t>
        </is>
      </c>
      <c r="N2135" t="inlineStr">
        <is>
          <t>DEFAULT</t>
        </is>
      </c>
      <c r="Q2135" t="n">
        <v>0</v>
      </c>
      <c r="R2135" t="inlineStr">
        <is>
          <t>AUD</t>
        </is>
      </c>
      <c r="S2135" t="n">
        <v>0</v>
      </c>
      <c r="T2135" t="inlineStr">
        <is>
          <t>AUD</t>
        </is>
      </c>
      <c r="U2135" t="n">
        <v>0</v>
      </c>
    </row>
    <row r="2136">
      <c r="A2136" s="5" t="inlineStr">
        <is>
          <t>01a152b9-8fc6-7773-8f16-f76643fdc231</t>
        </is>
      </c>
      <c r="C2136" s="5" t="inlineStr">
        <is>
          <t>01a152b9-6e67-75da-8adb-b03e5d07fd21</t>
        </is>
      </c>
      <c r="D2136" s="4" t="n">
        <v>46314.2460082254</v>
      </c>
      <c r="E2136" s="4" t="n">
        <v>46314.24600822551</v>
      </c>
      <c r="F2136" t="b">
        <v>1</v>
      </c>
      <c r="G2136" t="n">
        <v/>
      </c>
      <c r="H2136" t="inlineStr">
        <is>
          <t>EAT</t>
        </is>
      </c>
      <c r="I2136" t="inlineStr">
        <is>
          <t>Entertainment Rewards Ltd</t>
        </is>
      </c>
      <c r="J2136" t="inlineStr">
        <is>
          <t>AUD</t>
        </is>
      </c>
      <c r="K2136" s="5" t="inlineStr">
        <is>
          <t>01a152b9-6ee2-7577-bddd-382bc3853fde</t>
        </is>
      </c>
      <c r="M2136" t="inlineStr">
        <is>
          <t>UNKNOWN</t>
        </is>
      </c>
      <c r="N2136" t="inlineStr">
        <is>
          <t>DEFAULT</t>
        </is>
      </c>
      <c r="Q2136" t="n">
        <v>0</v>
      </c>
      <c r="R2136" t="inlineStr">
        <is>
          <t>AUD</t>
        </is>
      </c>
      <c r="S2136" t="n">
        <v>0</v>
      </c>
      <c r="T2136" t="inlineStr">
        <is>
          <t>AUD</t>
        </is>
      </c>
      <c r="U2136" t="n">
        <v>0</v>
      </c>
    </row>
    <row r="2137">
      <c r="A2137" s="5" t="inlineStr">
        <is>
          <t>01a152b9-8fc9-7137-8076-2f87017fd1ef</t>
        </is>
      </c>
      <c r="C2137" s="5" t="inlineStr">
        <is>
          <t>01a152b9-6e67-75da-8adb-b03e5d07fd21</t>
        </is>
      </c>
      <c r="D2137" s="4" t="n">
        <v>46314.24600826255</v>
      </c>
      <c r="E2137" s="4" t="n">
        <v>46314.24600826267</v>
      </c>
      <c r="F2137" t="b">
        <v>1</v>
      </c>
      <c r="G2137" t="n">
        <v/>
      </c>
      <c r="H2137" t="inlineStr">
        <is>
          <t>RMI</t>
        </is>
      </c>
      <c r="I2137" t="inlineStr">
        <is>
          <t>Resource Mining Corporation Ltd</t>
        </is>
      </c>
      <c r="J2137" t="inlineStr">
        <is>
          <t>AUD</t>
        </is>
      </c>
      <c r="K2137" s="5" t="inlineStr">
        <is>
          <t>01a152b9-6ee2-7577-bddd-382bc3853fde</t>
        </is>
      </c>
      <c r="M2137" t="inlineStr">
        <is>
          <t>UNKNOWN</t>
        </is>
      </c>
      <c r="N2137" t="inlineStr">
        <is>
          <t>DEFAULT</t>
        </is>
      </c>
      <c r="Q2137" t="n">
        <v>0</v>
      </c>
      <c r="R2137" t="inlineStr">
        <is>
          <t>AUD</t>
        </is>
      </c>
      <c r="S2137" t="n">
        <v>0</v>
      </c>
      <c r="T2137" t="inlineStr">
        <is>
          <t>AUD</t>
        </is>
      </c>
      <c r="U2137" t="n">
        <v>0</v>
      </c>
    </row>
    <row r="2138">
      <c r="A2138" s="5" t="inlineStr">
        <is>
          <t>01a152b9-8fcd-76f6-a1f3-dea98c6d6c3d</t>
        </is>
      </c>
      <c r="C2138" s="5" t="inlineStr">
        <is>
          <t>01a152b9-6e67-75da-8adb-b03e5d07fd21</t>
        </is>
      </c>
      <c r="D2138" s="4" t="n">
        <v>46314.24600830006</v>
      </c>
      <c r="E2138" s="4" t="n">
        <v>46314.24600830015</v>
      </c>
      <c r="F2138" t="b">
        <v>1</v>
      </c>
      <c r="G2138" t="n">
        <v/>
      </c>
      <c r="H2138" t="inlineStr">
        <is>
          <t>T92</t>
        </is>
      </c>
      <c r="I2138" t="inlineStr">
        <is>
          <t>Terra Uranium Ltd</t>
        </is>
      </c>
      <c r="J2138" t="inlineStr">
        <is>
          <t>AUD</t>
        </is>
      </c>
      <c r="K2138" s="5" t="inlineStr">
        <is>
          <t>01a152b9-6ee2-7577-bddd-382bc3853fde</t>
        </is>
      </c>
      <c r="M2138" t="inlineStr">
        <is>
          <t>UNKNOWN</t>
        </is>
      </c>
      <c r="N2138" t="inlineStr">
        <is>
          <t>DEFAULT</t>
        </is>
      </c>
      <c r="Q2138" t="n">
        <v>0</v>
      </c>
      <c r="R2138" t="inlineStr">
        <is>
          <t>AUD</t>
        </is>
      </c>
      <c r="S2138" t="n">
        <v>0</v>
      </c>
      <c r="T2138" t="inlineStr">
        <is>
          <t>AUD</t>
        </is>
      </c>
      <c r="U2138" t="n">
        <v>0</v>
      </c>
    </row>
    <row r="2139">
      <c r="A2139" s="5" t="inlineStr">
        <is>
          <t>01a152b9-8fd0-75d9-abaa-af24db90f6a5</t>
        </is>
      </c>
      <c r="C2139" s="5" t="inlineStr">
        <is>
          <t>01a152b9-6e67-75da-8adb-b03e5d07fd21</t>
        </is>
      </c>
      <c r="D2139" s="4" t="n">
        <v>46314.24600833665</v>
      </c>
      <c r="E2139" s="4" t="n">
        <v>46314.24600833676</v>
      </c>
      <c r="F2139" t="b">
        <v>1</v>
      </c>
      <c r="G2139" t="n">
        <v/>
      </c>
      <c r="H2139" t="inlineStr">
        <is>
          <t>ICR</t>
        </is>
      </c>
      <c r="I2139" t="inlineStr">
        <is>
          <t>Intelicare Holdings Ltd</t>
        </is>
      </c>
      <c r="J2139" t="inlineStr">
        <is>
          <t>AUD</t>
        </is>
      </c>
      <c r="K2139" s="5" t="inlineStr">
        <is>
          <t>01a152b9-6ee2-7577-bddd-382bc3853fde</t>
        </is>
      </c>
      <c r="M2139" t="inlineStr">
        <is>
          <t>UNKNOWN</t>
        </is>
      </c>
      <c r="N2139" t="inlineStr">
        <is>
          <t>DEFAULT</t>
        </is>
      </c>
      <c r="Q2139" t="n">
        <v>0</v>
      </c>
      <c r="R2139" t="inlineStr">
        <is>
          <t>AUD</t>
        </is>
      </c>
      <c r="S2139" t="n">
        <v>0</v>
      </c>
      <c r="T2139" t="inlineStr">
        <is>
          <t>AUD</t>
        </is>
      </c>
      <c r="U2139" t="n">
        <v>0</v>
      </c>
    </row>
    <row r="2140">
      <c r="A2140" s="5" t="inlineStr">
        <is>
          <t>01a152b9-8fd3-7759-be46-5eba53d0abbd</t>
        </is>
      </c>
      <c r="C2140" s="5" t="inlineStr">
        <is>
          <t>01a152b9-6e67-75da-8adb-b03e5d07fd21</t>
        </is>
      </c>
      <c r="D2140" s="4" t="n">
        <v>46314.24600837955</v>
      </c>
      <c r="E2140" s="4" t="n">
        <v>46314.24600837965</v>
      </c>
      <c r="F2140" t="b">
        <v>1</v>
      </c>
      <c r="G2140" t="n">
        <v/>
      </c>
      <c r="H2140" t="inlineStr">
        <is>
          <t>ADC</t>
        </is>
      </c>
      <c r="I2140" t="inlineStr">
        <is>
          <t>Acdc Metals Ltd</t>
        </is>
      </c>
      <c r="J2140" t="inlineStr">
        <is>
          <t>AUD</t>
        </is>
      </c>
      <c r="K2140" s="5" t="inlineStr">
        <is>
          <t>01a152b9-6ee2-7577-bddd-382bc3853fde</t>
        </is>
      </c>
      <c r="M2140" t="inlineStr">
        <is>
          <t>UNKNOWN</t>
        </is>
      </c>
      <c r="N2140" t="inlineStr">
        <is>
          <t>DEFAULT</t>
        </is>
      </c>
      <c r="Q2140" t="n">
        <v>0</v>
      </c>
      <c r="R2140" t="inlineStr">
        <is>
          <t>AUD</t>
        </is>
      </c>
      <c r="S2140" t="n">
        <v>0</v>
      </c>
      <c r="T2140" t="inlineStr">
        <is>
          <t>AUD</t>
        </is>
      </c>
      <c r="U2140" t="n">
        <v>0</v>
      </c>
    </row>
    <row r="2141">
      <c r="A2141" s="5" t="inlineStr">
        <is>
          <t>01a152b9-8fd8-7478-86e8-5658cae7bb03</t>
        </is>
      </c>
      <c r="C2141" s="5" t="inlineStr">
        <is>
          <t>01a152b9-6e67-75da-8adb-b03e5d07fd21</t>
        </is>
      </c>
      <c r="D2141" s="4" t="n">
        <v>46314.24600843089</v>
      </c>
      <c r="E2141" s="4" t="n">
        <v>46314.24600843101</v>
      </c>
      <c r="F2141" t="b">
        <v>1</v>
      </c>
      <c r="G2141" t="n">
        <v/>
      </c>
      <c r="H2141" t="inlineStr">
        <is>
          <t>DUN</t>
        </is>
      </c>
      <c r="I2141" t="inlineStr">
        <is>
          <t>Dundas Minerals Ltd</t>
        </is>
      </c>
      <c r="J2141" t="inlineStr">
        <is>
          <t>AUD</t>
        </is>
      </c>
      <c r="K2141" s="5" t="inlineStr">
        <is>
          <t>01a152b9-6ee2-7577-bddd-382bc3853fde</t>
        </is>
      </c>
      <c r="M2141" t="inlineStr">
        <is>
          <t>UNKNOWN</t>
        </is>
      </c>
      <c r="N2141" t="inlineStr">
        <is>
          <t>DEFAULT</t>
        </is>
      </c>
      <c r="Q2141" t="n">
        <v>0</v>
      </c>
      <c r="R2141" t="inlineStr">
        <is>
          <t>AUD</t>
        </is>
      </c>
      <c r="S2141" t="n">
        <v>0</v>
      </c>
      <c r="T2141" t="inlineStr">
        <is>
          <t>AUD</t>
        </is>
      </c>
      <c r="U2141" t="n">
        <v>0</v>
      </c>
    </row>
    <row r="2142">
      <c r="A2142" s="5" t="inlineStr">
        <is>
          <t>01a152b9-8fdb-7449-bd0a-d7aea5b32af4</t>
        </is>
      </c>
      <c r="C2142" s="5" t="inlineStr">
        <is>
          <t>01a152b9-6e67-75da-8adb-b03e5d07fd21</t>
        </is>
      </c>
      <c r="D2142" s="4" t="n">
        <v>46314.24600847304</v>
      </c>
      <c r="E2142" s="4" t="n">
        <v>46314.24600847316</v>
      </c>
      <c r="F2142" t="b">
        <v>1</v>
      </c>
      <c r="G2142" t="n">
        <v/>
      </c>
      <c r="H2142" t="inlineStr">
        <is>
          <t>NCR</t>
        </is>
      </c>
      <c r="I2142" t="inlineStr">
        <is>
          <t>Nucoal Resources Ltd</t>
        </is>
      </c>
      <c r="J2142" t="inlineStr">
        <is>
          <t>AUD</t>
        </is>
      </c>
      <c r="K2142" s="5" t="inlineStr">
        <is>
          <t>01a152b9-6ee2-7577-bddd-382bc3853fde</t>
        </is>
      </c>
      <c r="M2142" t="inlineStr">
        <is>
          <t>UNKNOWN</t>
        </is>
      </c>
      <c r="N2142" t="inlineStr">
        <is>
          <t>DEFAULT</t>
        </is>
      </c>
      <c r="Q2142" t="n">
        <v>0</v>
      </c>
      <c r="R2142" t="inlineStr">
        <is>
          <t>AUD</t>
        </is>
      </c>
      <c r="S2142" t="n">
        <v>0</v>
      </c>
      <c r="T2142" t="inlineStr">
        <is>
          <t>AUD</t>
        </is>
      </c>
      <c r="U2142" t="n">
        <v>0</v>
      </c>
    </row>
    <row r="2143">
      <c r="A2143" s="5" t="inlineStr">
        <is>
          <t>01a152b9-8fdf-7609-803f-cb441234ea1d</t>
        </is>
      </c>
      <c r="C2143" s="5" t="inlineStr">
        <is>
          <t>01a152b9-6e67-75da-8adb-b03e5d07fd21</t>
        </is>
      </c>
      <c r="D2143" s="4" t="n">
        <v>46314.24600851357</v>
      </c>
      <c r="E2143" s="4" t="n">
        <v>46314.24600851367</v>
      </c>
      <c r="F2143" t="b">
        <v>1</v>
      </c>
      <c r="G2143" t="n">
        <v/>
      </c>
      <c r="H2143" t="inlineStr">
        <is>
          <t>KDY</t>
        </is>
      </c>
      <c r="I2143" t="inlineStr">
        <is>
          <t>Kaddy Ltd</t>
        </is>
      </c>
      <c r="J2143" t="inlineStr">
        <is>
          <t>AUD</t>
        </is>
      </c>
      <c r="K2143" s="5" t="inlineStr">
        <is>
          <t>01a152b9-6ee2-7577-bddd-382bc3853fde</t>
        </is>
      </c>
      <c r="M2143" t="inlineStr">
        <is>
          <t>UNKNOWN</t>
        </is>
      </c>
      <c r="N2143" t="inlineStr">
        <is>
          <t>DEFAULT</t>
        </is>
      </c>
      <c r="Q2143" t="n">
        <v>0</v>
      </c>
      <c r="R2143" t="inlineStr">
        <is>
          <t>AUD</t>
        </is>
      </c>
      <c r="S2143" t="n">
        <v>0</v>
      </c>
      <c r="T2143" t="inlineStr">
        <is>
          <t>AUD</t>
        </is>
      </c>
      <c r="U2143" t="n">
        <v>0</v>
      </c>
    </row>
    <row r="2144">
      <c r="A2144" s="5" t="inlineStr">
        <is>
          <t>01a152b9-8fe2-701a-917a-5976607de82b</t>
        </is>
      </c>
      <c r="C2144" s="5" t="inlineStr">
        <is>
          <t>01a152b9-6e67-75da-8adb-b03e5d07fd21</t>
        </is>
      </c>
      <c r="D2144" s="4" t="n">
        <v>46314.24600855462</v>
      </c>
      <c r="E2144" s="4" t="n">
        <v>46314.24600855474</v>
      </c>
      <c r="F2144" t="b">
        <v>1</v>
      </c>
      <c r="G2144" t="n">
        <v/>
      </c>
      <c r="H2144" t="inlineStr">
        <is>
          <t>EMT</t>
        </is>
      </c>
      <c r="I2144" t="inlineStr">
        <is>
          <t>Emetals Ltd</t>
        </is>
      </c>
      <c r="J2144" t="inlineStr">
        <is>
          <t>AUD</t>
        </is>
      </c>
      <c r="K2144" s="5" t="inlineStr">
        <is>
          <t>01a152b9-6ee2-7577-bddd-382bc3853fde</t>
        </is>
      </c>
      <c r="M2144" t="inlineStr">
        <is>
          <t>UNKNOWN</t>
        </is>
      </c>
      <c r="N2144" t="inlineStr">
        <is>
          <t>DEFAULT</t>
        </is>
      </c>
      <c r="Q2144" t="n">
        <v>0</v>
      </c>
      <c r="R2144" t="inlineStr">
        <is>
          <t>AUD</t>
        </is>
      </c>
      <c r="S2144" t="n">
        <v>0</v>
      </c>
      <c r="T2144" t="inlineStr">
        <is>
          <t>AUD</t>
        </is>
      </c>
      <c r="U2144" t="n">
        <v>0</v>
      </c>
    </row>
    <row r="2145">
      <c r="A2145" s="5" t="inlineStr">
        <is>
          <t>01a152b9-8fe6-7430-b133-c8139db4422a</t>
        </is>
      </c>
      <c r="C2145" s="5" t="inlineStr">
        <is>
          <t>01a152b9-6e67-75da-8adb-b03e5d07fd21</t>
        </is>
      </c>
      <c r="D2145" s="4" t="n">
        <v>46314.24600859459</v>
      </c>
      <c r="E2145" s="4" t="n">
        <v>46314.2460085947</v>
      </c>
      <c r="F2145" t="b">
        <v>1</v>
      </c>
      <c r="G2145" t="n">
        <v/>
      </c>
      <c r="H2145" t="inlineStr">
        <is>
          <t>FMR</t>
        </is>
      </c>
      <c r="I2145" t="inlineStr">
        <is>
          <t>FMR Resources Ltd</t>
        </is>
      </c>
      <c r="J2145" t="inlineStr">
        <is>
          <t>AUD</t>
        </is>
      </c>
      <c r="K2145" s="5" t="inlineStr">
        <is>
          <t>01a152b9-6ee2-7577-bddd-382bc3853fde</t>
        </is>
      </c>
      <c r="M2145" t="inlineStr">
        <is>
          <t>UNKNOWN</t>
        </is>
      </c>
      <c r="N2145" t="inlineStr">
        <is>
          <t>DEFAULT</t>
        </is>
      </c>
      <c r="Q2145" t="n">
        <v>0</v>
      </c>
      <c r="R2145" t="inlineStr">
        <is>
          <t>AUD</t>
        </is>
      </c>
      <c r="S2145" t="n">
        <v>0</v>
      </c>
      <c r="T2145" t="inlineStr">
        <is>
          <t>AUD</t>
        </is>
      </c>
      <c r="U2145" t="n">
        <v>0</v>
      </c>
    </row>
    <row r="2146">
      <c r="A2146" s="5" t="inlineStr">
        <is>
          <t>01a152b9-8fe9-760f-a162-6f89cf3770e5</t>
        </is>
      </c>
      <c r="C2146" s="5" t="inlineStr">
        <is>
          <t>01a152b9-6e67-75da-8adb-b03e5d07fd21</t>
        </is>
      </c>
      <c r="D2146" s="4" t="n">
        <v>46314.24600863206</v>
      </c>
      <c r="E2146" s="4" t="n">
        <v>46314.24600863217</v>
      </c>
      <c r="F2146" t="b">
        <v>1</v>
      </c>
      <c r="G2146" t="n">
        <v/>
      </c>
      <c r="H2146" t="inlineStr">
        <is>
          <t>BMO</t>
        </is>
      </c>
      <c r="I2146" t="inlineStr">
        <is>
          <t>Bastion Minerals Ltd</t>
        </is>
      </c>
      <c r="J2146" t="inlineStr">
        <is>
          <t>AUD</t>
        </is>
      </c>
      <c r="K2146" s="5" t="inlineStr">
        <is>
          <t>01a152b9-6ee2-7577-bddd-382bc3853fde</t>
        </is>
      </c>
      <c r="M2146" t="inlineStr">
        <is>
          <t>UNKNOWN</t>
        </is>
      </c>
      <c r="N2146" t="inlineStr">
        <is>
          <t>DEFAULT</t>
        </is>
      </c>
      <c r="Q2146" t="n">
        <v>0</v>
      </c>
      <c r="R2146" t="inlineStr">
        <is>
          <t>AUD</t>
        </is>
      </c>
      <c r="S2146" t="n">
        <v>0</v>
      </c>
      <c r="T2146" t="inlineStr">
        <is>
          <t>AUD</t>
        </is>
      </c>
      <c r="U2146" t="n">
        <v>0</v>
      </c>
    </row>
    <row r="2147">
      <c r="A2147" s="5" t="inlineStr">
        <is>
          <t>01a152b9-8fed-769c-adc4-27062276f6cf</t>
        </is>
      </c>
      <c r="C2147" s="5" t="inlineStr">
        <is>
          <t>01a152b9-6e67-75da-8adb-b03e5d07fd21</t>
        </is>
      </c>
      <c r="D2147" s="4" t="n">
        <v>46314.24600867159</v>
      </c>
      <c r="E2147" s="4" t="n">
        <v>46314.24600867169</v>
      </c>
      <c r="F2147" t="b">
        <v>1</v>
      </c>
      <c r="G2147" t="n">
        <v/>
      </c>
      <c r="H2147" t="inlineStr">
        <is>
          <t>CDT</t>
        </is>
      </c>
      <c r="I2147" t="inlineStr">
        <is>
          <t>Castle Minerals Ltd</t>
        </is>
      </c>
      <c r="J2147" t="inlineStr">
        <is>
          <t>AUD</t>
        </is>
      </c>
      <c r="K2147" s="5" t="inlineStr">
        <is>
          <t>01a152b9-6ee2-7577-bddd-382bc3853fde</t>
        </is>
      </c>
      <c r="M2147" t="inlineStr">
        <is>
          <t>UNKNOWN</t>
        </is>
      </c>
      <c r="N2147" t="inlineStr">
        <is>
          <t>DEFAULT</t>
        </is>
      </c>
      <c r="Q2147" t="n">
        <v>0</v>
      </c>
      <c r="R2147" t="inlineStr">
        <is>
          <t>AUD</t>
        </is>
      </c>
      <c r="S2147" t="n">
        <v>0</v>
      </c>
      <c r="T2147" t="inlineStr">
        <is>
          <t>AUD</t>
        </is>
      </c>
      <c r="U2147" t="n">
        <v>0</v>
      </c>
    </row>
    <row r="2148">
      <c r="A2148" s="5" t="inlineStr">
        <is>
          <t>01a152b9-8ff0-7491-a166-1e89ca572f01</t>
        </is>
      </c>
      <c r="C2148" s="5" t="inlineStr">
        <is>
          <t>01a152b9-6e67-75da-8adb-b03e5d07fd21</t>
        </is>
      </c>
      <c r="D2148" s="4" t="n">
        <v>46314.24600871448</v>
      </c>
      <c r="E2148" s="4" t="n">
        <v>46314.24600871461</v>
      </c>
      <c r="F2148" t="b">
        <v>1</v>
      </c>
      <c r="G2148" t="n">
        <v/>
      </c>
      <c r="H2148" t="inlineStr">
        <is>
          <t>WOA</t>
        </is>
      </c>
      <c r="I2148" t="inlineStr">
        <is>
          <t>Wide Open Agriculture Ltd</t>
        </is>
      </c>
      <c r="J2148" t="inlineStr">
        <is>
          <t>AUD</t>
        </is>
      </c>
      <c r="K2148" s="5" t="inlineStr">
        <is>
          <t>01a152b9-6ee2-7577-bddd-382bc3853fde</t>
        </is>
      </c>
      <c r="M2148" t="inlineStr">
        <is>
          <t>UNKNOWN</t>
        </is>
      </c>
      <c r="N2148" t="inlineStr">
        <is>
          <t>DEFAULT</t>
        </is>
      </c>
      <c r="Q2148" t="n">
        <v>0</v>
      </c>
      <c r="R2148" t="inlineStr">
        <is>
          <t>AUD</t>
        </is>
      </c>
      <c r="S2148" t="n">
        <v>0</v>
      </c>
      <c r="T2148" t="inlineStr">
        <is>
          <t>AUD</t>
        </is>
      </c>
      <c r="U2148" t="n">
        <v>0</v>
      </c>
    </row>
    <row r="2149">
      <c r="A2149" s="5" t="inlineStr">
        <is>
          <t>01a152b9-8ff4-74b0-bbc0-c93c0a4ea7cb</t>
        </is>
      </c>
      <c r="C2149" s="5" t="inlineStr">
        <is>
          <t>01a152b9-6e67-75da-8adb-b03e5d07fd21</t>
        </is>
      </c>
      <c r="D2149" s="4" t="n">
        <v>46314.24600876153</v>
      </c>
      <c r="E2149" s="4" t="n">
        <v>46314.24600876166</v>
      </c>
      <c r="F2149" t="b">
        <v>1</v>
      </c>
      <c r="G2149" t="n">
        <v/>
      </c>
      <c r="H2149" t="inlineStr">
        <is>
          <t>CTN</t>
        </is>
      </c>
      <c r="I2149" t="inlineStr">
        <is>
          <t>Catalina Resources Ltd</t>
        </is>
      </c>
      <c r="J2149" t="inlineStr">
        <is>
          <t>AUD</t>
        </is>
      </c>
      <c r="K2149" s="5" t="inlineStr">
        <is>
          <t>01a152b9-6ee2-7577-bddd-382bc3853fde</t>
        </is>
      </c>
      <c r="M2149" t="inlineStr">
        <is>
          <t>UNKNOWN</t>
        </is>
      </c>
      <c r="N2149" t="inlineStr">
        <is>
          <t>DEFAULT</t>
        </is>
      </c>
      <c r="Q2149" t="n">
        <v>0</v>
      </c>
      <c r="R2149" t="inlineStr">
        <is>
          <t>AUD</t>
        </is>
      </c>
      <c r="S2149" t="n">
        <v>0</v>
      </c>
      <c r="T2149" t="inlineStr">
        <is>
          <t>AUD</t>
        </is>
      </c>
      <c r="U2149" t="n">
        <v>0</v>
      </c>
    </row>
    <row r="2150">
      <c r="A2150" s="5" t="inlineStr">
        <is>
          <t>01a152b9-8ff8-7340-980b-a10cb3645de1</t>
        </is>
      </c>
      <c r="C2150" s="5" t="inlineStr">
        <is>
          <t>01a152b9-6e67-75da-8adb-b03e5d07fd21</t>
        </is>
      </c>
      <c r="D2150" s="4" t="n">
        <v>46314.24600880621</v>
      </c>
      <c r="E2150" s="4" t="n">
        <v>46314.24600880631</v>
      </c>
      <c r="F2150" t="b">
        <v>1</v>
      </c>
      <c r="G2150" t="n">
        <v/>
      </c>
      <c r="H2150" t="inlineStr">
        <is>
          <t>TML</t>
        </is>
      </c>
      <c r="I2150" t="inlineStr">
        <is>
          <t>Timah Resources Ltd</t>
        </is>
      </c>
      <c r="J2150" t="inlineStr">
        <is>
          <t>AUD</t>
        </is>
      </c>
      <c r="K2150" s="5" t="inlineStr">
        <is>
          <t>01a152b9-6ee2-7577-bddd-382bc3853fde</t>
        </is>
      </c>
      <c r="M2150" t="inlineStr">
        <is>
          <t>UNKNOWN</t>
        </is>
      </c>
      <c r="N2150" t="inlineStr">
        <is>
          <t>DEFAULT</t>
        </is>
      </c>
      <c r="Q2150" t="n">
        <v>0</v>
      </c>
      <c r="R2150" t="inlineStr">
        <is>
          <t>AUD</t>
        </is>
      </c>
      <c r="S2150" t="n">
        <v>0</v>
      </c>
      <c r="T2150" t="inlineStr">
        <is>
          <t>AUD</t>
        </is>
      </c>
      <c r="U2150" t="n">
        <v>0</v>
      </c>
    </row>
    <row r="2151">
      <c r="A2151" s="5" t="inlineStr">
        <is>
          <t>01a152b9-8ffc-7286-82ed-90564aa059c6</t>
        </is>
      </c>
      <c r="C2151" s="5" t="inlineStr">
        <is>
          <t>01a152b9-6e67-75da-8adb-b03e5d07fd21</t>
        </is>
      </c>
      <c r="D2151" s="4" t="n">
        <v>46314.24600885028</v>
      </c>
      <c r="E2151" s="4" t="n">
        <v>46314.24600885039</v>
      </c>
      <c r="F2151" t="b">
        <v>1</v>
      </c>
      <c r="G2151" t="n">
        <v/>
      </c>
      <c r="H2151" t="inlineStr">
        <is>
          <t>RMX</t>
        </is>
      </c>
      <c r="I2151" t="inlineStr">
        <is>
          <t>Red Mountain Mining Ltd</t>
        </is>
      </c>
      <c r="J2151" t="inlineStr">
        <is>
          <t>AUD</t>
        </is>
      </c>
      <c r="K2151" s="5" t="inlineStr">
        <is>
          <t>01a152b9-6ee2-7577-bddd-382bc3853fde</t>
        </is>
      </c>
      <c r="M2151" t="inlineStr">
        <is>
          <t>UNKNOWN</t>
        </is>
      </c>
      <c r="N2151" t="inlineStr">
        <is>
          <t>DEFAULT</t>
        </is>
      </c>
      <c r="Q2151" t="n">
        <v>0</v>
      </c>
      <c r="R2151" t="inlineStr">
        <is>
          <t>AUD</t>
        </is>
      </c>
      <c r="S2151" t="n">
        <v>0</v>
      </c>
      <c r="T2151" t="inlineStr">
        <is>
          <t>AUD</t>
        </is>
      </c>
      <c r="U2151" t="n">
        <v>0</v>
      </c>
    </row>
    <row r="2152">
      <c r="A2152" s="5" t="inlineStr">
        <is>
          <t>01a152b9-9000-762b-872d-9ff5bd0a919a</t>
        </is>
      </c>
      <c r="C2152" s="5" t="inlineStr">
        <is>
          <t>01a152b9-6e67-75da-8adb-b03e5d07fd21</t>
        </is>
      </c>
      <c r="D2152" s="4" t="n">
        <v>46314.2460088927</v>
      </c>
      <c r="E2152" s="4" t="n">
        <v>46314.24600889285</v>
      </c>
      <c r="F2152" t="b">
        <v>1</v>
      </c>
      <c r="G2152" t="n">
        <v/>
      </c>
      <c r="H2152" t="inlineStr">
        <is>
          <t>HTM</t>
        </is>
      </c>
      <c r="I2152" t="inlineStr">
        <is>
          <t>High-Tech Metals Ltd</t>
        </is>
      </c>
      <c r="J2152" t="inlineStr">
        <is>
          <t>AUD</t>
        </is>
      </c>
      <c r="K2152" s="5" t="inlineStr">
        <is>
          <t>01a152b9-6ee2-7577-bddd-382bc3853fde</t>
        </is>
      </c>
      <c r="M2152" t="inlineStr">
        <is>
          <t>UNKNOWN</t>
        </is>
      </c>
      <c r="N2152" t="inlineStr">
        <is>
          <t>DEFAULT</t>
        </is>
      </c>
      <c r="Q2152" t="n">
        <v>0</v>
      </c>
      <c r="R2152" t="inlineStr">
        <is>
          <t>AUD</t>
        </is>
      </c>
      <c r="S2152" t="n">
        <v>0</v>
      </c>
      <c r="T2152" t="inlineStr">
        <is>
          <t>AUD</t>
        </is>
      </c>
      <c r="U2152" t="n">
        <v>0</v>
      </c>
    </row>
    <row r="2153">
      <c r="A2153" s="5" t="inlineStr">
        <is>
          <t>01a152b9-9004-707d-a324-b63ce82fe66a</t>
        </is>
      </c>
      <c r="C2153" s="5" t="inlineStr">
        <is>
          <t>01a152b9-6e67-75da-8adb-b03e5d07fd21</t>
        </is>
      </c>
      <c r="D2153" s="4" t="n">
        <v>46314.24600894458</v>
      </c>
      <c r="E2153" s="4" t="n">
        <v>46314.24600894471</v>
      </c>
      <c r="F2153" t="b">
        <v>1</v>
      </c>
      <c r="G2153" t="n">
        <v/>
      </c>
      <c r="H2153" t="inlineStr">
        <is>
          <t>OCN</t>
        </is>
      </c>
      <c r="I2153" t="inlineStr">
        <is>
          <t>Oceana Lithium Ltd</t>
        </is>
      </c>
      <c r="J2153" t="inlineStr">
        <is>
          <t>AUD</t>
        </is>
      </c>
      <c r="K2153" s="5" t="inlineStr">
        <is>
          <t>01a152b9-6ee2-7577-bddd-382bc3853fde</t>
        </is>
      </c>
      <c r="M2153" t="inlineStr">
        <is>
          <t>UNKNOWN</t>
        </is>
      </c>
      <c r="N2153" t="inlineStr">
        <is>
          <t>DEFAULT</t>
        </is>
      </c>
      <c r="Q2153" t="n">
        <v>0</v>
      </c>
      <c r="R2153" t="inlineStr">
        <is>
          <t>AUD</t>
        </is>
      </c>
      <c r="S2153" t="n">
        <v>0</v>
      </c>
      <c r="T2153" t="inlineStr">
        <is>
          <t>AUD</t>
        </is>
      </c>
      <c r="U2153" t="n">
        <v>0</v>
      </c>
    </row>
    <row r="2154">
      <c r="A2154" s="5" t="inlineStr">
        <is>
          <t>01a152b9-9008-71db-8a0c-de9da2a920ec</t>
        </is>
      </c>
      <c r="C2154" s="5" t="inlineStr">
        <is>
          <t>01a152b9-6e67-75da-8adb-b03e5d07fd21</t>
        </is>
      </c>
      <c r="D2154" s="4" t="n">
        <v>46314.24600899088</v>
      </c>
      <c r="E2154" s="4" t="n">
        <v>46314.24600899104</v>
      </c>
      <c r="F2154" t="b">
        <v>1</v>
      </c>
      <c r="G2154" t="n">
        <v/>
      </c>
      <c r="H2154" t="inlineStr">
        <is>
          <t>AN1</t>
        </is>
      </c>
      <c r="I2154" t="inlineStr">
        <is>
          <t>Anagenics Ltd</t>
        </is>
      </c>
      <c r="J2154" t="inlineStr">
        <is>
          <t>AUD</t>
        </is>
      </c>
      <c r="K2154" s="5" t="inlineStr">
        <is>
          <t>01a152b9-6ee2-7577-bddd-382bc3853fde</t>
        </is>
      </c>
      <c r="M2154" t="inlineStr">
        <is>
          <t>UNKNOWN</t>
        </is>
      </c>
      <c r="N2154" t="inlineStr">
        <is>
          <t>DEFAULT</t>
        </is>
      </c>
      <c r="Q2154" t="n">
        <v>0</v>
      </c>
      <c r="R2154" t="inlineStr">
        <is>
          <t>AUD</t>
        </is>
      </c>
      <c r="S2154" t="n">
        <v>0</v>
      </c>
      <c r="T2154" t="inlineStr">
        <is>
          <t>AUD</t>
        </is>
      </c>
      <c r="U2154" t="n">
        <v>0</v>
      </c>
    </row>
    <row r="2155">
      <c r="A2155" s="5" t="inlineStr">
        <is>
          <t>01a152b9-900c-705b-a465-5b8872b553c3</t>
        </is>
      </c>
      <c r="C2155" s="5" t="inlineStr">
        <is>
          <t>01a152b9-6e67-75da-8adb-b03e5d07fd21</t>
        </is>
      </c>
      <c r="D2155" s="4" t="n">
        <v>46314.24600903923</v>
      </c>
      <c r="E2155" s="4" t="n">
        <v>46314.24600903935</v>
      </c>
      <c r="F2155" t="b">
        <v>1</v>
      </c>
      <c r="G2155" t="n">
        <v/>
      </c>
      <c r="H2155" t="inlineStr">
        <is>
          <t>AYM</t>
        </is>
      </c>
      <c r="I2155" t="inlineStr">
        <is>
          <t>Australia United Mining Ltd</t>
        </is>
      </c>
      <c r="J2155" t="inlineStr">
        <is>
          <t>AUD</t>
        </is>
      </c>
      <c r="K2155" s="5" t="inlineStr">
        <is>
          <t>01a152b9-6ee2-7577-bddd-382bc3853fde</t>
        </is>
      </c>
      <c r="M2155" t="inlineStr">
        <is>
          <t>UNKNOWN</t>
        </is>
      </c>
      <c r="N2155" t="inlineStr">
        <is>
          <t>DEFAULT</t>
        </is>
      </c>
      <c r="Q2155" t="n">
        <v>0</v>
      </c>
      <c r="R2155" t="inlineStr">
        <is>
          <t>AUD</t>
        </is>
      </c>
      <c r="S2155" t="n">
        <v>0</v>
      </c>
      <c r="T2155" t="inlineStr">
        <is>
          <t>AUD</t>
        </is>
      </c>
      <c r="U2155" t="n">
        <v>0</v>
      </c>
    </row>
    <row r="2156">
      <c r="A2156" s="5" t="inlineStr">
        <is>
          <t>01a152b9-9011-746d-8882-7f5cb3e8017f</t>
        </is>
      </c>
      <c r="C2156" s="5" t="inlineStr">
        <is>
          <t>01a152b9-6e67-75da-8adb-b03e5d07fd21</t>
        </is>
      </c>
      <c r="D2156" s="4" t="n">
        <v>46314.24600908964</v>
      </c>
      <c r="E2156" s="4" t="n">
        <v>46314.24600908978</v>
      </c>
      <c r="F2156" t="b">
        <v>1</v>
      </c>
      <c r="G2156" t="n">
        <v/>
      </c>
      <c r="H2156" t="inlineStr">
        <is>
          <t>EQS</t>
        </is>
      </c>
      <c r="I2156" t="inlineStr">
        <is>
          <t>Equity Story Group Ltd</t>
        </is>
      </c>
      <c r="J2156" t="inlineStr">
        <is>
          <t>AUD</t>
        </is>
      </c>
      <c r="K2156" s="5" t="inlineStr">
        <is>
          <t>01a152b9-6ee2-7577-bddd-382bc3853fde</t>
        </is>
      </c>
      <c r="M2156" t="inlineStr">
        <is>
          <t>UNKNOWN</t>
        </is>
      </c>
      <c r="N2156" t="inlineStr">
        <is>
          <t>DEFAULT</t>
        </is>
      </c>
      <c r="Q2156" t="n">
        <v>0</v>
      </c>
      <c r="R2156" t="inlineStr">
        <is>
          <t>AUD</t>
        </is>
      </c>
      <c r="S2156" t="n">
        <v>0</v>
      </c>
      <c r="T2156" t="inlineStr">
        <is>
          <t>AUD</t>
        </is>
      </c>
      <c r="U2156" t="n">
        <v>0</v>
      </c>
    </row>
    <row r="2157">
      <c r="A2157" s="5" t="inlineStr">
        <is>
          <t>01a152b9-9015-771c-8292-e2b5fa496023</t>
        </is>
      </c>
      <c r="C2157" s="5" t="inlineStr">
        <is>
          <t>01a152b9-6e67-75da-8adb-b03e5d07fd21</t>
        </is>
      </c>
      <c r="D2157" s="4" t="n">
        <v>46314.24600913854</v>
      </c>
      <c r="E2157" s="4" t="n">
        <v>46314.24600913873</v>
      </c>
      <c r="F2157" t="b">
        <v>1</v>
      </c>
      <c r="G2157" t="n">
        <v/>
      </c>
      <c r="H2157" t="inlineStr">
        <is>
          <t>DDT</t>
        </is>
      </c>
      <c r="I2157" t="inlineStr">
        <is>
          <t>Datadot Technology Ltd</t>
        </is>
      </c>
      <c r="J2157" t="inlineStr">
        <is>
          <t>AUD</t>
        </is>
      </c>
      <c r="K2157" s="5" t="inlineStr">
        <is>
          <t>01a152b9-6ee2-7577-bddd-382bc3853fde</t>
        </is>
      </c>
      <c r="M2157" t="inlineStr">
        <is>
          <t>UNKNOWN</t>
        </is>
      </c>
      <c r="N2157" t="inlineStr">
        <is>
          <t>DEFAULT</t>
        </is>
      </c>
      <c r="Q2157" t="n">
        <v>0</v>
      </c>
      <c r="R2157" t="inlineStr">
        <is>
          <t>AUD</t>
        </is>
      </c>
      <c r="S2157" t="n">
        <v>0</v>
      </c>
      <c r="T2157" t="inlineStr">
        <is>
          <t>AUD</t>
        </is>
      </c>
      <c r="U2157" t="n">
        <v>0</v>
      </c>
    </row>
    <row r="2158">
      <c r="A2158" s="5" t="inlineStr">
        <is>
          <t>01a152b9-901a-73cc-8229-0ec40b06b79d</t>
        </is>
      </c>
      <c r="C2158" s="5" t="inlineStr">
        <is>
          <t>01a152b9-6e67-75da-8adb-b03e5d07fd21</t>
        </is>
      </c>
      <c r="D2158" s="4" t="n">
        <v>46314.24600919488</v>
      </c>
      <c r="E2158" s="4" t="n">
        <v>46314.24600919506</v>
      </c>
      <c r="F2158" t="b">
        <v>1</v>
      </c>
      <c r="G2158" t="n">
        <v/>
      </c>
      <c r="H2158" t="inlineStr">
        <is>
          <t>VTI</t>
        </is>
      </c>
      <c r="I2158" t="inlineStr">
        <is>
          <t>Visioneering Technologies Inc</t>
        </is>
      </c>
      <c r="J2158" t="inlineStr">
        <is>
          <t>AUD</t>
        </is>
      </c>
      <c r="K2158" s="5" t="inlineStr">
        <is>
          <t>01a152b9-6ee2-7577-bddd-382bc3853fde</t>
        </is>
      </c>
      <c r="M2158" t="inlineStr">
        <is>
          <t>UNKNOWN</t>
        </is>
      </c>
      <c r="N2158" t="inlineStr">
        <is>
          <t>DEFAULT</t>
        </is>
      </c>
      <c r="Q2158" t="n">
        <v>0</v>
      </c>
      <c r="R2158" t="inlineStr">
        <is>
          <t>AUD</t>
        </is>
      </c>
      <c r="S2158" t="n">
        <v>0</v>
      </c>
      <c r="T2158" t="inlineStr">
        <is>
          <t>AUD</t>
        </is>
      </c>
      <c r="U2158" t="n">
        <v>0</v>
      </c>
    </row>
    <row r="2159">
      <c r="A2159" s="5" t="inlineStr">
        <is>
          <t>01a152b9-901e-75e7-83cc-bc75ca4ddf3d</t>
        </is>
      </c>
      <c r="C2159" s="5" t="inlineStr">
        <is>
          <t>01a152b9-6e67-75da-8adb-b03e5d07fd21</t>
        </is>
      </c>
      <c r="D2159" s="4" t="n">
        <v>46314.24600924711</v>
      </c>
      <c r="E2159" s="4" t="n">
        <v>46314.24600924729</v>
      </c>
      <c r="F2159" t="b">
        <v>1</v>
      </c>
      <c r="G2159" t="n">
        <v/>
      </c>
      <c r="H2159" t="inlineStr">
        <is>
          <t>EVR</t>
        </is>
      </c>
      <c r="I2159" t="inlineStr">
        <is>
          <t>EV Resources Ltd</t>
        </is>
      </c>
      <c r="J2159" t="inlineStr">
        <is>
          <t>AUD</t>
        </is>
      </c>
      <c r="K2159" s="5" t="inlineStr">
        <is>
          <t>01a152b9-6ee2-7577-bddd-382bc3853fde</t>
        </is>
      </c>
      <c r="M2159" t="inlineStr">
        <is>
          <t>UNKNOWN</t>
        </is>
      </c>
      <c r="N2159" t="inlineStr">
        <is>
          <t>DEFAULT</t>
        </is>
      </c>
      <c r="Q2159" t="n">
        <v>0</v>
      </c>
      <c r="R2159" t="inlineStr">
        <is>
          <t>AUD</t>
        </is>
      </c>
      <c r="S2159" t="n">
        <v>0</v>
      </c>
      <c r="T2159" t="inlineStr">
        <is>
          <t>AUD</t>
        </is>
      </c>
      <c r="U2159" t="n">
        <v>0</v>
      </c>
    </row>
    <row r="2160">
      <c r="A2160" s="5" t="inlineStr">
        <is>
          <t>01a152b9-9023-7006-bd69-ce45ccdc987d</t>
        </is>
      </c>
      <c r="C2160" s="5" t="inlineStr">
        <is>
          <t>01a152b9-6e67-75da-8adb-b03e5d07fd21</t>
        </is>
      </c>
      <c r="D2160" s="4" t="n">
        <v>46314.24600930029</v>
      </c>
      <c r="E2160" s="4" t="n">
        <v>46314.24600930056</v>
      </c>
      <c r="F2160" t="b">
        <v>1</v>
      </c>
      <c r="G2160" t="n">
        <v/>
      </c>
      <c r="H2160" t="inlineStr">
        <is>
          <t>BCT</t>
        </is>
      </c>
      <c r="I2160" t="inlineStr">
        <is>
          <t>Bluechiip Ltd</t>
        </is>
      </c>
      <c r="J2160" t="inlineStr">
        <is>
          <t>AUD</t>
        </is>
      </c>
      <c r="K2160" s="5" t="inlineStr">
        <is>
          <t>01a152b9-6ee2-7577-bddd-382bc3853fde</t>
        </is>
      </c>
      <c r="M2160" t="inlineStr">
        <is>
          <t>UNKNOWN</t>
        </is>
      </c>
      <c r="N2160" t="inlineStr">
        <is>
          <t>DEFAULT</t>
        </is>
      </c>
      <c r="Q2160" t="n">
        <v>0</v>
      </c>
      <c r="R2160" t="inlineStr">
        <is>
          <t>AUD</t>
        </is>
      </c>
      <c r="S2160" t="n">
        <v>0</v>
      </c>
      <c r="T2160" t="inlineStr">
        <is>
          <t>AUD</t>
        </is>
      </c>
      <c r="U2160" t="n">
        <v>0</v>
      </c>
    </row>
    <row r="2161">
      <c r="A2161" s="5" t="inlineStr">
        <is>
          <t>01a152b9-9027-7272-bef9-4d9a2c8e196b</t>
        </is>
      </c>
      <c r="C2161" s="5" t="inlineStr">
        <is>
          <t>01a152b9-6e67-75da-8adb-b03e5d07fd21</t>
        </is>
      </c>
      <c r="D2161" s="4" t="n">
        <v>46314.24600934846</v>
      </c>
      <c r="E2161" s="4" t="n">
        <v>46314.24600934862</v>
      </c>
      <c r="F2161" t="b">
        <v>1</v>
      </c>
      <c r="G2161" t="n">
        <v/>
      </c>
      <c r="H2161" t="inlineStr">
        <is>
          <t>SVNP</t>
        </is>
      </c>
      <c r="I2161" t="inlineStr">
        <is>
          <t>Savana US Small Caps Active ETF</t>
        </is>
      </c>
      <c r="J2161" t="inlineStr">
        <is>
          <t>AUD</t>
        </is>
      </c>
      <c r="K2161" s="5" t="inlineStr">
        <is>
          <t>01a152b9-6ee2-7577-bddd-382bc3853fde</t>
        </is>
      </c>
      <c r="M2161" t="inlineStr">
        <is>
          <t>UNKNOWN</t>
        </is>
      </c>
      <c r="N2161" t="inlineStr">
        <is>
          <t>DEFAULT</t>
        </is>
      </c>
      <c r="Q2161" t="n">
        <v>0</v>
      </c>
      <c r="R2161" t="inlineStr">
        <is>
          <t>AUD</t>
        </is>
      </c>
      <c r="S2161" t="n">
        <v>0</v>
      </c>
      <c r="T2161" t="inlineStr">
        <is>
          <t>AUD</t>
        </is>
      </c>
      <c r="U2161" t="n">
        <v>0</v>
      </c>
    </row>
    <row r="2162">
      <c r="A2162" s="5" t="inlineStr">
        <is>
          <t>01a152b9-902b-7458-942c-fc5fb3ace2c6</t>
        </is>
      </c>
      <c r="C2162" s="5" t="inlineStr">
        <is>
          <t>01a152b9-6e67-75da-8adb-b03e5d07fd21</t>
        </is>
      </c>
      <c r="D2162" s="4" t="n">
        <v>46314.24600939627</v>
      </c>
      <c r="E2162" s="4" t="n">
        <v>46314.2460093964</v>
      </c>
      <c r="F2162" t="b">
        <v>1</v>
      </c>
      <c r="G2162" t="n">
        <v/>
      </c>
      <c r="H2162" t="inlineStr">
        <is>
          <t>EM2</t>
        </is>
      </c>
      <c r="I2162" t="inlineStr">
        <is>
          <t>Eagle Mountain Mining Ltd</t>
        </is>
      </c>
      <c r="J2162" t="inlineStr">
        <is>
          <t>AUD</t>
        </is>
      </c>
      <c r="K2162" s="5" t="inlineStr">
        <is>
          <t>01a152b9-6ee2-7577-bddd-382bc3853fde</t>
        </is>
      </c>
      <c r="M2162" t="inlineStr">
        <is>
          <t>UNKNOWN</t>
        </is>
      </c>
      <c r="N2162" t="inlineStr">
        <is>
          <t>DEFAULT</t>
        </is>
      </c>
      <c r="Q2162" t="n">
        <v>0</v>
      </c>
      <c r="R2162" t="inlineStr">
        <is>
          <t>AUD</t>
        </is>
      </c>
      <c r="S2162" t="n">
        <v>0</v>
      </c>
      <c r="T2162" t="inlineStr">
        <is>
          <t>AUD</t>
        </is>
      </c>
      <c r="U2162" t="n">
        <v>0</v>
      </c>
    </row>
    <row r="2163">
      <c r="A2163" s="5" t="inlineStr">
        <is>
          <t>01a152b9-9030-74df-a9c6-5554acd06ad1</t>
        </is>
      </c>
      <c r="C2163" s="5" t="inlineStr">
        <is>
          <t>01a152b9-6e67-75da-8adb-b03e5d07fd21</t>
        </is>
      </c>
      <c r="D2163" s="4" t="n">
        <v>46314.24600945271</v>
      </c>
      <c r="E2163" s="4" t="n">
        <v>46314.24600945285</v>
      </c>
      <c r="F2163" t="b">
        <v>1</v>
      </c>
      <c r="G2163" t="n">
        <v/>
      </c>
      <c r="H2163" t="inlineStr">
        <is>
          <t>MOH</t>
        </is>
      </c>
      <c r="I2163" t="inlineStr">
        <is>
          <t>Moho Resources Ltd</t>
        </is>
      </c>
      <c r="J2163" t="inlineStr">
        <is>
          <t>AUD</t>
        </is>
      </c>
      <c r="K2163" s="5" t="inlineStr">
        <is>
          <t>01a152b9-6ee2-7577-bddd-382bc3853fde</t>
        </is>
      </c>
      <c r="M2163" t="inlineStr">
        <is>
          <t>UNKNOWN</t>
        </is>
      </c>
      <c r="N2163" t="inlineStr">
        <is>
          <t>DEFAULT</t>
        </is>
      </c>
      <c r="Q2163" t="n">
        <v>0</v>
      </c>
      <c r="R2163" t="inlineStr">
        <is>
          <t>AUD</t>
        </is>
      </c>
      <c r="S2163" t="n">
        <v>0</v>
      </c>
      <c r="T2163" t="inlineStr">
        <is>
          <t>AUD</t>
        </is>
      </c>
      <c r="U2163" t="n">
        <v>0</v>
      </c>
    </row>
    <row r="2164">
      <c r="A2164" s="5" t="inlineStr">
        <is>
          <t>01a152b9-9034-76d8-ad44-684187448e69</t>
        </is>
      </c>
      <c r="C2164" s="5" t="inlineStr">
        <is>
          <t>01a152b9-6e67-75da-8adb-b03e5d07fd21</t>
        </is>
      </c>
      <c r="D2164" s="4" t="n">
        <v>46314.24600949963</v>
      </c>
      <c r="E2164" s="4" t="n">
        <v>46314.24600949976</v>
      </c>
      <c r="F2164" t="b">
        <v>1</v>
      </c>
      <c r="G2164" t="n">
        <v/>
      </c>
      <c r="H2164" t="inlineStr">
        <is>
          <t>HFY</t>
        </is>
      </c>
      <c r="I2164" t="inlineStr">
        <is>
          <t>Hubify Ltd</t>
        </is>
      </c>
      <c r="J2164" t="inlineStr">
        <is>
          <t>AUD</t>
        </is>
      </c>
      <c r="K2164" s="5" t="inlineStr">
        <is>
          <t>01a152b9-6ee2-7577-bddd-382bc3853fde</t>
        </is>
      </c>
      <c r="M2164" t="inlineStr">
        <is>
          <t>UNKNOWN</t>
        </is>
      </c>
      <c r="N2164" t="inlineStr">
        <is>
          <t>DEFAULT</t>
        </is>
      </c>
      <c r="Q2164" t="n">
        <v>0</v>
      </c>
      <c r="R2164" t="inlineStr">
        <is>
          <t>AUD</t>
        </is>
      </c>
      <c r="S2164" t="n">
        <v>0</v>
      </c>
      <c r="T2164" t="inlineStr">
        <is>
          <t>AUD</t>
        </is>
      </c>
      <c r="U2164" t="n">
        <v>0</v>
      </c>
    </row>
    <row r="2165">
      <c r="A2165" s="5" t="inlineStr">
        <is>
          <t>01a152b9-9038-700e-8d27-a355194b5a04</t>
        </is>
      </c>
      <c r="C2165" s="5" t="inlineStr">
        <is>
          <t>01a152b9-6e67-75da-8adb-b03e5d07fd21</t>
        </is>
      </c>
      <c r="D2165" s="4" t="n">
        <v>46314.24600954916</v>
      </c>
      <c r="E2165" s="4" t="n">
        <v>46314.24600954928</v>
      </c>
      <c r="F2165" t="b">
        <v>1</v>
      </c>
      <c r="G2165" t="n">
        <v/>
      </c>
      <c r="H2165" t="inlineStr">
        <is>
          <t>RBX</t>
        </is>
      </c>
      <c r="I2165" t="inlineStr">
        <is>
          <t>Resource Base Ltd</t>
        </is>
      </c>
      <c r="J2165" t="inlineStr">
        <is>
          <t>AUD</t>
        </is>
      </c>
      <c r="K2165" s="5" t="inlineStr">
        <is>
          <t>01a152b9-6ee2-7577-bddd-382bc3853fde</t>
        </is>
      </c>
      <c r="M2165" t="inlineStr">
        <is>
          <t>UNKNOWN</t>
        </is>
      </c>
      <c r="N2165" t="inlineStr">
        <is>
          <t>DEFAULT</t>
        </is>
      </c>
      <c r="Q2165" t="n">
        <v>0</v>
      </c>
      <c r="R2165" t="inlineStr">
        <is>
          <t>AUD</t>
        </is>
      </c>
      <c r="S2165" t="n">
        <v>0</v>
      </c>
      <c r="T2165" t="inlineStr">
        <is>
          <t>AUD</t>
        </is>
      </c>
      <c r="U2165" t="n">
        <v>0</v>
      </c>
    </row>
    <row r="2166">
      <c r="A2166" s="5" t="inlineStr">
        <is>
          <t>01a152b9-903d-77f5-af83-c8df507fc2e2</t>
        </is>
      </c>
      <c r="C2166" s="5" t="inlineStr">
        <is>
          <t>01a152b9-6e67-75da-8adb-b03e5d07fd21</t>
        </is>
      </c>
      <c r="D2166" s="4" t="n">
        <v>46314.24600960108</v>
      </c>
      <c r="E2166" s="4" t="n">
        <v>46314.24600960121</v>
      </c>
      <c r="F2166" t="b">
        <v>1</v>
      </c>
      <c r="G2166" t="n">
        <v/>
      </c>
      <c r="H2166" t="inlineStr">
        <is>
          <t>CTQ</t>
        </is>
      </c>
      <c r="I2166" t="inlineStr">
        <is>
          <t>Careteq Ltd</t>
        </is>
      </c>
      <c r="J2166" t="inlineStr">
        <is>
          <t>AUD</t>
        </is>
      </c>
      <c r="K2166" s="5" t="inlineStr">
        <is>
          <t>01a152b9-6ee2-7577-bddd-382bc3853fde</t>
        </is>
      </c>
      <c r="M2166" t="inlineStr">
        <is>
          <t>UNKNOWN</t>
        </is>
      </c>
      <c r="N2166" t="inlineStr">
        <is>
          <t>DEFAULT</t>
        </is>
      </c>
      <c r="Q2166" t="n">
        <v>0</v>
      </c>
      <c r="R2166" t="inlineStr">
        <is>
          <t>AUD</t>
        </is>
      </c>
      <c r="S2166" t="n">
        <v>0</v>
      </c>
      <c r="T2166" t="inlineStr">
        <is>
          <t>AUD</t>
        </is>
      </c>
      <c r="U2166" t="n">
        <v>0</v>
      </c>
    </row>
    <row r="2167">
      <c r="A2167" s="5" t="inlineStr">
        <is>
          <t>01a152b9-9041-7588-956d-4d4dd8766616</t>
        </is>
      </c>
      <c r="C2167" s="5" t="inlineStr">
        <is>
          <t>01a152b9-6e67-75da-8adb-b03e5d07fd21</t>
        </is>
      </c>
      <c r="D2167" s="4" t="n">
        <v>46314.2460096514</v>
      </c>
      <c r="E2167" s="4" t="n">
        <v>46314.24600965155</v>
      </c>
      <c r="F2167" t="b">
        <v>1</v>
      </c>
      <c r="G2167" t="n">
        <v/>
      </c>
      <c r="H2167" t="inlineStr">
        <is>
          <t>MDI</t>
        </is>
      </c>
      <c r="I2167" t="inlineStr">
        <is>
          <t>Middle Island Resources Ltd</t>
        </is>
      </c>
      <c r="J2167" t="inlineStr">
        <is>
          <t>AUD</t>
        </is>
      </c>
      <c r="K2167" s="5" t="inlineStr">
        <is>
          <t>01a152b9-6ee2-7577-bddd-382bc3853fde</t>
        </is>
      </c>
      <c r="M2167" t="inlineStr">
        <is>
          <t>UNKNOWN</t>
        </is>
      </c>
      <c r="N2167" t="inlineStr">
        <is>
          <t>DEFAULT</t>
        </is>
      </c>
      <c r="Q2167" t="n">
        <v>0</v>
      </c>
      <c r="R2167" t="inlineStr">
        <is>
          <t>AUD</t>
        </is>
      </c>
      <c r="S2167" t="n">
        <v>0</v>
      </c>
      <c r="T2167" t="inlineStr">
        <is>
          <t>AUD</t>
        </is>
      </c>
      <c r="U2167" t="n">
        <v>0</v>
      </c>
    </row>
    <row r="2168">
      <c r="A2168" s="5" t="inlineStr">
        <is>
          <t>01a152b9-9045-73de-91d2-3987ee49642d</t>
        </is>
      </c>
      <c r="C2168" s="5" t="inlineStr">
        <is>
          <t>01a152b9-6e67-75da-8adb-b03e5d07fd21</t>
        </is>
      </c>
      <c r="D2168" s="4" t="n">
        <v>46314.24600969413</v>
      </c>
      <c r="E2168" s="4" t="n">
        <v>46314.24600969425</v>
      </c>
      <c r="F2168" t="b">
        <v>1</v>
      </c>
      <c r="G2168" t="n">
        <v/>
      </c>
      <c r="H2168" t="inlineStr">
        <is>
          <t>ENT</t>
        </is>
      </c>
      <c r="I2168" t="inlineStr">
        <is>
          <t>Enterprise Metals Ltd</t>
        </is>
      </c>
      <c r="J2168" t="inlineStr">
        <is>
          <t>AUD</t>
        </is>
      </c>
      <c r="K2168" s="5" t="inlineStr">
        <is>
          <t>01a152b9-6ee2-7577-bddd-382bc3853fde</t>
        </is>
      </c>
      <c r="M2168" t="inlineStr">
        <is>
          <t>UNKNOWN</t>
        </is>
      </c>
      <c r="N2168" t="inlineStr">
        <is>
          <t>DEFAULT</t>
        </is>
      </c>
      <c r="Q2168" t="n">
        <v>0</v>
      </c>
      <c r="R2168" t="inlineStr">
        <is>
          <t>AUD</t>
        </is>
      </c>
      <c r="S2168" t="n">
        <v>0</v>
      </c>
      <c r="T2168" t="inlineStr">
        <is>
          <t>AUD</t>
        </is>
      </c>
      <c r="U2168" t="n">
        <v>0</v>
      </c>
    </row>
    <row r="2169">
      <c r="A2169" s="5" t="inlineStr">
        <is>
          <t>01a152b9-9048-752a-98c5-90c92a5303c7</t>
        </is>
      </c>
      <c r="C2169" s="5" t="inlineStr">
        <is>
          <t>01a152b9-6e67-75da-8adb-b03e5d07fd21</t>
        </is>
      </c>
      <c r="D2169" s="4" t="n">
        <v>46314.24600973395</v>
      </c>
      <c r="E2169" s="4" t="n">
        <v>46314.24600973406</v>
      </c>
      <c r="F2169" t="b">
        <v>1</v>
      </c>
      <c r="G2169" t="n">
        <v/>
      </c>
      <c r="H2169" t="inlineStr">
        <is>
          <t>CPM</t>
        </is>
      </c>
      <c r="I2169" t="inlineStr">
        <is>
          <t>Cooper Metals Ltd</t>
        </is>
      </c>
      <c r="J2169" t="inlineStr">
        <is>
          <t>AUD</t>
        </is>
      </c>
      <c r="K2169" s="5" t="inlineStr">
        <is>
          <t>01a152b9-6ee2-7577-bddd-382bc3853fde</t>
        </is>
      </c>
      <c r="M2169" t="inlineStr">
        <is>
          <t>UNKNOWN</t>
        </is>
      </c>
      <c r="N2169" t="inlineStr">
        <is>
          <t>DEFAULT</t>
        </is>
      </c>
      <c r="Q2169" t="n">
        <v>0</v>
      </c>
      <c r="R2169" t="inlineStr">
        <is>
          <t>AUD</t>
        </is>
      </c>
      <c r="S2169" t="n">
        <v>0</v>
      </c>
      <c r="T2169" t="inlineStr">
        <is>
          <t>AUD</t>
        </is>
      </c>
      <c r="U2169" t="n">
        <v>0</v>
      </c>
    </row>
    <row r="2170">
      <c r="A2170" s="5" t="inlineStr">
        <is>
          <t>01a152b9-904b-77fa-8fa5-9cac2d93c0e7</t>
        </is>
      </c>
      <c r="C2170" s="5" t="inlineStr">
        <is>
          <t>01a152b9-6e67-75da-8adb-b03e5d07fd21</t>
        </is>
      </c>
      <c r="D2170" s="4" t="n">
        <v>46314.24600976815</v>
      </c>
      <c r="E2170" s="4" t="n">
        <v>46314.24600976824</v>
      </c>
      <c r="F2170" t="b">
        <v>1</v>
      </c>
      <c r="G2170" t="n">
        <v/>
      </c>
      <c r="H2170" t="inlineStr">
        <is>
          <t>WC1</t>
        </is>
      </c>
      <c r="I2170" t="inlineStr">
        <is>
          <t>West Cobar Metals Ltd</t>
        </is>
      </c>
      <c r="J2170" t="inlineStr">
        <is>
          <t>AUD</t>
        </is>
      </c>
      <c r="K2170" s="5" t="inlineStr">
        <is>
          <t>01a152b9-6ee2-7577-bddd-382bc3853fde</t>
        </is>
      </c>
      <c r="M2170" t="inlineStr">
        <is>
          <t>UNKNOWN</t>
        </is>
      </c>
      <c r="N2170" t="inlineStr">
        <is>
          <t>DEFAULT</t>
        </is>
      </c>
      <c r="Q2170" t="n">
        <v>0</v>
      </c>
      <c r="R2170" t="inlineStr">
        <is>
          <t>AUD</t>
        </is>
      </c>
      <c r="S2170" t="n">
        <v>0</v>
      </c>
      <c r="T2170" t="inlineStr">
        <is>
          <t>AUD</t>
        </is>
      </c>
      <c r="U2170" t="n">
        <v>0</v>
      </c>
    </row>
    <row r="2171">
      <c r="A2171" s="5" t="inlineStr">
        <is>
          <t>01a152b9-904f-72b3-9254-35a7b3e8da7f</t>
        </is>
      </c>
      <c r="C2171" s="5" t="inlineStr">
        <is>
          <t>01a152b9-6e67-75da-8adb-b03e5d07fd21</t>
        </is>
      </c>
      <c r="D2171" s="4" t="n">
        <v>46314.24600980931</v>
      </c>
      <c r="E2171" s="4" t="n">
        <v>46314.24600980943</v>
      </c>
      <c r="F2171" t="b">
        <v>1</v>
      </c>
      <c r="G2171" t="n">
        <v/>
      </c>
      <c r="H2171" t="inlineStr">
        <is>
          <t>CR3</t>
        </is>
      </c>
      <c r="I2171" t="inlineStr">
        <is>
          <t>Core Energy Minerals Ltd</t>
        </is>
      </c>
      <c r="J2171" t="inlineStr">
        <is>
          <t>AUD</t>
        </is>
      </c>
      <c r="K2171" s="5" t="inlineStr">
        <is>
          <t>01a152b9-6ee2-7577-bddd-382bc3853fde</t>
        </is>
      </c>
      <c r="M2171" t="inlineStr">
        <is>
          <t>UNKNOWN</t>
        </is>
      </c>
      <c r="N2171" t="inlineStr">
        <is>
          <t>DEFAULT</t>
        </is>
      </c>
      <c r="Q2171" t="n">
        <v>0</v>
      </c>
      <c r="R2171" t="inlineStr">
        <is>
          <t>AUD</t>
        </is>
      </c>
      <c r="S2171" t="n">
        <v>0</v>
      </c>
      <c r="T2171" t="inlineStr">
        <is>
          <t>AUD</t>
        </is>
      </c>
      <c r="U2171" t="n">
        <v>0</v>
      </c>
    </row>
    <row r="2172">
      <c r="A2172" s="5" t="inlineStr">
        <is>
          <t>01a152b9-9052-72c4-8f95-8b1520fc11b0</t>
        </is>
      </c>
      <c r="C2172" s="5" t="inlineStr">
        <is>
          <t>01a152b9-6e67-75da-8adb-b03e5d07fd21</t>
        </is>
      </c>
      <c r="D2172" s="4" t="n">
        <v>46314.24600984867</v>
      </c>
      <c r="E2172" s="4" t="n">
        <v>46314.24600984876</v>
      </c>
      <c r="F2172" t="b">
        <v>1</v>
      </c>
      <c r="G2172" t="n">
        <v/>
      </c>
      <c r="H2172" t="inlineStr">
        <is>
          <t>TEM</t>
        </is>
      </c>
      <c r="I2172" t="inlineStr">
        <is>
          <t>Tempest Minerals Ltd</t>
        </is>
      </c>
      <c r="J2172" t="inlineStr">
        <is>
          <t>AUD</t>
        </is>
      </c>
      <c r="K2172" s="5" t="inlineStr">
        <is>
          <t>01a152b9-6ee2-7577-bddd-382bc3853fde</t>
        </is>
      </c>
      <c r="M2172" t="inlineStr">
        <is>
          <t>UNKNOWN</t>
        </is>
      </c>
      <c r="N2172" t="inlineStr">
        <is>
          <t>DEFAULT</t>
        </is>
      </c>
      <c r="Q2172" t="n">
        <v>0</v>
      </c>
      <c r="R2172" t="inlineStr">
        <is>
          <t>AUD</t>
        </is>
      </c>
      <c r="S2172" t="n">
        <v>0</v>
      </c>
      <c r="T2172" t="inlineStr">
        <is>
          <t>AUD</t>
        </is>
      </c>
      <c r="U2172" t="n">
        <v>0</v>
      </c>
    </row>
    <row r="2173">
      <c r="A2173" s="5" t="inlineStr">
        <is>
          <t>01a152b9-9056-7700-aff9-701bdf0e4f9b</t>
        </is>
      </c>
      <c r="C2173" s="5" t="inlineStr">
        <is>
          <t>01a152b9-6e67-75da-8adb-b03e5d07fd21</t>
        </is>
      </c>
      <c r="D2173" s="4" t="n">
        <v>46314.24600989775</v>
      </c>
      <c r="E2173" s="4" t="n">
        <v>46314.24600989789</v>
      </c>
      <c r="F2173" t="b">
        <v>1</v>
      </c>
      <c r="G2173" t="n">
        <v/>
      </c>
      <c r="H2173" t="inlineStr">
        <is>
          <t>CL8</t>
        </is>
      </c>
      <c r="I2173" t="inlineStr">
        <is>
          <t>Carly Holdings Ltd</t>
        </is>
      </c>
      <c r="J2173" t="inlineStr">
        <is>
          <t>AUD</t>
        </is>
      </c>
      <c r="K2173" s="5" t="inlineStr">
        <is>
          <t>01a152b9-6ee2-7577-bddd-382bc3853fde</t>
        </is>
      </c>
      <c r="M2173" t="inlineStr">
        <is>
          <t>UNKNOWN</t>
        </is>
      </c>
      <c r="N2173" t="inlineStr">
        <is>
          <t>DEFAULT</t>
        </is>
      </c>
      <c r="Q2173" t="n">
        <v>0</v>
      </c>
      <c r="R2173" t="inlineStr">
        <is>
          <t>AUD</t>
        </is>
      </c>
      <c r="S2173" t="n">
        <v>0</v>
      </c>
      <c r="T2173" t="inlineStr">
        <is>
          <t>AUD</t>
        </is>
      </c>
      <c r="U2173" t="n">
        <v>0</v>
      </c>
    </row>
    <row r="2174">
      <c r="A2174" s="5" t="inlineStr">
        <is>
          <t>01a152b9-905a-738b-a001-482f2ff9b8c3</t>
        </is>
      </c>
      <c r="C2174" s="5" t="inlineStr">
        <is>
          <t>01a152b9-6e67-75da-8adb-b03e5d07fd21</t>
        </is>
      </c>
      <c r="D2174" s="4" t="n">
        <v>46314.24600994301</v>
      </c>
      <c r="E2174" s="4" t="n">
        <v>46314.24600994316</v>
      </c>
      <c r="F2174" t="b">
        <v>1</v>
      </c>
      <c r="G2174" t="n">
        <v/>
      </c>
      <c r="H2174" t="inlineStr">
        <is>
          <t>GED</t>
        </is>
      </c>
      <c r="I2174" t="inlineStr">
        <is>
          <t>Golden Deeps Ltd</t>
        </is>
      </c>
      <c r="J2174" t="inlineStr">
        <is>
          <t>AUD</t>
        </is>
      </c>
      <c r="K2174" s="5" t="inlineStr">
        <is>
          <t>01a152b9-6ee2-7577-bddd-382bc3853fde</t>
        </is>
      </c>
      <c r="M2174" t="inlineStr">
        <is>
          <t>UNKNOWN</t>
        </is>
      </c>
      <c r="N2174" t="inlineStr">
        <is>
          <t>DEFAULT</t>
        </is>
      </c>
      <c r="Q2174" t="n">
        <v>0</v>
      </c>
      <c r="R2174" t="inlineStr">
        <is>
          <t>AUD</t>
        </is>
      </c>
      <c r="S2174" t="n">
        <v>0</v>
      </c>
      <c r="T2174" t="inlineStr">
        <is>
          <t>AUD</t>
        </is>
      </c>
      <c r="U2174" t="n">
        <v>0</v>
      </c>
    </row>
    <row r="2175">
      <c r="A2175" s="5" t="inlineStr">
        <is>
          <t>01a152b9-905f-75b0-a218-81f3a05ae99e</t>
        </is>
      </c>
      <c r="C2175" s="5" t="inlineStr">
        <is>
          <t>01a152b9-6e67-75da-8adb-b03e5d07fd21</t>
        </is>
      </c>
      <c r="D2175" s="4" t="n">
        <v>46314.2460099927</v>
      </c>
      <c r="E2175" s="4" t="n">
        <v>46314.24600999282</v>
      </c>
      <c r="F2175" t="b">
        <v>1</v>
      </c>
      <c r="G2175" t="n">
        <v/>
      </c>
      <c r="H2175" t="inlineStr">
        <is>
          <t>8IH</t>
        </is>
      </c>
      <c r="I2175" t="inlineStr">
        <is>
          <t>8I Holdings Ltd</t>
        </is>
      </c>
      <c r="J2175" t="inlineStr">
        <is>
          <t>AUD</t>
        </is>
      </c>
      <c r="K2175" s="5" t="inlineStr">
        <is>
          <t>01a152b9-6ee2-7577-bddd-382bc3853fde</t>
        </is>
      </c>
      <c r="M2175" t="inlineStr">
        <is>
          <t>UNKNOWN</t>
        </is>
      </c>
      <c r="N2175" t="inlineStr">
        <is>
          <t>DEFAULT</t>
        </is>
      </c>
      <c r="Q2175" t="n">
        <v>0</v>
      </c>
      <c r="R2175" t="inlineStr">
        <is>
          <t>AUD</t>
        </is>
      </c>
      <c r="S2175" t="n">
        <v>0</v>
      </c>
      <c r="T2175" t="inlineStr">
        <is>
          <t>AUD</t>
        </is>
      </c>
      <c r="U2175" t="n">
        <v>0</v>
      </c>
    </row>
    <row r="2176">
      <c r="A2176" s="5" t="inlineStr">
        <is>
          <t>01a152b9-9063-72e2-a396-435e82fd1cdf</t>
        </is>
      </c>
      <c r="C2176" s="5" t="inlineStr">
        <is>
          <t>01a152b9-6e67-75da-8adb-b03e5d07fd21</t>
        </is>
      </c>
      <c r="D2176" s="4" t="n">
        <v>46314.24601004011</v>
      </c>
      <c r="E2176" s="4" t="n">
        <v>46314.24601004025</v>
      </c>
      <c r="F2176" t="b">
        <v>1</v>
      </c>
      <c r="G2176" t="n">
        <v/>
      </c>
      <c r="H2176" t="inlineStr">
        <is>
          <t>CUL</t>
        </is>
      </c>
      <c r="I2176" t="inlineStr">
        <is>
          <t>Cullen Resources Ltd</t>
        </is>
      </c>
      <c r="J2176" t="inlineStr">
        <is>
          <t>AUD</t>
        </is>
      </c>
      <c r="K2176" s="5" t="inlineStr">
        <is>
          <t>01a152b9-6ee2-7577-bddd-382bc3853fde</t>
        </is>
      </c>
      <c r="M2176" t="inlineStr">
        <is>
          <t>UNKNOWN</t>
        </is>
      </c>
      <c r="N2176" t="inlineStr">
        <is>
          <t>DEFAULT</t>
        </is>
      </c>
      <c r="Q2176" t="n">
        <v>0</v>
      </c>
      <c r="R2176" t="inlineStr">
        <is>
          <t>AUD</t>
        </is>
      </c>
      <c r="S2176" t="n">
        <v>0</v>
      </c>
      <c r="T2176" t="inlineStr">
        <is>
          <t>AUD</t>
        </is>
      </c>
      <c r="U2176" t="n">
        <v>0</v>
      </c>
    </row>
    <row r="2177">
      <c r="A2177" s="5" t="inlineStr">
        <is>
          <t>01a152b9-9067-77be-8393-77c09cca6fc8</t>
        </is>
      </c>
      <c r="C2177" s="5" t="inlineStr">
        <is>
          <t>01a152b9-6e67-75da-8adb-b03e5d07fd21</t>
        </is>
      </c>
      <c r="D2177" s="4" t="n">
        <v>46314.24601008258</v>
      </c>
      <c r="E2177" s="4" t="n">
        <v>46314.24601008269</v>
      </c>
      <c r="F2177" t="b">
        <v>1</v>
      </c>
      <c r="G2177" t="n">
        <v/>
      </c>
      <c r="H2177" t="inlineStr">
        <is>
          <t>TTI</t>
        </is>
      </c>
      <c r="I2177" t="inlineStr">
        <is>
          <t>Traffic Technologies Ltd</t>
        </is>
      </c>
      <c r="J2177" t="inlineStr">
        <is>
          <t>AUD</t>
        </is>
      </c>
      <c r="K2177" s="5" t="inlineStr">
        <is>
          <t>01a152b9-6ee2-7577-bddd-382bc3853fde</t>
        </is>
      </c>
      <c r="M2177" t="inlineStr">
        <is>
          <t>UNKNOWN</t>
        </is>
      </c>
      <c r="N2177" t="inlineStr">
        <is>
          <t>DEFAULT</t>
        </is>
      </c>
      <c r="Q2177" t="n">
        <v>0</v>
      </c>
      <c r="R2177" t="inlineStr">
        <is>
          <t>AUD</t>
        </is>
      </c>
      <c r="S2177" t="n">
        <v>0</v>
      </c>
      <c r="T2177" t="inlineStr">
        <is>
          <t>AUD</t>
        </is>
      </c>
      <c r="U2177" t="n">
        <v>0</v>
      </c>
    </row>
    <row r="2178">
      <c r="A2178" s="5" t="inlineStr">
        <is>
          <t>01a152b9-906b-75f9-b5f7-a8abc73e8b2c</t>
        </is>
      </c>
      <c r="C2178" s="5" t="inlineStr">
        <is>
          <t>01a152b9-6e67-75da-8adb-b03e5d07fd21</t>
        </is>
      </c>
      <c r="D2178" s="4" t="n">
        <v>46314.24601012922</v>
      </c>
      <c r="E2178" s="4" t="n">
        <v>46314.24601012933</v>
      </c>
      <c r="F2178" t="b">
        <v>1</v>
      </c>
      <c r="G2178" t="n">
        <v/>
      </c>
      <c r="H2178" t="inlineStr">
        <is>
          <t>FASI</t>
        </is>
      </c>
      <c r="I2178" t="inlineStr">
        <is>
          <t>Fidelity Asia Active ETF</t>
        </is>
      </c>
      <c r="J2178" t="inlineStr">
        <is>
          <t>AUD</t>
        </is>
      </c>
      <c r="K2178" s="5" t="inlineStr">
        <is>
          <t>01a152b9-6ee2-7577-bddd-382bc3853fde</t>
        </is>
      </c>
      <c r="M2178" t="inlineStr">
        <is>
          <t>UNKNOWN</t>
        </is>
      </c>
      <c r="N2178" t="inlineStr">
        <is>
          <t>DEFAULT</t>
        </is>
      </c>
      <c r="Q2178" t="n">
        <v>0</v>
      </c>
      <c r="R2178" t="inlineStr">
        <is>
          <t>AUD</t>
        </is>
      </c>
      <c r="S2178" t="n">
        <v>0</v>
      </c>
      <c r="T2178" t="inlineStr">
        <is>
          <t>AUD</t>
        </is>
      </c>
      <c r="U2178" t="n">
        <v>0</v>
      </c>
    </row>
    <row r="2179">
      <c r="A2179" s="5" t="inlineStr">
        <is>
          <t>01a152b9-906e-71d6-a197-2252f2401d80</t>
        </is>
      </c>
      <c r="C2179" s="5" t="inlineStr">
        <is>
          <t>01a152b9-6e67-75da-8adb-b03e5d07fd21</t>
        </is>
      </c>
      <c r="D2179" s="4" t="n">
        <v>46314.24601017497</v>
      </c>
      <c r="E2179" s="4" t="n">
        <v>46314.24601017508</v>
      </c>
      <c r="F2179" t="b">
        <v>1</v>
      </c>
      <c r="G2179" t="n">
        <v/>
      </c>
      <c r="H2179" t="inlineStr">
        <is>
          <t>PBL</t>
        </is>
      </c>
      <c r="I2179" t="inlineStr">
        <is>
          <t>Parabellum Resources Ltd</t>
        </is>
      </c>
      <c r="J2179" t="inlineStr">
        <is>
          <t>AUD</t>
        </is>
      </c>
      <c r="K2179" s="5" t="inlineStr">
        <is>
          <t>01a152b9-6ee2-7577-bddd-382bc3853fde</t>
        </is>
      </c>
      <c r="M2179" t="inlineStr">
        <is>
          <t>UNKNOWN</t>
        </is>
      </c>
      <c r="N2179" t="inlineStr">
        <is>
          <t>DEFAULT</t>
        </is>
      </c>
      <c r="Q2179" t="n">
        <v>0</v>
      </c>
      <c r="R2179" t="inlineStr">
        <is>
          <t>AUD</t>
        </is>
      </c>
      <c r="S2179" t="n">
        <v>0</v>
      </c>
      <c r="T2179" t="inlineStr">
        <is>
          <t>AUD</t>
        </is>
      </c>
      <c r="U2179" t="n">
        <v>0</v>
      </c>
    </row>
    <row r="2180">
      <c r="A2180" s="5" t="inlineStr">
        <is>
          <t>01a152b9-9073-72ad-ab9e-7935e2ce0d74</t>
        </is>
      </c>
      <c r="C2180" s="5" t="inlineStr">
        <is>
          <t>01a152b9-6e67-75da-8adb-b03e5d07fd21</t>
        </is>
      </c>
      <c r="D2180" s="4" t="n">
        <v>46314.24601022234</v>
      </c>
      <c r="E2180" s="4" t="n">
        <v>46314.24601022246</v>
      </c>
      <c r="F2180" t="b">
        <v>1</v>
      </c>
      <c r="G2180" t="n">
        <v/>
      </c>
      <c r="H2180" t="inlineStr">
        <is>
          <t>IBX</t>
        </is>
      </c>
      <c r="I2180" t="inlineStr">
        <is>
          <t>Imagion Biosystems Ltd</t>
        </is>
      </c>
      <c r="J2180" t="inlineStr">
        <is>
          <t>AUD</t>
        </is>
      </c>
      <c r="K2180" s="5" t="inlineStr">
        <is>
          <t>01a152b9-6ee2-7577-bddd-382bc3853fde</t>
        </is>
      </c>
      <c r="M2180" t="inlineStr">
        <is>
          <t>UNKNOWN</t>
        </is>
      </c>
      <c r="N2180" t="inlineStr">
        <is>
          <t>DEFAULT</t>
        </is>
      </c>
      <c r="Q2180" t="n">
        <v>0</v>
      </c>
      <c r="R2180" t="inlineStr">
        <is>
          <t>AUD</t>
        </is>
      </c>
      <c r="S2180" t="n">
        <v>0</v>
      </c>
      <c r="T2180" t="inlineStr">
        <is>
          <t>AUD</t>
        </is>
      </c>
      <c r="U2180" t="n">
        <v>0</v>
      </c>
    </row>
    <row r="2181">
      <c r="A2181" s="5" t="inlineStr">
        <is>
          <t>01a152b9-9077-7798-a086-f3f9da1c1a60</t>
        </is>
      </c>
      <c r="C2181" s="5" t="inlineStr">
        <is>
          <t>01a152b9-6e67-75da-8adb-b03e5d07fd21</t>
        </is>
      </c>
      <c r="D2181" s="4" t="n">
        <v>46314.24601026902</v>
      </c>
      <c r="E2181" s="4" t="n">
        <v>46314.24601026914</v>
      </c>
      <c r="F2181" t="b">
        <v>1</v>
      </c>
      <c r="G2181" t="n">
        <v/>
      </c>
      <c r="H2181" t="inlineStr">
        <is>
          <t>CUS</t>
        </is>
      </c>
      <c r="I2181" t="inlineStr">
        <is>
          <t>Copper Search Ltd</t>
        </is>
      </c>
      <c r="J2181" t="inlineStr">
        <is>
          <t>AUD</t>
        </is>
      </c>
      <c r="K2181" s="5" t="inlineStr">
        <is>
          <t>01a152b9-6ee2-7577-bddd-382bc3853fde</t>
        </is>
      </c>
      <c r="M2181" t="inlineStr">
        <is>
          <t>UNKNOWN</t>
        </is>
      </c>
      <c r="N2181" t="inlineStr">
        <is>
          <t>DEFAULT</t>
        </is>
      </c>
      <c r="Q2181" t="n">
        <v>0</v>
      </c>
      <c r="R2181" t="inlineStr">
        <is>
          <t>AUD</t>
        </is>
      </c>
      <c r="S2181" t="n">
        <v>0</v>
      </c>
      <c r="T2181" t="inlineStr">
        <is>
          <t>AUD</t>
        </is>
      </c>
      <c r="U2181" t="n">
        <v>0</v>
      </c>
    </row>
    <row r="2182">
      <c r="A2182" s="5" t="inlineStr">
        <is>
          <t>01a152b9-907b-7308-93e4-f6cbf446666d</t>
        </is>
      </c>
      <c r="C2182" s="5" t="inlineStr">
        <is>
          <t>01a152b9-6e67-75da-8adb-b03e5d07fd21</t>
        </is>
      </c>
      <c r="D2182" s="4" t="n">
        <v>46314.24601031776</v>
      </c>
      <c r="E2182" s="4" t="n">
        <v>46314.2460103179</v>
      </c>
      <c r="F2182" t="b">
        <v>1</v>
      </c>
      <c r="G2182" t="n">
        <v/>
      </c>
      <c r="H2182" t="inlineStr">
        <is>
          <t>EFE</t>
        </is>
      </c>
      <c r="I2182" t="inlineStr">
        <is>
          <t>Eastern Resources Ltd</t>
        </is>
      </c>
      <c r="J2182" t="inlineStr">
        <is>
          <t>AUD</t>
        </is>
      </c>
      <c r="K2182" s="5" t="inlineStr">
        <is>
          <t>01a152b9-6ee2-7577-bddd-382bc3853fde</t>
        </is>
      </c>
      <c r="M2182" t="inlineStr">
        <is>
          <t>UNKNOWN</t>
        </is>
      </c>
      <c r="N2182" t="inlineStr">
        <is>
          <t>DEFAULT</t>
        </is>
      </c>
      <c r="Q2182" t="n">
        <v>0</v>
      </c>
      <c r="R2182" t="inlineStr">
        <is>
          <t>AUD</t>
        </is>
      </c>
      <c r="S2182" t="n">
        <v>0</v>
      </c>
      <c r="T2182" t="inlineStr">
        <is>
          <t>AUD</t>
        </is>
      </c>
      <c r="U2182" t="n">
        <v>0</v>
      </c>
    </row>
    <row r="2183">
      <c r="A2183" s="5" t="inlineStr">
        <is>
          <t>01a152b9-907f-74ec-a2d1-1695a34f1541</t>
        </is>
      </c>
      <c r="C2183" s="5" t="inlineStr">
        <is>
          <t>01a152b9-6e67-75da-8adb-b03e5d07fd21</t>
        </is>
      </c>
      <c r="D2183" s="4" t="n">
        <v>46314.24601036772</v>
      </c>
      <c r="E2183" s="4" t="n">
        <v>46314.24601036784</v>
      </c>
      <c r="F2183" t="b">
        <v>1</v>
      </c>
      <c r="G2183" t="n">
        <v/>
      </c>
      <c r="H2183" t="inlineStr">
        <is>
          <t>CMX</t>
        </is>
      </c>
      <c r="I2183" t="inlineStr">
        <is>
          <t>CHEMX Materials Ltd</t>
        </is>
      </c>
      <c r="J2183" t="inlineStr">
        <is>
          <t>AUD</t>
        </is>
      </c>
      <c r="K2183" s="5" t="inlineStr">
        <is>
          <t>01a152b9-6ee2-7577-bddd-382bc3853fde</t>
        </is>
      </c>
      <c r="M2183" t="inlineStr">
        <is>
          <t>UNKNOWN</t>
        </is>
      </c>
      <c r="N2183" t="inlineStr">
        <is>
          <t>DEFAULT</t>
        </is>
      </c>
      <c r="Q2183" t="n">
        <v>0</v>
      </c>
      <c r="R2183" t="inlineStr">
        <is>
          <t>AUD</t>
        </is>
      </c>
      <c r="S2183" t="n">
        <v>0</v>
      </c>
      <c r="T2183" t="inlineStr">
        <is>
          <t>AUD</t>
        </is>
      </c>
      <c r="U2183" t="n">
        <v>0</v>
      </c>
    </row>
    <row r="2184">
      <c r="A2184" s="5" t="inlineStr">
        <is>
          <t>01a152b9-9083-75eb-b93d-1cda3bf0478b</t>
        </is>
      </c>
      <c r="C2184" s="5" t="inlineStr">
        <is>
          <t>01a152b9-6e67-75da-8adb-b03e5d07fd21</t>
        </is>
      </c>
      <c r="D2184" s="4" t="n">
        <v>46314.24601040909</v>
      </c>
      <c r="E2184" s="4" t="n">
        <v>46314.2460104092</v>
      </c>
      <c r="F2184" t="b">
        <v>1</v>
      </c>
      <c r="G2184" t="n">
        <v/>
      </c>
      <c r="H2184" t="inlineStr">
        <is>
          <t>NC6</t>
        </is>
      </c>
      <c r="I2184" t="inlineStr">
        <is>
          <t>Nanollose Ltd</t>
        </is>
      </c>
      <c r="J2184" t="inlineStr">
        <is>
          <t>AUD</t>
        </is>
      </c>
      <c r="K2184" s="5" t="inlineStr">
        <is>
          <t>01a152b9-6ee2-7577-bddd-382bc3853fde</t>
        </is>
      </c>
      <c r="M2184" t="inlineStr">
        <is>
          <t>UNKNOWN</t>
        </is>
      </c>
      <c r="N2184" t="inlineStr">
        <is>
          <t>DEFAULT</t>
        </is>
      </c>
      <c r="Q2184" t="n">
        <v>0</v>
      </c>
      <c r="R2184" t="inlineStr">
        <is>
          <t>AUD</t>
        </is>
      </c>
      <c r="S2184" t="n">
        <v>0</v>
      </c>
      <c r="T2184" t="inlineStr">
        <is>
          <t>AUD</t>
        </is>
      </c>
      <c r="U2184" t="n">
        <v>0</v>
      </c>
    </row>
    <row r="2185">
      <c r="A2185" s="5" t="inlineStr">
        <is>
          <t>01a152b9-9087-7402-b097-1a9139f500fa</t>
        </is>
      </c>
      <c r="C2185" s="5" t="inlineStr">
        <is>
          <t>01a152b9-6e67-75da-8adb-b03e5d07fd21</t>
        </is>
      </c>
      <c r="D2185" s="4" t="n">
        <v>46314.24601045602</v>
      </c>
      <c r="E2185" s="4" t="n">
        <v>46314.24601045613</v>
      </c>
      <c r="F2185" t="b">
        <v>1</v>
      </c>
      <c r="G2185" t="n">
        <v/>
      </c>
      <c r="H2185" t="inlineStr">
        <is>
          <t>SIS</t>
        </is>
      </c>
      <c r="I2185" t="inlineStr">
        <is>
          <t>Simble Solutions Ltd</t>
        </is>
      </c>
      <c r="J2185" t="inlineStr">
        <is>
          <t>AUD</t>
        </is>
      </c>
      <c r="K2185" s="5" t="inlineStr">
        <is>
          <t>01a152b9-6ee2-7577-bddd-382bc3853fde</t>
        </is>
      </c>
      <c r="M2185" t="inlineStr">
        <is>
          <t>UNKNOWN</t>
        </is>
      </c>
      <c r="N2185" t="inlineStr">
        <is>
          <t>DEFAULT</t>
        </is>
      </c>
      <c r="Q2185" t="n">
        <v>0</v>
      </c>
      <c r="R2185" t="inlineStr">
        <is>
          <t>AUD</t>
        </is>
      </c>
      <c r="S2185" t="n">
        <v>0</v>
      </c>
      <c r="T2185" t="inlineStr">
        <is>
          <t>AUD</t>
        </is>
      </c>
      <c r="U2185" t="n">
        <v>0</v>
      </c>
    </row>
    <row r="2186">
      <c r="A2186" s="5" t="inlineStr">
        <is>
          <t>01a152b9-908a-7776-9999-62d785cfead7</t>
        </is>
      </c>
      <c r="C2186" s="5" t="inlineStr">
        <is>
          <t>01a152b9-6e67-75da-8adb-b03e5d07fd21</t>
        </is>
      </c>
      <c r="D2186" s="4" t="n">
        <v>46314.24601049903</v>
      </c>
      <c r="E2186" s="4" t="n">
        <v>46314.24601049913</v>
      </c>
      <c r="F2186" t="b">
        <v>1</v>
      </c>
      <c r="G2186" t="n">
        <v/>
      </c>
      <c r="H2186" t="inlineStr">
        <is>
          <t>ALB</t>
        </is>
      </c>
      <c r="I2186" t="inlineStr">
        <is>
          <t>Albion Resources Ltd</t>
        </is>
      </c>
      <c r="J2186" t="inlineStr">
        <is>
          <t>AUD</t>
        </is>
      </c>
      <c r="K2186" s="5" t="inlineStr">
        <is>
          <t>01a152b9-6ee2-7577-bddd-382bc3853fde</t>
        </is>
      </c>
      <c r="M2186" t="inlineStr">
        <is>
          <t>UNKNOWN</t>
        </is>
      </c>
      <c r="N2186" t="inlineStr">
        <is>
          <t>DEFAULT</t>
        </is>
      </c>
      <c r="Q2186" t="n">
        <v>0</v>
      </c>
      <c r="R2186" t="inlineStr">
        <is>
          <t>AUD</t>
        </is>
      </c>
      <c r="S2186" t="n">
        <v>0</v>
      </c>
      <c r="T2186" t="inlineStr">
        <is>
          <t>AUD</t>
        </is>
      </c>
      <c r="U2186" t="n">
        <v>0</v>
      </c>
    </row>
    <row r="2187">
      <c r="A2187" s="5" t="inlineStr">
        <is>
          <t>01a152b9-908e-7202-85c4-1dcc0d924ab7</t>
        </is>
      </c>
      <c r="C2187" s="5" t="inlineStr">
        <is>
          <t>01a152b9-6e67-75da-8adb-b03e5d07fd21</t>
        </is>
      </c>
      <c r="D2187" s="4" t="n">
        <v>46314.2460105428</v>
      </c>
      <c r="E2187" s="4" t="n">
        <v>46314.24601054291</v>
      </c>
      <c r="F2187" t="b">
        <v>1</v>
      </c>
      <c r="G2187" t="n">
        <v/>
      </c>
      <c r="H2187" t="inlineStr">
        <is>
          <t>L1HI</t>
        </is>
      </c>
      <c r="I2187" t="inlineStr">
        <is>
          <t>L1 Capital International (Hedged) Active ETF</t>
        </is>
      </c>
      <c r="J2187" t="inlineStr">
        <is>
          <t>AUD</t>
        </is>
      </c>
      <c r="K2187" s="5" t="inlineStr">
        <is>
          <t>01a152b9-6ee2-7577-bddd-382bc3853fde</t>
        </is>
      </c>
      <c r="M2187" t="inlineStr">
        <is>
          <t>UNKNOWN</t>
        </is>
      </c>
      <c r="N2187" t="inlineStr">
        <is>
          <t>DEFAULT</t>
        </is>
      </c>
      <c r="Q2187" t="n">
        <v>0</v>
      </c>
      <c r="R2187" t="inlineStr">
        <is>
          <t>AUD</t>
        </is>
      </c>
      <c r="S2187" t="n">
        <v>0</v>
      </c>
      <c r="T2187" t="inlineStr">
        <is>
          <t>AUD</t>
        </is>
      </c>
      <c r="U2187" t="n">
        <v>0</v>
      </c>
    </row>
    <row r="2188">
      <c r="A2188" s="5" t="inlineStr">
        <is>
          <t>01a152b9-9091-7762-9388-99ccbcfdf665</t>
        </is>
      </c>
      <c r="C2188" s="5" t="inlineStr">
        <is>
          <t>01a152b9-6e67-75da-8adb-b03e5d07fd21</t>
        </is>
      </c>
      <c r="D2188" s="4" t="n">
        <v>46314.2460105787</v>
      </c>
      <c r="E2188" s="4" t="n">
        <v>46314.2460105788</v>
      </c>
      <c r="F2188" t="b">
        <v>1</v>
      </c>
      <c r="G2188" t="n">
        <v/>
      </c>
      <c r="H2188" t="inlineStr">
        <is>
          <t>NZS</t>
        </is>
      </c>
      <c r="I2188" t="inlineStr">
        <is>
          <t>New Zealand Coastal Seafoods Ltd</t>
        </is>
      </c>
      <c r="J2188" t="inlineStr">
        <is>
          <t>AUD</t>
        </is>
      </c>
      <c r="K2188" s="5" t="inlineStr">
        <is>
          <t>01a152b9-6ee2-7577-bddd-382bc3853fde</t>
        </is>
      </c>
      <c r="M2188" t="inlineStr">
        <is>
          <t>UNKNOWN</t>
        </is>
      </c>
      <c r="N2188" t="inlineStr">
        <is>
          <t>DEFAULT</t>
        </is>
      </c>
      <c r="Q2188" t="n">
        <v>0</v>
      </c>
      <c r="R2188" t="inlineStr">
        <is>
          <t>AUD</t>
        </is>
      </c>
      <c r="S2188" t="n">
        <v>0</v>
      </c>
      <c r="T2188" t="inlineStr">
        <is>
          <t>AUD</t>
        </is>
      </c>
      <c r="U2188" t="n">
        <v>0</v>
      </c>
    </row>
    <row r="2189">
      <c r="A2189" s="5" t="inlineStr">
        <is>
          <t>01a152b9-9095-72a1-984b-778883779b7d</t>
        </is>
      </c>
      <c r="C2189" s="5" t="inlineStr">
        <is>
          <t>01a152b9-6e67-75da-8adb-b03e5d07fd21</t>
        </is>
      </c>
      <c r="D2189" s="4" t="n">
        <v>46314.24601062355</v>
      </c>
      <c r="E2189" s="4" t="n">
        <v>46314.24601062365</v>
      </c>
      <c r="F2189" t="b">
        <v>1</v>
      </c>
      <c r="G2189" t="n">
        <v/>
      </c>
      <c r="H2189" t="inlineStr">
        <is>
          <t>OMX</t>
        </is>
      </c>
      <c r="I2189" t="inlineStr">
        <is>
          <t>Orange Minerals NL</t>
        </is>
      </c>
      <c r="J2189" t="inlineStr">
        <is>
          <t>AUD</t>
        </is>
      </c>
      <c r="K2189" s="5" t="inlineStr">
        <is>
          <t>01a152b9-6ee2-7577-bddd-382bc3853fde</t>
        </is>
      </c>
      <c r="M2189" t="inlineStr">
        <is>
          <t>UNKNOWN</t>
        </is>
      </c>
      <c r="N2189" t="inlineStr">
        <is>
          <t>DEFAULT</t>
        </is>
      </c>
      <c r="Q2189" t="n">
        <v>0</v>
      </c>
      <c r="R2189" t="inlineStr">
        <is>
          <t>AUD</t>
        </is>
      </c>
      <c r="S2189" t="n">
        <v>0</v>
      </c>
      <c r="T2189" t="inlineStr">
        <is>
          <t>AUD</t>
        </is>
      </c>
      <c r="U2189" t="n">
        <v>0</v>
      </c>
    </row>
    <row r="2190">
      <c r="A2190" s="5" t="inlineStr">
        <is>
          <t>01a152b9-9099-73a8-b6e6-9febfccc38f8</t>
        </is>
      </c>
      <c r="C2190" s="5" t="inlineStr">
        <is>
          <t>01a152b9-6e67-75da-8adb-b03e5d07fd21</t>
        </is>
      </c>
      <c r="D2190" s="4" t="n">
        <v>46314.24601066213</v>
      </c>
      <c r="E2190" s="4" t="n">
        <v>46314.24601066222</v>
      </c>
      <c r="F2190" t="b">
        <v>1</v>
      </c>
      <c r="G2190" t="n">
        <v/>
      </c>
      <c r="H2190" t="inlineStr">
        <is>
          <t>OXT</t>
        </is>
      </c>
      <c r="I2190" t="inlineStr">
        <is>
          <t>Orexplore Technologies Ltd</t>
        </is>
      </c>
      <c r="J2190" t="inlineStr">
        <is>
          <t>AUD</t>
        </is>
      </c>
      <c r="K2190" s="5" t="inlineStr">
        <is>
          <t>01a152b9-6ee2-7577-bddd-382bc3853fde</t>
        </is>
      </c>
      <c r="M2190" t="inlineStr">
        <is>
          <t>UNKNOWN</t>
        </is>
      </c>
      <c r="N2190" t="inlineStr">
        <is>
          <t>DEFAULT</t>
        </is>
      </c>
      <c r="Q2190" t="n">
        <v>0</v>
      </c>
      <c r="R2190" t="inlineStr">
        <is>
          <t>AUD</t>
        </is>
      </c>
      <c r="S2190" t="n">
        <v>0</v>
      </c>
      <c r="T2190" t="inlineStr">
        <is>
          <t>AUD</t>
        </is>
      </c>
      <c r="U2190" t="n">
        <v>0</v>
      </c>
    </row>
    <row r="2191">
      <c r="A2191" s="5" t="inlineStr">
        <is>
          <t>01a152b9-909c-7698-a04d-9cffd04d40ed</t>
        </is>
      </c>
      <c r="C2191" s="5" t="inlineStr">
        <is>
          <t>01a152b9-6e67-75da-8adb-b03e5d07fd21</t>
        </is>
      </c>
      <c r="D2191" s="4" t="n">
        <v>46314.24601070273</v>
      </c>
      <c r="E2191" s="4" t="n">
        <v>46314.24601070286</v>
      </c>
      <c r="F2191" t="b">
        <v>1</v>
      </c>
      <c r="G2191" t="n">
        <v/>
      </c>
      <c r="H2191" t="inlineStr">
        <is>
          <t>TD1</t>
        </is>
      </c>
      <c r="I2191" t="inlineStr">
        <is>
          <t>Tali Digital Ltd</t>
        </is>
      </c>
      <c r="J2191" t="inlineStr">
        <is>
          <t>AUD</t>
        </is>
      </c>
      <c r="K2191" s="5" t="inlineStr">
        <is>
          <t>01a152b9-6ee2-7577-bddd-382bc3853fde</t>
        </is>
      </c>
      <c r="M2191" t="inlineStr">
        <is>
          <t>UNKNOWN</t>
        </is>
      </c>
      <c r="N2191" t="inlineStr">
        <is>
          <t>DEFAULT</t>
        </is>
      </c>
      <c r="Q2191" t="n">
        <v>0</v>
      </c>
      <c r="R2191" t="inlineStr">
        <is>
          <t>AUD</t>
        </is>
      </c>
      <c r="S2191" t="n">
        <v>0</v>
      </c>
      <c r="T2191" t="inlineStr">
        <is>
          <t>AUD</t>
        </is>
      </c>
      <c r="U2191" t="n">
        <v>0</v>
      </c>
    </row>
    <row r="2192">
      <c r="A2192" s="5" t="inlineStr">
        <is>
          <t>01a152b9-90a0-733e-94fa-eb60a9a98aec</t>
        </is>
      </c>
      <c r="C2192" s="5" t="inlineStr">
        <is>
          <t>01a152b9-6e67-75da-8adb-b03e5d07fd21</t>
        </is>
      </c>
      <c r="D2192" s="4" t="n">
        <v>46314.24601075101</v>
      </c>
      <c r="E2192" s="4" t="n">
        <v>46314.24601075112</v>
      </c>
      <c r="F2192" t="b">
        <v>1</v>
      </c>
      <c r="G2192" t="n">
        <v/>
      </c>
      <c r="H2192" t="inlineStr">
        <is>
          <t>PKO</t>
        </is>
      </c>
      <c r="I2192" t="inlineStr">
        <is>
          <t>Peako Ltd</t>
        </is>
      </c>
      <c r="J2192" t="inlineStr">
        <is>
          <t>AUD</t>
        </is>
      </c>
      <c r="K2192" s="5" t="inlineStr">
        <is>
          <t>01a152b9-6ee2-7577-bddd-382bc3853fde</t>
        </is>
      </c>
      <c r="M2192" t="inlineStr">
        <is>
          <t>UNKNOWN</t>
        </is>
      </c>
      <c r="N2192" t="inlineStr">
        <is>
          <t>DEFAULT</t>
        </is>
      </c>
      <c r="Q2192" t="n">
        <v>0</v>
      </c>
      <c r="R2192" t="inlineStr">
        <is>
          <t>AUD</t>
        </is>
      </c>
      <c r="S2192" t="n">
        <v>0</v>
      </c>
      <c r="T2192" t="inlineStr">
        <is>
          <t>AUD</t>
        </is>
      </c>
      <c r="U2192" t="n">
        <v>0</v>
      </c>
    </row>
    <row r="2193">
      <c r="A2193" s="5" t="inlineStr">
        <is>
          <t>01a152b9-90a4-7468-bbbc-ce30afbabf4b</t>
        </is>
      </c>
      <c r="C2193" s="5" t="inlineStr">
        <is>
          <t>01a152b9-6e67-75da-8adb-b03e5d07fd21</t>
        </is>
      </c>
      <c r="D2193" s="4" t="n">
        <v>46314.24601079454</v>
      </c>
      <c r="E2193" s="4" t="n">
        <v>46314.24601079465</v>
      </c>
      <c r="F2193" t="b">
        <v>1</v>
      </c>
      <c r="G2193" t="n">
        <v/>
      </c>
      <c r="H2193" t="inlineStr">
        <is>
          <t>BTM</t>
        </is>
      </c>
      <c r="I2193" t="inlineStr">
        <is>
          <t>Breakthrough Minerals Ltd</t>
        </is>
      </c>
      <c r="J2193" t="inlineStr">
        <is>
          <t>AUD</t>
        </is>
      </c>
      <c r="K2193" s="5" t="inlineStr">
        <is>
          <t>01a152b9-6ee2-7577-bddd-382bc3853fde</t>
        </is>
      </c>
      <c r="M2193" t="inlineStr">
        <is>
          <t>UNKNOWN</t>
        </is>
      </c>
      <c r="N2193" t="inlineStr">
        <is>
          <t>DEFAULT</t>
        </is>
      </c>
      <c r="Q2193" t="n">
        <v>0</v>
      </c>
      <c r="R2193" t="inlineStr">
        <is>
          <t>AUD</t>
        </is>
      </c>
      <c r="S2193" t="n">
        <v>0</v>
      </c>
      <c r="T2193" t="inlineStr">
        <is>
          <t>AUD</t>
        </is>
      </c>
      <c r="U2193" t="n">
        <v>0</v>
      </c>
    </row>
    <row r="2194">
      <c r="A2194" s="5" t="inlineStr">
        <is>
          <t>01a152b9-90a7-7224-b460-5b4389bc99cc</t>
        </is>
      </c>
      <c r="C2194" s="5" t="inlineStr">
        <is>
          <t>01a152b9-6e67-75da-8adb-b03e5d07fd21</t>
        </is>
      </c>
      <c r="D2194" s="4" t="n">
        <v>46314.24601083007</v>
      </c>
      <c r="E2194" s="4" t="n">
        <v>46314.2460108302</v>
      </c>
      <c r="F2194" t="b">
        <v>1</v>
      </c>
      <c r="G2194" t="n">
        <v/>
      </c>
      <c r="H2194" t="inlineStr">
        <is>
          <t>M3M</t>
        </is>
      </c>
      <c r="I2194" t="inlineStr">
        <is>
          <t>M3 Mining Ltd</t>
        </is>
      </c>
      <c r="J2194" t="inlineStr">
        <is>
          <t>AUD</t>
        </is>
      </c>
      <c r="K2194" s="5" t="inlineStr">
        <is>
          <t>01a152b9-6ee2-7577-bddd-382bc3853fde</t>
        </is>
      </c>
      <c r="M2194" t="inlineStr">
        <is>
          <t>UNKNOWN</t>
        </is>
      </c>
      <c r="N2194" t="inlineStr">
        <is>
          <t>DEFAULT</t>
        </is>
      </c>
      <c r="Q2194" t="n">
        <v>0</v>
      </c>
      <c r="R2194" t="inlineStr">
        <is>
          <t>AUD</t>
        </is>
      </c>
      <c r="S2194" t="n">
        <v>0</v>
      </c>
      <c r="T2194" t="inlineStr">
        <is>
          <t>AUD</t>
        </is>
      </c>
      <c r="U2194" t="n">
        <v>0</v>
      </c>
    </row>
    <row r="2195">
      <c r="A2195" s="5" t="inlineStr">
        <is>
          <t>01a152b9-90ab-73d4-b400-d287eed390ea</t>
        </is>
      </c>
      <c r="C2195" s="5" t="inlineStr">
        <is>
          <t>01a152b9-6e67-75da-8adb-b03e5d07fd21</t>
        </is>
      </c>
      <c r="D2195" s="4" t="n">
        <v>46314.24601087173</v>
      </c>
      <c r="E2195" s="4" t="n">
        <v>46314.24601087189</v>
      </c>
      <c r="F2195" t="b">
        <v>1</v>
      </c>
      <c r="G2195" t="n">
        <v/>
      </c>
      <c r="H2195" t="inlineStr">
        <is>
          <t>THR</t>
        </is>
      </c>
      <c r="I2195" t="inlineStr">
        <is>
          <t>Thor Energy Plc</t>
        </is>
      </c>
      <c r="J2195" t="inlineStr">
        <is>
          <t>AUD</t>
        </is>
      </c>
      <c r="K2195" s="5" t="inlineStr">
        <is>
          <t>01a152b9-6ee2-7577-bddd-382bc3853fde</t>
        </is>
      </c>
      <c r="M2195" t="inlineStr">
        <is>
          <t>UNKNOWN</t>
        </is>
      </c>
      <c r="N2195" t="inlineStr">
        <is>
          <t>DEFAULT</t>
        </is>
      </c>
      <c r="Q2195" t="n">
        <v>0</v>
      </c>
      <c r="R2195" t="inlineStr">
        <is>
          <t>AUD</t>
        </is>
      </c>
      <c r="S2195" t="n">
        <v>0</v>
      </c>
      <c r="T2195" t="inlineStr">
        <is>
          <t>AUD</t>
        </is>
      </c>
      <c r="U2195" t="n">
        <v>0</v>
      </c>
    </row>
    <row r="2196">
      <c r="A2196" s="5" t="inlineStr">
        <is>
          <t>01a152b9-90af-7628-a3e8-d98e127568c1</t>
        </is>
      </c>
      <c r="C2196" s="5" t="inlineStr">
        <is>
          <t>01a152b9-6e67-75da-8adb-b03e5d07fd21</t>
        </is>
      </c>
      <c r="D2196" s="4" t="n">
        <v>46314.24601091839</v>
      </c>
      <c r="E2196" s="4" t="n">
        <v>46314.24601091853</v>
      </c>
      <c r="F2196" t="b">
        <v>1</v>
      </c>
      <c r="G2196" t="n">
        <v/>
      </c>
      <c r="H2196" t="inlineStr">
        <is>
          <t>OZXX</t>
        </is>
      </c>
      <c r="I2196" t="inlineStr">
        <is>
          <t>Global X Australia Ex Financials &amp; Resources ETF</t>
        </is>
      </c>
      <c r="J2196" t="inlineStr">
        <is>
          <t>AUD</t>
        </is>
      </c>
      <c r="K2196" s="5" t="inlineStr">
        <is>
          <t>01a152b9-6ee2-7577-bddd-382bc3853fde</t>
        </is>
      </c>
      <c r="M2196" t="inlineStr">
        <is>
          <t>UNKNOWN</t>
        </is>
      </c>
      <c r="N2196" t="inlineStr">
        <is>
          <t>DEFAULT</t>
        </is>
      </c>
      <c r="Q2196" t="n">
        <v>0</v>
      </c>
      <c r="R2196" t="inlineStr">
        <is>
          <t>AUD</t>
        </is>
      </c>
      <c r="S2196" t="n">
        <v>0</v>
      </c>
      <c r="T2196" t="inlineStr">
        <is>
          <t>AUD</t>
        </is>
      </c>
      <c r="U2196" t="n">
        <v>0</v>
      </c>
    </row>
    <row r="2197">
      <c r="A2197" s="5" t="inlineStr">
        <is>
          <t>01a152b9-90b2-73a6-b642-952e017aad46</t>
        </is>
      </c>
      <c r="C2197" s="5" t="inlineStr">
        <is>
          <t>01a152b9-6e67-75da-8adb-b03e5d07fd21</t>
        </is>
      </c>
      <c r="D2197" s="4" t="n">
        <v>46314.24601096186</v>
      </c>
      <c r="E2197" s="4" t="n">
        <v>46314.24601096196</v>
      </c>
      <c r="F2197" t="b">
        <v>1</v>
      </c>
      <c r="G2197" t="n">
        <v/>
      </c>
      <c r="H2197" t="inlineStr">
        <is>
          <t>ERW</t>
        </is>
      </c>
      <c r="I2197" t="inlineStr">
        <is>
          <t>Errawarra Resources Ltd</t>
        </is>
      </c>
      <c r="J2197" t="inlineStr">
        <is>
          <t>AUD</t>
        </is>
      </c>
      <c r="K2197" s="5" t="inlineStr">
        <is>
          <t>01a152b9-6ee2-7577-bddd-382bc3853fde</t>
        </is>
      </c>
      <c r="M2197" t="inlineStr">
        <is>
          <t>UNKNOWN</t>
        </is>
      </c>
      <c r="N2197" t="inlineStr">
        <is>
          <t>DEFAULT</t>
        </is>
      </c>
      <c r="Q2197" t="n">
        <v>0</v>
      </c>
      <c r="R2197" t="inlineStr">
        <is>
          <t>AUD</t>
        </is>
      </c>
      <c r="S2197" t="n">
        <v>0</v>
      </c>
      <c r="T2197" t="inlineStr">
        <is>
          <t>AUD</t>
        </is>
      </c>
      <c r="U2197" t="n">
        <v>0</v>
      </c>
    </row>
    <row r="2198">
      <c r="A2198" s="5" t="inlineStr">
        <is>
          <t>01a152b9-90b6-75b9-ab4d-a09f89df94da</t>
        </is>
      </c>
      <c r="C2198" s="5" t="inlineStr">
        <is>
          <t>01a152b9-6e67-75da-8adb-b03e5d07fd21</t>
        </is>
      </c>
      <c r="D2198" s="4" t="n">
        <v>46314.24601100574</v>
      </c>
      <c r="E2198" s="4" t="n">
        <v>46314.24601100589</v>
      </c>
      <c r="F2198" t="b">
        <v>1</v>
      </c>
      <c r="G2198" t="n">
        <v/>
      </c>
      <c r="H2198" t="inlineStr">
        <is>
          <t>JHLO</t>
        </is>
      </c>
      <c r="I2198" t="inlineStr">
        <is>
          <t>Jpmorgan Global Select Equity (Hedged) Active ETF</t>
        </is>
      </c>
      <c r="J2198" t="inlineStr">
        <is>
          <t>AUD</t>
        </is>
      </c>
      <c r="K2198" s="5" t="inlineStr">
        <is>
          <t>01a152b9-6ee2-7577-bddd-382bc3853fde</t>
        </is>
      </c>
      <c r="M2198" t="inlineStr">
        <is>
          <t>UNKNOWN</t>
        </is>
      </c>
      <c r="N2198" t="inlineStr">
        <is>
          <t>DEFAULT</t>
        </is>
      </c>
      <c r="Q2198" t="n">
        <v>0</v>
      </c>
      <c r="R2198" t="inlineStr">
        <is>
          <t>AUD</t>
        </is>
      </c>
      <c r="S2198" t="n">
        <v>0</v>
      </c>
      <c r="T2198" t="inlineStr">
        <is>
          <t>AUD</t>
        </is>
      </c>
      <c r="U2198" t="n">
        <v>0</v>
      </c>
    </row>
    <row r="2199">
      <c r="A2199" s="5" t="inlineStr">
        <is>
          <t>01a152b9-90ba-7769-8e00-7587384c7369</t>
        </is>
      </c>
      <c r="C2199" s="5" t="inlineStr">
        <is>
          <t>01a152b9-6e67-75da-8adb-b03e5d07fd21</t>
        </is>
      </c>
      <c r="D2199" s="4" t="n">
        <v>46314.24601105272</v>
      </c>
      <c r="E2199" s="4" t="n">
        <v>46314.24601105286</v>
      </c>
      <c r="F2199" t="b">
        <v>1</v>
      </c>
      <c r="G2199" t="n">
        <v/>
      </c>
      <c r="H2199" t="inlineStr">
        <is>
          <t>IBUY</t>
        </is>
      </c>
      <c r="I2199" t="inlineStr">
        <is>
          <t>Betashares Online Retail and E-Commerce ETF</t>
        </is>
      </c>
      <c r="J2199" t="inlineStr">
        <is>
          <t>AUD</t>
        </is>
      </c>
      <c r="K2199" s="5" t="inlineStr">
        <is>
          <t>01a152b9-6ee2-7577-bddd-382bc3853fde</t>
        </is>
      </c>
      <c r="M2199" t="inlineStr">
        <is>
          <t>UNKNOWN</t>
        </is>
      </c>
      <c r="N2199" t="inlineStr">
        <is>
          <t>DEFAULT</t>
        </is>
      </c>
      <c r="Q2199" t="n">
        <v>0</v>
      </c>
      <c r="R2199" t="inlineStr">
        <is>
          <t>AUD</t>
        </is>
      </c>
      <c r="S2199" t="n">
        <v>0</v>
      </c>
      <c r="T2199" t="inlineStr">
        <is>
          <t>AUD</t>
        </is>
      </c>
      <c r="U2199" t="n">
        <v>0</v>
      </c>
    </row>
    <row r="2200">
      <c r="A2200" s="5" t="inlineStr">
        <is>
          <t>01a152b9-90be-705e-adde-a0676378499f</t>
        </is>
      </c>
      <c r="C2200" s="5" t="inlineStr">
        <is>
          <t>01a152b9-6e67-75da-8adb-b03e5d07fd21</t>
        </is>
      </c>
      <c r="D2200" s="4" t="n">
        <v>46314.24601109587</v>
      </c>
      <c r="E2200" s="4" t="n">
        <v>46314.24601109599</v>
      </c>
      <c r="F2200" t="b">
        <v>1</v>
      </c>
      <c r="G2200" t="n">
        <v/>
      </c>
      <c r="H2200" t="inlineStr">
        <is>
          <t>EEL</t>
        </is>
      </c>
      <c r="I2200" t="inlineStr">
        <is>
          <t>Enrg Elements Ltd</t>
        </is>
      </c>
      <c r="J2200" t="inlineStr">
        <is>
          <t>AUD</t>
        </is>
      </c>
      <c r="K2200" s="5" t="inlineStr">
        <is>
          <t>01a152b9-6ee2-7577-bddd-382bc3853fde</t>
        </is>
      </c>
      <c r="M2200" t="inlineStr">
        <is>
          <t>UNKNOWN</t>
        </is>
      </c>
      <c r="N2200" t="inlineStr">
        <is>
          <t>DEFAULT</t>
        </is>
      </c>
      <c r="Q2200" t="n">
        <v>0</v>
      </c>
      <c r="R2200" t="inlineStr">
        <is>
          <t>AUD</t>
        </is>
      </c>
      <c r="S2200" t="n">
        <v>0</v>
      </c>
      <c r="T2200" t="inlineStr">
        <is>
          <t>AUD</t>
        </is>
      </c>
      <c r="U2200" t="n">
        <v>0</v>
      </c>
    </row>
    <row r="2201">
      <c r="A2201" s="5" t="inlineStr">
        <is>
          <t>01a152b9-90c2-70e3-aa89-97999f7eccbc</t>
        </is>
      </c>
      <c r="C2201" s="5" t="inlineStr">
        <is>
          <t>01a152b9-6e67-75da-8adb-b03e5d07fd21</t>
        </is>
      </c>
      <c r="D2201" s="4" t="n">
        <v>46314.24601114159</v>
      </c>
      <c r="E2201" s="4" t="n">
        <v>46314.24601114175</v>
      </c>
      <c r="F2201" t="b">
        <v>1</v>
      </c>
      <c r="G2201" t="n">
        <v/>
      </c>
      <c r="H2201" t="inlineStr">
        <is>
          <t>RCR</t>
        </is>
      </c>
      <c r="I2201" t="inlineStr">
        <is>
          <t>Rincon Resources Ltd</t>
        </is>
      </c>
      <c r="J2201" t="inlineStr">
        <is>
          <t>AUD</t>
        </is>
      </c>
      <c r="K2201" s="5" t="inlineStr">
        <is>
          <t>01a152b9-6ee2-7577-bddd-382bc3853fde</t>
        </is>
      </c>
      <c r="M2201" t="inlineStr">
        <is>
          <t>UNKNOWN</t>
        </is>
      </c>
      <c r="N2201" t="inlineStr">
        <is>
          <t>DEFAULT</t>
        </is>
      </c>
      <c r="Q2201" t="n">
        <v>0</v>
      </c>
      <c r="R2201" t="inlineStr">
        <is>
          <t>AUD</t>
        </is>
      </c>
      <c r="S2201" t="n">
        <v>0</v>
      </c>
      <c r="T2201" t="inlineStr">
        <is>
          <t>AUD</t>
        </is>
      </c>
      <c r="U2201" t="n">
        <v>0</v>
      </c>
    </row>
    <row r="2202">
      <c r="A2202" s="5" t="inlineStr">
        <is>
          <t>01a152b9-90c6-7269-b4fe-1f13bbf85e02</t>
        </is>
      </c>
      <c r="C2202" s="5" t="inlineStr">
        <is>
          <t>01a152b9-6e67-75da-8adb-b03e5d07fd21</t>
        </is>
      </c>
      <c r="D2202" s="4" t="n">
        <v>46314.24601119234</v>
      </c>
      <c r="E2202" s="4" t="n">
        <v>46314.24601119247</v>
      </c>
      <c r="F2202" t="b">
        <v>1</v>
      </c>
      <c r="G2202" t="n">
        <v/>
      </c>
      <c r="H2202" t="inlineStr">
        <is>
          <t>JGLO</t>
        </is>
      </c>
      <c r="I2202" t="inlineStr">
        <is>
          <t>Jpmorgan Global Select Equity Active ETF</t>
        </is>
      </c>
      <c r="J2202" t="inlineStr">
        <is>
          <t>AUD</t>
        </is>
      </c>
      <c r="K2202" s="5" t="inlineStr">
        <is>
          <t>01a152b9-6ee2-7577-bddd-382bc3853fde</t>
        </is>
      </c>
      <c r="M2202" t="inlineStr">
        <is>
          <t>UNKNOWN</t>
        </is>
      </c>
      <c r="N2202" t="inlineStr">
        <is>
          <t>DEFAULT</t>
        </is>
      </c>
      <c r="Q2202" t="n">
        <v>0</v>
      </c>
      <c r="R2202" t="inlineStr">
        <is>
          <t>AUD</t>
        </is>
      </c>
      <c r="S2202" t="n">
        <v>0</v>
      </c>
      <c r="T2202" t="inlineStr">
        <is>
          <t>AUD</t>
        </is>
      </c>
      <c r="U2202" t="n">
        <v>0</v>
      </c>
    </row>
    <row r="2203">
      <c r="A2203" s="5" t="inlineStr">
        <is>
          <t>01a152b9-90cb-71ca-829e-adfbc40ae147</t>
        </is>
      </c>
      <c r="C2203" s="5" t="inlineStr">
        <is>
          <t>01a152b9-6e67-75da-8adb-b03e5d07fd21</t>
        </is>
      </c>
      <c r="D2203" s="4" t="n">
        <v>46314.24601124265</v>
      </c>
      <c r="E2203" s="4" t="n">
        <v>46314.24601124278</v>
      </c>
      <c r="F2203" t="b">
        <v>1</v>
      </c>
      <c r="G2203" t="n">
        <v/>
      </c>
      <c r="H2203" t="inlineStr">
        <is>
          <t>WSR</t>
        </is>
      </c>
      <c r="I2203" t="inlineStr">
        <is>
          <t>Westar Resources Ltd</t>
        </is>
      </c>
      <c r="J2203" t="inlineStr">
        <is>
          <t>AUD</t>
        </is>
      </c>
      <c r="K2203" s="5" t="inlineStr">
        <is>
          <t>01a152b9-6ee2-7577-bddd-382bc3853fde</t>
        </is>
      </c>
      <c r="M2203" t="inlineStr">
        <is>
          <t>UNKNOWN</t>
        </is>
      </c>
      <c r="N2203" t="inlineStr">
        <is>
          <t>DEFAULT</t>
        </is>
      </c>
      <c r="Q2203" t="n">
        <v>0</v>
      </c>
      <c r="R2203" t="inlineStr">
        <is>
          <t>AUD</t>
        </is>
      </c>
      <c r="S2203" t="n">
        <v>0</v>
      </c>
      <c r="T2203" t="inlineStr">
        <is>
          <t>AUD</t>
        </is>
      </c>
      <c r="U2203" t="n">
        <v>0</v>
      </c>
    </row>
    <row r="2204">
      <c r="A2204" s="5" t="inlineStr">
        <is>
          <t>01a152b9-90cf-70b1-b300-d4fb156d89f3</t>
        </is>
      </c>
      <c r="C2204" s="5" t="inlineStr">
        <is>
          <t>01a152b9-6e67-75da-8adb-b03e5d07fd21</t>
        </is>
      </c>
      <c r="D2204" s="4" t="n">
        <v>46314.246011289</v>
      </c>
      <c r="E2204" s="4" t="n">
        <v>46314.24601128912</v>
      </c>
      <c r="F2204" t="b">
        <v>1</v>
      </c>
      <c r="G2204" t="n">
        <v/>
      </c>
      <c r="H2204" t="inlineStr">
        <is>
          <t>CDE</t>
        </is>
      </c>
      <c r="I2204" t="inlineStr">
        <is>
          <t>Codeifai Ltd</t>
        </is>
      </c>
      <c r="J2204" t="inlineStr">
        <is>
          <t>AUD</t>
        </is>
      </c>
      <c r="K2204" s="5" t="inlineStr">
        <is>
          <t>01a152b9-6ee2-7577-bddd-382bc3853fde</t>
        </is>
      </c>
      <c r="M2204" t="inlineStr">
        <is>
          <t>UNKNOWN</t>
        </is>
      </c>
      <c r="N2204" t="inlineStr">
        <is>
          <t>DEFAULT</t>
        </is>
      </c>
      <c r="Q2204" t="n">
        <v>0</v>
      </c>
      <c r="R2204" t="inlineStr">
        <is>
          <t>AUD</t>
        </is>
      </c>
      <c r="S2204" t="n">
        <v>0</v>
      </c>
      <c r="T2204" t="inlineStr">
        <is>
          <t>AUD</t>
        </is>
      </c>
      <c r="U2204" t="n">
        <v>0</v>
      </c>
    </row>
    <row r="2205">
      <c r="A2205" s="5" t="inlineStr">
        <is>
          <t>01a152b9-90d2-7559-8160-c643d745bb66</t>
        </is>
      </c>
      <c r="C2205" s="5" t="inlineStr">
        <is>
          <t>01a152b9-6e67-75da-8adb-b03e5d07fd21</t>
        </is>
      </c>
      <c r="D2205" s="4" t="n">
        <v>46314.24601132601</v>
      </c>
      <c r="E2205" s="4" t="n">
        <v>46314.24601132617</v>
      </c>
      <c r="F2205" t="b">
        <v>1</v>
      </c>
      <c r="G2205" t="n">
        <v/>
      </c>
      <c r="H2205" t="inlineStr">
        <is>
          <t>SBR</t>
        </is>
      </c>
      <c r="I2205" t="inlineStr">
        <is>
          <t>Sabre Resources Ltd</t>
        </is>
      </c>
      <c r="J2205" t="inlineStr">
        <is>
          <t>AUD</t>
        </is>
      </c>
      <c r="K2205" s="5" t="inlineStr">
        <is>
          <t>01a152b9-6ee2-7577-bddd-382bc3853fde</t>
        </is>
      </c>
      <c r="M2205" t="inlineStr">
        <is>
          <t>UNKNOWN</t>
        </is>
      </c>
      <c r="N2205" t="inlineStr">
        <is>
          <t>DEFAULT</t>
        </is>
      </c>
      <c r="Q2205" t="n">
        <v>0</v>
      </c>
      <c r="R2205" t="inlineStr">
        <is>
          <t>AUD</t>
        </is>
      </c>
      <c r="S2205" t="n">
        <v>0</v>
      </c>
      <c r="T2205" t="inlineStr">
        <is>
          <t>AUD</t>
        </is>
      </c>
      <c r="U2205" t="n">
        <v>0</v>
      </c>
    </row>
    <row r="2206">
      <c r="A2206" s="5" t="inlineStr">
        <is>
          <t>01a152b9-90d5-72ce-bd73-80816d3aff5f</t>
        </is>
      </c>
      <c r="C2206" s="5" t="inlineStr">
        <is>
          <t>01a152b9-6e67-75da-8adb-b03e5d07fd21</t>
        </is>
      </c>
      <c r="D2206" s="4" t="n">
        <v>46314.24601136513</v>
      </c>
      <c r="E2206" s="4" t="n">
        <v>46314.24601136524</v>
      </c>
      <c r="F2206" t="b">
        <v>1</v>
      </c>
      <c r="G2206" t="n">
        <v/>
      </c>
      <c r="H2206" t="inlineStr">
        <is>
          <t>MOM</t>
        </is>
      </c>
      <c r="I2206" t="inlineStr">
        <is>
          <t>Moab Minerals Ltd</t>
        </is>
      </c>
      <c r="J2206" t="inlineStr">
        <is>
          <t>AUD</t>
        </is>
      </c>
      <c r="K2206" s="5" t="inlineStr">
        <is>
          <t>01a152b9-6ee2-7577-bddd-382bc3853fde</t>
        </is>
      </c>
      <c r="M2206" t="inlineStr">
        <is>
          <t>UNKNOWN</t>
        </is>
      </c>
      <c r="N2206" t="inlineStr">
        <is>
          <t>DEFAULT</t>
        </is>
      </c>
      <c r="Q2206" t="n">
        <v>0</v>
      </c>
      <c r="R2206" t="inlineStr">
        <is>
          <t>AUD</t>
        </is>
      </c>
      <c r="S2206" t="n">
        <v>0</v>
      </c>
      <c r="T2206" t="inlineStr">
        <is>
          <t>AUD</t>
        </is>
      </c>
      <c r="U2206" t="n">
        <v>0</v>
      </c>
    </row>
    <row r="2207">
      <c r="A2207" s="5" t="inlineStr">
        <is>
          <t>01a152b9-90d9-75f4-a522-84d23eeec479</t>
        </is>
      </c>
      <c r="C2207" s="5" t="inlineStr">
        <is>
          <t>01a152b9-6e67-75da-8adb-b03e5d07fd21</t>
        </is>
      </c>
      <c r="D2207" s="4" t="n">
        <v>46314.24601140999</v>
      </c>
      <c r="E2207" s="4" t="n">
        <v>46314.24601141011</v>
      </c>
      <c r="F2207" t="b">
        <v>1</v>
      </c>
      <c r="G2207" t="n">
        <v/>
      </c>
      <c r="H2207" t="inlineStr">
        <is>
          <t>GES</t>
        </is>
      </c>
      <c r="I2207" t="inlineStr">
        <is>
          <t>Genesis Resources Ltd</t>
        </is>
      </c>
      <c r="J2207" t="inlineStr">
        <is>
          <t>AUD</t>
        </is>
      </c>
      <c r="K2207" s="5" t="inlineStr">
        <is>
          <t>01a152b9-6ee2-7577-bddd-382bc3853fde</t>
        </is>
      </c>
      <c r="M2207" t="inlineStr">
        <is>
          <t>UNKNOWN</t>
        </is>
      </c>
      <c r="N2207" t="inlineStr">
        <is>
          <t>DEFAULT</t>
        </is>
      </c>
      <c r="Q2207" t="n">
        <v>0</v>
      </c>
      <c r="R2207" t="inlineStr">
        <is>
          <t>AUD</t>
        </is>
      </c>
      <c r="S2207" t="n">
        <v>0</v>
      </c>
      <c r="T2207" t="inlineStr">
        <is>
          <t>AUD</t>
        </is>
      </c>
      <c r="U2207" t="n">
        <v>0</v>
      </c>
    </row>
    <row r="2208">
      <c r="A2208" s="5" t="inlineStr">
        <is>
          <t>01a152b9-90dd-730b-a331-4903c802aaaa</t>
        </is>
      </c>
      <c r="C2208" s="5" t="inlineStr">
        <is>
          <t>01a152b9-6e67-75da-8adb-b03e5d07fd21</t>
        </is>
      </c>
      <c r="D2208" s="4" t="n">
        <v>46314.24601145175</v>
      </c>
      <c r="E2208" s="4" t="n">
        <v>46314.24601145186</v>
      </c>
      <c r="F2208" t="b">
        <v>1</v>
      </c>
      <c r="G2208" t="n">
        <v/>
      </c>
      <c r="H2208" t="inlineStr">
        <is>
          <t>RLL</t>
        </is>
      </c>
      <c r="I2208" t="inlineStr">
        <is>
          <t>Rapid Lithium Ltd</t>
        </is>
      </c>
      <c r="J2208" t="inlineStr">
        <is>
          <t>AUD</t>
        </is>
      </c>
      <c r="K2208" s="5" t="inlineStr">
        <is>
          <t>01a152b9-6ee2-7577-bddd-382bc3853fde</t>
        </is>
      </c>
      <c r="M2208" t="inlineStr">
        <is>
          <t>UNKNOWN</t>
        </is>
      </c>
      <c r="N2208" t="inlineStr">
        <is>
          <t>DEFAULT</t>
        </is>
      </c>
      <c r="Q2208" t="n">
        <v>0</v>
      </c>
      <c r="R2208" t="inlineStr">
        <is>
          <t>AUD</t>
        </is>
      </c>
      <c r="S2208" t="n">
        <v>0</v>
      </c>
      <c r="T2208" t="inlineStr">
        <is>
          <t>AUD</t>
        </is>
      </c>
      <c r="U2208" t="n">
        <v>0</v>
      </c>
    </row>
    <row r="2209">
      <c r="A2209" s="5" t="inlineStr">
        <is>
          <t>01a152b9-90e0-77ce-9ff3-5fc3da32c343</t>
        </is>
      </c>
      <c r="C2209" s="5" t="inlineStr">
        <is>
          <t>01a152b9-6e67-75da-8adb-b03e5d07fd21</t>
        </is>
      </c>
      <c r="D2209" s="4" t="n">
        <v>46314.24601149165</v>
      </c>
      <c r="E2209" s="4" t="n">
        <v>46314.24601149175</v>
      </c>
      <c r="F2209" t="b">
        <v>1</v>
      </c>
      <c r="G2209" t="n">
        <v/>
      </c>
      <c r="H2209" t="inlineStr">
        <is>
          <t>IPAY</t>
        </is>
      </c>
      <c r="I2209" t="inlineStr">
        <is>
          <t>Betashares Future of Payments ETF</t>
        </is>
      </c>
      <c r="J2209" t="inlineStr">
        <is>
          <t>AUD</t>
        </is>
      </c>
      <c r="K2209" s="5" t="inlineStr">
        <is>
          <t>01a152b9-6ee2-7577-bddd-382bc3853fde</t>
        </is>
      </c>
      <c r="M2209" t="inlineStr">
        <is>
          <t>UNKNOWN</t>
        </is>
      </c>
      <c r="N2209" t="inlineStr">
        <is>
          <t>DEFAULT</t>
        </is>
      </c>
      <c r="Q2209" t="n">
        <v>0</v>
      </c>
      <c r="R2209" t="inlineStr">
        <is>
          <t>AUD</t>
        </is>
      </c>
      <c r="S2209" t="n">
        <v>0</v>
      </c>
      <c r="T2209" t="inlineStr">
        <is>
          <t>AUD</t>
        </is>
      </c>
      <c r="U2209" t="n">
        <v>0</v>
      </c>
    </row>
    <row r="2210">
      <c r="A2210" s="5" t="inlineStr">
        <is>
          <t>01a152b9-90e4-77ed-b7f0-ec6b13bfb785</t>
        </is>
      </c>
      <c r="C2210" s="5" t="inlineStr">
        <is>
          <t>01a152b9-6e67-75da-8adb-b03e5d07fd21</t>
        </is>
      </c>
      <c r="D2210" s="4" t="n">
        <v>46314.24601153537</v>
      </c>
      <c r="E2210" s="4" t="n">
        <v>46314.24601153548</v>
      </c>
      <c r="F2210" t="b">
        <v>1</v>
      </c>
      <c r="G2210" t="n">
        <v/>
      </c>
      <c r="H2210" t="inlineStr">
        <is>
          <t>ADD</t>
        </is>
      </c>
      <c r="I2210" t="inlineStr">
        <is>
          <t>Adavale Resources Ltd</t>
        </is>
      </c>
      <c r="J2210" t="inlineStr">
        <is>
          <t>AUD</t>
        </is>
      </c>
      <c r="K2210" s="5" t="inlineStr">
        <is>
          <t>01a152b9-6ee2-7577-bddd-382bc3853fde</t>
        </is>
      </c>
      <c r="M2210" t="inlineStr">
        <is>
          <t>UNKNOWN</t>
        </is>
      </c>
      <c r="N2210" t="inlineStr">
        <is>
          <t>DEFAULT</t>
        </is>
      </c>
      <c r="Q2210" t="n">
        <v>0</v>
      </c>
      <c r="R2210" t="inlineStr">
        <is>
          <t>AUD</t>
        </is>
      </c>
      <c r="S2210" t="n">
        <v>0</v>
      </c>
      <c r="T2210" t="inlineStr">
        <is>
          <t>AUD</t>
        </is>
      </c>
      <c r="U2210" t="n">
        <v>0</v>
      </c>
    </row>
    <row r="2211">
      <c r="A2211" s="5" t="inlineStr">
        <is>
          <t>01a152b9-90e8-7001-b46d-9ba75660a4ee</t>
        </is>
      </c>
      <c r="C2211" s="5" t="inlineStr">
        <is>
          <t>01a152b9-6e67-75da-8adb-b03e5d07fd21</t>
        </is>
      </c>
      <c r="D2211" s="4" t="n">
        <v>46314.24601157886</v>
      </c>
      <c r="E2211" s="4" t="n">
        <v>46314.24601157896</v>
      </c>
      <c r="F2211" t="b">
        <v>1</v>
      </c>
      <c r="G2211" t="n">
        <v/>
      </c>
      <c r="H2211" t="inlineStr">
        <is>
          <t>GMTL</t>
        </is>
      </c>
      <c r="I2211" t="inlineStr">
        <is>
          <t>Global X Green Metal Miners ETF</t>
        </is>
      </c>
      <c r="J2211" t="inlineStr">
        <is>
          <t>AUD</t>
        </is>
      </c>
      <c r="K2211" s="5" t="inlineStr">
        <is>
          <t>01a152b9-6ee2-7577-bddd-382bc3853fde</t>
        </is>
      </c>
      <c r="M2211" t="inlineStr">
        <is>
          <t>UNKNOWN</t>
        </is>
      </c>
      <c r="N2211" t="inlineStr">
        <is>
          <t>DEFAULT</t>
        </is>
      </c>
      <c r="Q2211" t="n">
        <v>0</v>
      </c>
      <c r="R2211" t="inlineStr">
        <is>
          <t>AUD</t>
        </is>
      </c>
      <c r="S2211" t="n">
        <v>0</v>
      </c>
      <c r="T2211" t="inlineStr">
        <is>
          <t>AUD</t>
        </is>
      </c>
      <c r="U2211" t="n">
        <v>0</v>
      </c>
    </row>
    <row r="2212">
      <c r="A2212" s="5" t="inlineStr">
        <is>
          <t>01a152b9-90eb-778b-a118-fa9283b76a15</t>
        </is>
      </c>
      <c r="C2212" s="5" t="inlineStr">
        <is>
          <t>01a152b9-6e67-75da-8adb-b03e5d07fd21</t>
        </is>
      </c>
      <c r="D2212" s="4" t="n">
        <v>46314.24601162096</v>
      </c>
      <c r="E2212" s="4" t="n">
        <v>46314.2460116211</v>
      </c>
      <c r="F2212" t="b">
        <v>1</v>
      </c>
      <c r="G2212" t="n">
        <v/>
      </c>
      <c r="H2212" t="inlineStr">
        <is>
          <t>AOK</t>
        </is>
      </c>
      <c r="I2212" t="inlineStr">
        <is>
          <t>Australian Oil Company Ltd</t>
        </is>
      </c>
      <c r="J2212" t="inlineStr">
        <is>
          <t>AUD</t>
        </is>
      </c>
      <c r="K2212" s="5" t="inlineStr">
        <is>
          <t>01a152b9-6ee2-7577-bddd-382bc3853fde</t>
        </is>
      </c>
      <c r="M2212" t="inlineStr">
        <is>
          <t>UNKNOWN</t>
        </is>
      </c>
      <c r="N2212" t="inlineStr">
        <is>
          <t>DEFAULT</t>
        </is>
      </c>
      <c r="Q2212" t="n">
        <v>0</v>
      </c>
      <c r="R2212" t="inlineStr">
        <is>
          <t>AUD</t>
        </is>
      </c>
      <c r="S2212" t="n">
        <v>0</v>
      </c>
      <c r="T2212" t="inlineStr">
        <is>
          <t>AUD</t>
        </is>
      </c>
      <c r="U2212" t="n">
        <v>0</v>
      </c>
    </row>
    <row r="2213">
      <c r="A2213" s="5" t="inlineStr">
        <is>
          <t>01a152b9-90f0-76d0-9b76-85334cda415b</t>
        </is>
      </c>
      <c r="C2213" s="5" t="inlineStr">
        <is>
          <t>01a152b9-6e67-75da-8adb-b03e5d07fd21</t>
        </is>
      </c>
      <c r="D2213" s="4" t="n">
        <v>46314.24601167763</v>
      </c>
      <c r="E2213" s="4" t="n">
        <v>46314.24601167777</v>
      </c>
      <c r="F2213" t="b">
        <v>1</v>
      </c>
      <c r="G2213" t="n">
        <v/>
      </c>
      <c r="H2213" t="inlineStr">
        <is>
          <t>HT8</t>
        </is>
      </c>
      <c r="I2213" t="inlineStr">
        <is>
          <t>Harris Technology Group Ltd</t>
        </is>
      </c>
      <c r="J2213" t="inlineStr">
        <is>
          <t>AUD</t>
        </is>
      </c>
      <c r="K2213" s="5" t="inlineStr">
        <is>
          <t>01a152b9-6ee2-7577-bddd-382bc3853fde</t>
        </is>
      </c>
      <c r="M2213" t="inlineStr">
        <is>
          <t>UNKNOWN</t>
        </is>
      </c>
      <c r="N2213" t="inlineStr">
        <is>
          <t>DEFAULT</t>
        </is>
      </c>
      <c r="Q2213" t="n">
        <v>0</v>
      </c>
      <c r="R2213" t="inlineStr">
        <is>
          <t>AUD</t>
        </is>
      </c>
      <c r="S2213" t="n">
        <v>0</v>
      </c>
      <c r="T2213" t="inlineStr">
        <is>
          <t>AUD</t>
        </is>
      </c>
      <c r="U2213" t="n">
        <v>0</v>
      </c>
    </row>
    <row r="2214">
      <c r="A2214" s="5" t="inlineStr">
        <is>
          <t>01a152b9-90f4-7195-a619-d4ad69bcff9a</t>
        </is>
      </c>
      <c r="C2214" s="5" t="inlineStr">
        <is>
          <t>01a152b9-6e67-75da-8adb-b03e5d07fd21</t>
        </is>
      </c>
      <c r="D2214" s="4" t="n">
        <v>46314.2460117263</v>
      </c>
      <c r="E2214" s="4" t="n">
        <v>46314.24601172641</v>
      </c>
      <c r="F2214" t="b">
        <v>1</v>
      </c>
      <c r="G2214" t="n">
        <v/>
      </c>
      <c r="H2214" t="inlineStr">
        <is>
          <t>ACM</t>
        </is>
      </c>
      <c r="I2214" t="inlineStr">
        <is>
          <t>Australian Critical Minerals Ltd</t>
        </is>
      </c>
      <c r="J2214" t="inlineStr">
        <is>
          <t>AUD</t>
        </is>
      </c>
      <c r="K2214" s="5" t="inlineStr">
        <is>
          <t>01a152b9-6ee2-7577-bddd-382bc3853fde</t>
        </is>
      </c>
      <c r="M2214" t="inlineStr">
        <is>
          <t>UNKNOWN</t>
        </is>
      </c>
      <c r="N2214" t="inlineStr">
        <is>
          <t>DEFAULT</t>
        </is>
      </c>
      <c r="Q2214" t="n">
        <v>0</v>
      </c>
      <c r="R2214" t="inlineStr">
        <is>
          <t>AUD</t>
        </is>
      </c>
      <c r="S2214" t="n">
        <v>0</v>
      </c>
      <c r="T2214" t="inlineStr">
        <is>
          <t>AUD</t>
        </is>
      </c>
      <c r="U2214" t="n">
        <v>0</v>
      </c>
    </row>
    <row r="2215">
      <c r="A2215" s="5" t="inlineStr">
        <is>
          <t>01a152b9-90f8-7463-93e0-d7df02703653</t>
        </is>
      </c>
      <c r="C2215" s="5" t="inlineStr">
        <is>
          <t>01a152b9-6e67-75da-8adb-b03e5d07fd21</t>
        </is>
      </c>
      <c r="D2215" s="4" t="n">
        <v>46314.24601177071</v>
      </c>
      <c r="E2215" s="4" t="n">
        <v>46314.24601177083</v>
      </c>
      <c r="F2215" t="b">
        <v>1</v>
      </c>
      <c r="G2215" t="n">
        <v/>
      </c>
      <c r="H2215" t="inlineStr">
        <is>
          <t>LMS</t>
        </is>
      </c>
      <c r="I2215" t="inlineStr">
        <is>
          <t>Litchfield Minerals Ltd</t>
        </is>
      </c>
      <c r="J2215" t="inlineStr">
        <is>
          <t>AUD</t>
        </is>
      </c>
      <c r="K2215" s="5" t="inlineStr">
        <is>
          <t>01a152b9-6ee2-7577-bddd-382bc3853fde</t>
        </is>
      </c>
      <c r="M2215" t="inlineStr">
        <is>
          <t>UNKNOWN</t>
        </is>
      </c>
      <c r="N2215" t="inlineStr">
        <is>
          <t>DEFAULT</t>
        </is>
      </c>
      <c r="Q2215" t="n">
        <v>0</v>
      </c>
      <c r="R2215" t="inlineStr">
        <is>
          <t>AUD</t>
        </is>
      </c>
      <c r="S2215" t="n">
        <v>0</v>
      </c>
      <c r="T2215" t="inlineStr">
        <is>
          <t>AUD</t>
        </is>
      </c>
      <c r="U2215" t="n">
        <v>0</v>
      </c>
    </row>
    <row r="2216">
      <c r="A2216" s="5" t="inlineStr">
        <is>
          <t>01a152b9-90fc-71b7-a58a-8737ba3a9974</t>
        </is>
      </c>
      <c r="C2216" s="5" t="inlineStr">
        <is>
          <t>01a152b9-6e67-75da-8adb-b03e5d07fd21</t>
        </is>
      </c>
      <c r="D2216" s="4" t="n">
        <v>46314.24601181429</v>
      </c>
      <c r="E2216" s="4" t="n">
        <v>46314.24601181449</v>
      </c>
      <c r="F2216" t="b">
        <v>1</v>
      </c>
      <c r="G2216" t="n">
        <v/>
      </c>
      <c r="H2216" t="inlineStr">
        <is>
          <t>CT1</t>
        </is>
      </c>
      <c r="I2216" t="inlineStr">
        <is>
          <t>Constellation Technologies Ltd</t>
        </is>
      </c>
      <c r="J2216" t="inlineStr">
        <is>
          <t>AUD</t>
        </is>
      </c>
      <c r="K2216" s="5" t="inlineStr">
        <is>
          <t>01a152b9-6ee2-7577-bddd-382bc3853fde</t>
        </is>
      </c>
      <c r="M2216" t="inlineStr">
        <is>
          <t>UNKNOWN</t>
        </is>
      </c>
      <c r="N2216" t="inlineStr">
        <is>
          <t>DEFAULT</t>
        </is>
      </c>
      <c r="Q2216" t="n">
        <v>0</v>
      </c>
      <c r="R2216" t="inlineStr">
        <is>
          <t>AUD</t>
        </is>
      </c>
      <c r="S2216" t="n">
        <v>0</v>
      </c>
      <c r="T2216" t="inlineStr">
        <is>
          <t>AUD</t>
        </is>
      </c>
      <c r="U2216" t="n">
        <v>0</v>
      </c>
    </row>
    <row r="2217">
      <c r="A2217" s="5" t="inlineStr">
        <is>
          <t>01a152b9-9100-7798-a610-89d9dd118084</t>
        </is>
      </c>
      <c r="C2217" s="5" t="inlineStr">
        <is>
          <t>01a152b9-6e67-75da-8adb-b03e5d07fd21</t>
        </is>
      </c>
      <c r="D2217" s="4" t="n">
        <v>46314.24601186431</v>
      </c>
      <c r="E2217" s="4" t="n">
        <v>46314.24601186441</v>
      </c>
      <c r="F2217" t="b">
        <v>1</v>
      </c>
      <c r="G2217" t="n">
        <v/>
      </c>
      <c r="H2217" t="inlineStr">
        <is>
          <t>PLC</t>
        </is>
      </c>
      <c r="I2217" t="inlineStr">
        <is>
          <t>PREMIER1 Lithium Ltd</t>
        </is>
      </c>
      <c r="J2217" t="inlineStr">
        <is>
          <t>AUD</t>
        </is>
      </c>
      <c r="K2217" s="5" t="inlineStr">
        <is>
          <t>01a152b9-6ee2-7577-bddd-382bc3853fde</t>
        </is>
      </c>
      <c r="M2217" t="inlineStr">
        <is>
          <t>UNKNOWN</t>
        </is>
      </c>
      <c r="N2217" t="inlineStr">
        <is>
          <t>DEFAULT</t>
        </is>
      </c>
      <c r="Q2217" t="n">
        <v>0</v>
      </c>
      <c r="R2217" t="inlineStr">
        <is>
          <t>AUD</t>
        </is>
      </c>
      <c r="S2217" t="n">
        <v>0</v>
      </c>
      <c r="T2217" t="inlineStr">
        <is>
          <t>AUD</t>
        </is>
      </c>
      <c r="U2217" t="n">
        <v>0</v>
      </c>
    </row>
    <row r="2218">
      <c r="A2218" s="5" t="inlineStr">
        <is>
          <t>01a152b9-9105-75a0-84c4-70b19b12f293</t>
        </is>
      </c>
      <c r="C2218" s="5" t="inlineStr">
        <is>
          <t>01a152b9-6e67-75da-8adb-b03e5d07fd21</t>
        </is>
      </c>
      <c r="D2218" s="4" t="n">
        <v>46314.24601191547</v>
      </c>
      <c r="E2218" s="4" t="n">
        <v>46314.24601191564</v>
      </c>
      <c r="F2218" t="b">
        <v>1</v>
      </c>
      <c r="G2218" t="n">
        <v/>
      </c>
      <c r="H2218" t="inlineStr">
        <is>
          <t>AVW</t>
        </is>
      </c>
      <c r="I2218" t="inlineStr">
        <is>
          <t>Avira Resources Ltd</t>
        </is>
      </c>
      <c r="J2218" t="inlineStr">
        <is>
          <t>AUD</t>
        </is>
      </c>
      <c r="K2218" s="5" t="inlineStr">
        <is>
          <t>01a152b9-6ee2-7577-bddd-382bc3853fde</t>
        </is>
      </c>
      <c r="M2218" t="inlineStr">
        <is>
          <t>UNKNOWN</t>
        </is>
      </c>
      <c r="N2218" t="inlineStr">
        <is>
          <t>DEFAULT</t>
        </is>
      </c>
      <c r="Q2218" t="n">
        <v>0</v>
      </c>
      <c r="R2218" t="inlineStr">
        <is>
          <t>AUD</t>
        </is>
      </c>
      <c r="S2218" t="n">
        <v>0</v>
      </c>
      <c r="T2218" t="inlineStr">
        <is>
          <t>AUD</t>
        </is>
      </c>
      <c r="U2218" t="n">
        <v>0</v>
      </c>
    </row>
    <row r="2219">
      <c r="A2219" s="5" t="inlineStr">
        <is>
          <t>01a152b9-910a-71f4-987f-6e664839400c</t>
        </is>
      </c>
      <c r="C2219" s="5" t="inlineStr">
        <is>
          <t>01a152b9-6e67-75da-8adb-b03e5d07fd21</t>
        </is>
      </c>
      <c r="D2219" s="4" t="n">
        <v>46314.24601198114</v>
      </c>
      <c r="E2219" s="4" t="n">
        <v>46314.24601198131</v>
      </c>
      <c r="F2219" t="b">
        <v>1</v>
      </c>
      <c r="G2219" t="n">
        <v/>
      </c>
      <c r="H2219" t="inlineStr">
        <is>
          <t>KOR</t>
        </is>
      </c>
      <c r="I2219" t="inlineStr">
        <is>
          <t>Korab Resources Ltd</t>
        </is>
      </c>
      <c r="J2219" t="inlineStr">
        <is>
          <t>AUD</t>
        </is>
      </c>
      <c r="K2219" s="5" t="inlineStr">
        <is>
          <t>01a152b9-6ee2-7577-bddd-382bc3853fde</t>
        </is>
      </c>
      <c r="M2219" t="inlineStr">
        <is>
          <t>UNKNOWN</t>
        </is>
      </c>
      <c r="N2219" t="inlineStr">
        <is>
          <t>DEFAULT</t>
        </is>
      </c>
      <c r="Q2219" t="n">
        <v>0</v>
      </c>
      <c r="R2219" t="inlineStr">
        <is>
          <t>AUD</t>
        </is>
      </c>
      <c r="S2219" t="n">
        <v>0</v>
      </c>
      <c r="T2219" t="inlineStr">
        <is>
          <t>AUD</t>
        </is>
      </c>
      <c r="U2219" t="n">
        <v>0</v>
      </c>
    </row>
    <row r="2220">
      <c r="A2220" s="5" t="inlineStr">
        <is>
          <t>01a152b9-910e-7266-9dff-b1f09ad7ffd8</t>
        </is>
      </c>
      <c r="C2220" s="5" t="inlineStr">
        <is>
          <t>01a152b9-6e67-75da-8adb-b03e5d07fd21</t>
        </is>
      </c>
      <c r="D2220" s="4" t="n">
        <v>46314.24601202689</v>
      </c>
      <c r="E2220" s="4" t="n">
        <v>46314.24601202701</v>
      </c>
      <c r="F2220" t="b">
        <v>1</v>
      </c>
      <c r="G2220" t="n">
        <v/>
      </c>
      <c r="H2220" t="inlineStr">
        <is>
          <t>XCO2</t>
        </is>
      </c>
      <c r="I2220" t="inlineStr">
        <is>
          <t>Vaneck Global Carbon Credits ETF (Synthetic)</t>
        </is>
      </c>
      <c r="J2220" t="inlineStr">
        <is>
          <t>AUD</t>
        </is>
      </c>
      <c r="K2220" s="5" t="inlineStr">
        <is>
          <t>01a152b9-6ee2-7577-bddd-382bc3853fde</t>
        </is>
      </c>
      <c r="M2220" t="inlineStr">
        <is>
          <t>UNKNOWN</t>
        </is>
      </c>
      <c r="N2220" t="inlineStr">
        <is>
          <t>DEFAULT</t>
        </is>
      </c>
      <c r="Q2220" t="n">
        <v>0</v>
      </c>
      <c r="R2220" t="inlineStr">
        <is>
          <t>AUD</t>
        </is>
      </c>
      <c r="S2220" t="n">
        <v>0</v>
      </c>
      <c r="T2220" t="inlineStr">
        <is>
          <t>AUD</t>
        </is>
      </c>
      <c r="U2220" t="n">
        <v>0</v>
      </c>
    </row>
    <row r="2221">
      <c r="A2221" s="5" t="inlineStr">
        <is>
          <t>01a152b9-9112-70e2-8375-22420438e326</t>
        </is>
      </c>
      <c r="C2221" s="5" t="inlineStr">
        <is>
          <t>01a152b9-6e67-75da-8adb-b03e5d07fd21</t>
        </is>
      </c>
      <c r="D2221" s="4" t="n">
        <v>46314.24601206635</v>
      </c>
      <c r="E2221" s="4" t="n">
        <v>46314.24601206646</v>
      </c>
      <c r="F2221" t="b">
        <v>1</v>
      </c>
      <c r="G2221" t="n">
        <v/>
      </c>
      <c r="H2221" t="inlineStr">
        <is>
          <t>OPL</t>
        </is>
      </c>
      <c r="I2221" t="inlineStr">
        <is>
          <t>Opyl Ltd</t>
        </is>
      </c>
      <c r="J2221" t="inlineStr">
        <is>
          <t>AUD</t>
        </is>
      </c>
      <c r="K2221" s="5" t="inlineStr">
        <is>
          <t>01a152b9-6ee2-7577-bddd-382bc3853fde</t>
        </is>
      </c>
      <c r="M2221" t="inlineStr">
        <is>
          <t>UNKNOWN</t>
        </is>
      </c>
      <c r="N2221" t="inlineStr">
        <is>
          <t>DEFAULT</t>
        </is>
      </c>
      <c r="Q2221" t="n">
        <v>0</v>
      </c>
      <c r="R2221" t="inlineStr">
        <is>
          <t>AUD</t>
        </is>
      </c>
      <c r="S2221" t="n">
        <v>0</v>
      </c>
      <c r="T2221" t="inlineStr">
        <is>
          <t>AUD</t>
        </is>
      </c>
      <c r="U2221" t="n">
        <v>0</v>
      </c>
    </row>
    <row r="2222">
      <c r="A2222" s="5" t="inlineStr">
        <is>
          <t>01a152b9-9116-748b-8488-be709a611ee5</t>
        </is>
      </c>
      <c r="C2222" s="5" t="inlineStr">
        <is>
          <t>01a152b9-6e67-75da-8adb-b03e5d07fd21</t>
        </is>
      </c>
      <c r="D2222" s="4" t="n">
        <v>46314.24601211316</v>
      </c>
      <c r="E2222" s="4" t="n">
        <v>46314.2460121133</v>
      </c>
      <c r="F2222" t="b">
        <v>1</v>
      </c>
      <c r="G2222" t="n">
        <v/>
      </c>
      <c r="H2222" t="inlineStr">
        <is>
          <t>KGD</t>
        </is>
      </c>
      <c r="I2222" t="inlineStr">
        <is>
          <t>Kula Gold Ltd</t>
        </is>
      </c>
      <c r="J2222" t="inlineStr">
        <is>
          <t>AUD</t>
        </is>
      </c>
      <c r="K2222" s="5" t="inlineStr">
        <is>
          <t>01a152b9-6ee2-7577-bddd-382bc3853fde</t>
        </is>
      </c>
      <c r="M2222" t="inlineStr">
        <is>
          <t>UNKNOWN</t>
        </is>
      </c>
      <c r="N2222" t="inlineStr">
        <is>
          <t>DEFAULT</t>
        </is>
      </c>
      <c r="Q2222" t="n">
        <v>0</v>
      </c>
      <c r="R2222" t="inlineStr">
        <is>
          <t>AUD</t>
        </is>
      </c>
      <c r="S2222" t="n">
        <v>0</v>
      </c>
      <c r="T2222" t="inlineStr">
        <is>
          <t>AUD</t>
        </is>
      </c>
      <c r="U2222" t="n">
        <v>0</v>
      </c>
    </row>
    <row r="2223">
      <c r="A2223" s="5" t="inlineStr">
        <is>
          <t>01a152b9-911a-71da-b21b-268c5f4dff41</t>
        </is>
      </c>
      <c r="C2223" s="5" t="inlineStr">
        <is>
          <t>01a152b9-6e67-75da-8adb-b03e5d07fd21</t>
        </is>
      </c>
      <c r="D2223" s="4" t="n">
        <v>46314.2460121625</v>
      </c>
      <c r="E2223" s="4" t="n">
        <v>46314.24601216261</v>
      </c>
      <c r="F2223" t="b">
        <v>1</v>
      </c>
      <c r="G2223" t="n">
        <v/>
      </c>
      <c r="H2223" t="inlineStr">
        <is>
          <t>XST</t>
        </is>
      </c>
      <c r="I2223" t="inlineStr">
        <is>
          <t>Xstate Resources Ltd</t>
        </is>
      </c>
      <c r="J2223" t="inlineStr">
        <is>
          <t>AUD</t>
        </is>
      </c>
      <c r="K2223" s="5" t="inlineStr">
        <is>
          <t>01a152b9-6ee2-7577-bddd-382bc3853fde</t>
        </is>
      </c>
      <c r="M2223" t="inlineStr">
        <is>
          <t>UNKNOWN</t>
        </is>
      </c>
      <c r="N2223" t="inlineStr">
        <is>
          <t>DEFAULT</t>
        </is>
      </c>
      <c r="Q2223" t="n">
        <v>0</v>
      </c>
      <c r="R2223" t="inlineStr">
        <is>
          <t>AUD</t>
        </is>
      </c>
      <c r="S2223" t="n">
        <v>0</v>
      </c>
      <c r="T2223" t="inlineStr">
        <is>
          <t>AUD</t>
        </is>
      </c>
      <c r="U2223" t="n">
        <v>0</v>
      </c>
    </row>
    <row r="2224">
      <c r="A2224" s="5" t="inlineStr">
        <is>
          <t>01a152b9-911f-74e6-9fef-20b72883d826</t>
        </is>
      </c>
      <c r="C2224" s="5" t="inlineStr">
        <is>
          <t>01a152b9-6e67-75da-8adb-b03e5d07fd21</t>
        </is>
      </c>
      <c r="D2224" s="4" t="n">
        <v>46314.24601221328</v>
      </c>
      <c r="E2224" s="4" t="n">
        <v>46314.24601221339</v>
      </c>
      <c r="F2224" t="b">
        <v>1</v>
      </c>
      <c r="G2224" t="n">
        <v/>
      </c>
      <c r="H2224" t="inlineStr">
        <is>
          <t>C7A</t>
        </is>
      </c>
      <c r="I2224" t="inlineStr">
        <is>
          <t>Clara Resources Australia Ltd</t>
        </is>
      </c>
      <c r="J2224" t="inlineStr">
        <is>
          <t>AUD</t>
        </is>
      </c>
      <c r="K2224" s="5" t="inlineStr">
        <is>
          <t>01a152b9-6ee2-7577-bddd-382bc3853fde</t>
        </is>
      </c>
      <c r="M2224" t="inlineStr">
        <is>
          <t>UNKNOWN</t>
        </is>
      </c>
      <c r="N2224" t="inlineStr">
        <is>
          <t>DEFAULT</t>
        </is>
      </c>
      <c r="Q2224" t="n">
        <v>0</v>
      </c>
      <c r="R2224" t="inlineStr">
        <is>
          <t>AUD</t>
        </is>
      </c>
      <c r="S2224" t="n">
        <v>0</v>
      </c>
      <c r="T2224" t="inlineStr">
        <is>
          <t>AUD</t>
        </is>
      </c>
      <c r="U2224" t="n">
        <v>0</v>
      </c>
    </row>
    <row r="2225">
      <c r="A2225" s="5" t="inlineStr">
        <is>
          <t>01a152b9-9122-761d-b34a-45f6e57931a6</t>
        </is>
      </c>
      <c r="C2225" s="5" t="inlineStr">
        <is>
          <t>01a152b9-6e67-75da-8adb-b03e5d07fd21</t>
        </is>
      </c>
      <c r="D2225" s="4" t="n">
        <v>46314.24601225486</v>
      </c>
      <c r="E2225" s="4" t="n">
        <v>46314.24601225497</v>
      </c>
      <c r="F2225" t="b">
        <v>1</v>
      </c>
      <c r="G2225" t="n">
        <v/>
      </c>
      <c r="H2225" t="inlineStr">
        <is>
          <t>AUR</t>
        </is>
      </c>
      <c r="I2225" t="inlineStr">
        <is>
          <t>Auris Minerals Ltd</t>
        </is>
      </c>
      <c r="J2225" t="inlineStr">
        <is>
          <t>AUD</t>
        </is>
      </c>
      <c r="K2225" s="5" t="inlineStr">
        <is>
          <t>01a152b9-6ee2-7577-bddd-382bc3853fde</t>
        </is>
      </c>
      <c r="M2225" t="inlineStr">
        <is>
          <t>UNKNOWN</t>
        </is>
      </c>
      <c r="N2225" t="inlineStr">
        <is>
          <t>DEFAULT</t>
        </is>
      </c>
      <c r="Q2225" t="n">
        <v>0</v>
      </c>
      <c r="R2225" t="inlineStr">
        <is>
          <t>AUD</t>
        </is>
      </c>
      <c r="S2225" t="n">
        <v>0</v>
      </c>
      <c r="T2225" t="inlineStr">
        <is>
          <t>AUD</t>
        </is>
      </c>
      <c r="U2225" t="n">
        <v>0</v>
      </c>
    </row>
    <row r="2226">
      <c r="A2226" s="5" t="inlineStr">
        <is>
          <t>01a152b9-9126-7251-bb88-856c793eb8cf</t>
        </is>
      </c>
      <c r="C2226" s="5" t="inlineStr">
        <is>
          <t>01a152b9-6e67-75da-8adb-b03e5d07fd21</t>
        </is>
      </c>
      <c r="D2226" s="4" t="n">
        <v>46314.24601229632</v>
      </c>
      <c r="E2226" s="4" t="n">
        <v>46314.24601229643</v>
      </c>
      <c r="F2226" t="b">
        <v>1</v>
      </c>
      <c r="G2226" t="n">
        <v/>
      </c>
      <c r="H2226" t="inlineStr">
        <is>
          <t>WYX</t>
        </is>
      </c>
      <c r="I2226" t="inlineStr">
        <is>
          <t>Western Yilgarn NL</t>
        </is>
      </c>
      <c r="J2226" t="inlineStr">
        <is>
          <t>AUD</t>
        </is>
      </c>
      <c r="K2226" s="5" t="inlineStr">
        <is>
          <t>01a152b9-6ee2-7577-bddd-382bc3853fde</t>
        </is>
      </c>
      <c r="M2226" t="inlineStr">
        <is>
          <t>UNKNOWN</t>
        </is>
      </c>
      <c r="N2226" t="inlineStr">
        <is>
          <t>DEFAULT</t>
        </is>
      </c>
      <c r="Q2226" t="n">
        <v>0</v>
      </c>
      <c r="R2226" t="inlineStr">
        <is>
          <t>AUD</t>
        </is>
      </c>
      <c r="S2226" t="n">
        <v>0</v>
      </c>
      <c r="T2226" t="inlineStr">
        <is>
          <t>AUD</t>
        </is>
      </c>
      <c r="U2226" t="n">
        <v>0</v>
      </c>
    </row>
    <row r="2227">
      <c r="A2227" s="5" t="inlineStr">
        <is>
          <t>01a152b9-912a-720f-8daf-8ef6c60f451b</t>
        </is>
      </c>
      <c r="C2227" s="5" t="inlineStr">
        <is>
          <t>01a152b9-6e67-75da-8adb-b03e5d07fd21</t>
        </is>
      </c>
      <c r="D2227" s="4" t="n">
        <v>46314.24601234475</v>
      </c>
      <c r="E2227" s="4" t="n">
        <v>46314.24601234486</v>
      </c>
      <c r="F2227" t="b">
        <v>1</v>
      </c>
      <c r="G2227" t="n">
        <v/>
      </c>
      <c r="H2227" t="inlineStr">
        <is>
          <t>PFT</t>
        </is>
      </c>
      <c r="I2227" t="inlineStr">
        <is>
          <t>Pure Foods Tasmania Ltd</t>
        </is>
      </c>
      <c r="J2227" t="inlineStr">
        <is>
          <t>AUD</t>
        </is>
      </c>
      <c r="K2227" s="5" t="inlineStr">
        <is>
          <t>01a152b9-6ee2-7577-bddd-382bc3853fde</t>
        </is>
      </c>
      <c r="M2227" t="inlineStr">
        <is>
          <t>UNKNOWN</t>
        </is>
      </c>
      <c r="N2227" t="inlineStr">
        <is>
          <t>DEFAULT</t>
        </is>
      </c>
      <c r="Q2227" t="n">
        <v>0</v>
      </c>
      <c r="R2227" t="inlineStr">
        <is>
          <t>AUD</t>
        </is>
      </c>
      <c r="S2227" t="n">
        <v>0</v>
      </c>
      <c r="T2227" t="inlineStr">
        <is>
          <t>AUD</t>
        </is>
      </c>
      <c r="U2227" t="n">
        <v>0</v>
      </c>
    </row>
    <row r="2228">
      <c r="A2228" s="5" t="inlineStr">
        <is>
          <t>01a152b9-912f-77fc-83a0-569c9c1a08eb</t>
        </is>
      </c>
      <c r="C2228" s="5" t="inlineStr">
        <is>
          <t>01a152b9-6e67-75da-8adb-b03e5d07fd21</t>
        </is>
      </c>
      <c r="D2228" s="4" t="n">
        <v>46314.24601240004</v>
      </c>
      <c r="E2228" s="4" t="n">
        <v>46314.24601240022</v>
      </c>
      <c r="F2228" t="b">
        <v>1</v>
      </c>
      <c r="G2228" t="n">
        <v/>
      </c>
      <c r="H2228" t="inlineStr">
        <is>
          <t>AS2</t>
        </is>
      </c>
      <c r="I2228" t="inlineStr">
        <is>
          <t>Askari Metals Ltd</t>
        </is>
      </c>
      <c r="J2228" t="inlineStr">
        <is>
          <t>AUD</t>
        </is>
      </c>
      <c r="K2228" s="5" t="inlineStr">
        <is>
          <t>01a152b9-6ee2-7577-bddd-382bc3853fde</t>
        </is>
      </c>
      <c r="M2228" t="inlineStr">
        <is>
          <t>UNKNOWN</t>
        </is>
      </c>
      <c r="N2228" t="inlineStr">
        <is>
          <t>DEFAULT</t>
        </is>
      </c>
      <c r="Q2228" t="n">
        <v>0</v>
      </c>
      <c r="R2228" t="inlineStr">
        <is>
          <t>AUD</t>
        </is>
      </c>
      <c r="S2228" t="n">
        <v>0</v>
      </c>
      <c r="T2228" t="inlineStr">
        <is>
          <t>AUD</t>
        </is>
      </c>
      <c r="U2228" t="n">
        <v>0</v>
      </c>
    </row>
    <row r="2229">
      <c r="A2229" s="5" t="inlineStr">
        <is>
          <t>01a152b9-9134-7367-9f56-74a1bd03ccdf</t>
        </is>
      </c>
      <c r="C2229" s="5" t="inlineStr">
        <is>
          <t>01a152b9-6e67-75da-8adb-b03e5d07fd21</t>
        </is>
      </c>
      <c r="D2229" s="4" t="n">
        <v>46314.24601245932</v>
      </c>
      <c r="E2229" s="4" t="n">
        <v>46314.24601245946</v>
      </c>
      <c r="F2229" t="b">
        <v>1</v>
      </c>
      <c r="G2229" t="n">
        <v/>
      </c>
      <c r="H2229" t="inlineStr">
        <is>
          <t>ACS</t>
        </is>
      </c>
      <c r="I2229" t="inlineStr">
        <is>
          <t>Accent Resources NL</t>
        </is>
      </c>
      <c r="J2229" t="inlineStr">
        <is>
          <t>AUD</t>
        </is>
      </c>
      <c r="K2229" s="5" t="inlineStr">
        <is>
          <t>01a152b9-6ee2-7577-bddd-382bc3853fde</t>
        </is>
      </c>
      <c r="M2229" t="inlineStr">
        <is>
          <t>UNKNOWN</t>
        </is>
      </c>
      <c r="N2229" t="inlineStr">
        <is>
          <t>DEFAULT</t>
        </is>
      </c>
      <c r="Q2229" t="n">
        <v>0</v>
      </c>
      <c r="R2229" t="inlineStr">
        <is>
          <t>AUD</t>
        </is>
      </c>
      <c r="S2229" t="n">
        <v>0</v>
      </c>
      <c r="T2229" t="inlineStr">
        <is>
          <t>AUD</t>
        </is>
      </c>
      <c r="U2229" t="n">
        <v>0</v>
      </c>
    </row>
    <row r="2230">
      <c r="A2230" s="5" t="inlineStr">
        <is>
          <t>01a152b9-9138-7698-aa34-676f98e193db</t>
        </is>
      </c>
      <c r="C2230" s="5" t="inlineStr">
        <is>
          <t>01a152b9-6e67-75da-8adb-b03e5d07fd21</t>
        </is>
      </c>
      <c r="D2230" s="4" t="n">
        <v>46314.24601251115</v>
      </c>
      <c r="E2230" s="4" t="n">
        <v>46314.24601251131</v>
      </c>
      <c r="F2230" t="b">
        <v>1</v>
      </c>
      <c r="G2230" t="n">
        <v/>
      </c>
      <c r="H2230" t="inlineStr">
        <is>
          <t>USIG</t>
        </is>
      </c>
      <c r="I2230" t="inlineStr">
        <is>
          <t>Global X Usd Corporate Bond ETF (Currency Hedged)</t>
        </is>
      </c>
      <c r="J2230" t="inlineStr">
        <is>
          <t>AUD</t>
        </is>
      </c>
      <c r="K2230" s="5" t="inlineStr">
        <is>
          <t>01a152b9-6ee2-7577-bddd-382bc3853fde</t>
        </is>
      </c>
      <c r="M2230" t="inlineStr">
        <is>
          <t>UNKNOWN</t>
        </is>
      </c>
      <c r="N2230" t="inlineStr">
        <is>
          <t>DEFAULT</t>
        </is>
      </c>
      <c r="Q2230" t="n">
        <v>0</v>
      </c>
      <c r="R2230" t="inlineStr">
        <is>
          <t>AUD</t>
        </is>
      </c>
      <c r="S2230" t="n">
        <v>0</v>
      </c>
      <c r="T2230" t="inlineStr">
        <is>
          <t>AUD</t>
        </is>
      </c>
      <c r="U2230" t="n">
        <v>0</v>
      </c>
    </row>
    <row r="2231">
      <c r="A2231" s="5" t="inlineStr">
        <is>
          <t>01a152b9-913d-7663-8a9d-481c35ffda4d</t>
        </is>
      </c>
      <c r="C2231" s="5" t="inlineStr">
        <is>
          <t>01a152b9-6e67-75da-8adb-b03e5d07fd21</t>
        </is>
      </c>
      <c r="D2231" s="4" t="n">
        <v>46314.24601256248</v>
      </c>
      <c r="E2231" s="4" t="n">
        <v>46314.24601256259</v>
      </c>
      <c r="F2231" t="b">
        <v>1</v>
      </c>
      <c r="G2231" t="n">
        <v/>
      </c>
      <c r="H2231" t="inlineStr">
        <is>
          <t>TX3</t>
        </is>
      </c>
      <c r="I2231" t="inlineStr">
        <is>
          <t>Trinex Minerals Ltd</t>
        </is>
      </c>
      <c r="J2231" t="inlineStr">
        <is>
          <t>AUD</t>
        </is>
      </c>
      <c r="K2231" s="5" t="inlineStr">
        <is>
          <t>01a152b9-6ee2-7577-bddd-382bc3853fde</t>
        </is>
      </c>
      <c r="M2231" t="inlineStr">
        <is>
          <t>UNKNOWN</t>
        </is>
      </c>
      <c r="N2231" t="inlineStr">
        <is>
          <t>DEFAULT</t>
        </is>
      </c>
      <c r="Q2231" t="n">
        <v>0</v>
      </c>
      <c r="R2231" t="inlineStr">
        <is>
          <t>AUD</t>
        </is>
      </c>
      <c r="S2231" t="n">
        <v>0</v>
      </c>
      <c r="T2231" t="inlineStr">
        <is>
          <t>AUD</t>
        </is>
      </c>
      <c r="U2231" t="n">
        <v>0</v>
      </c>
    </row>
    <row r="2232">
      <c r="A2232" s="5" t="inlineStr">
        <is>
          <t>01a152b9-9141-7495-8175-61a5369fa596</t>
        </is>
      </c>
      <c r="C2232" s="5" t="inlineStr">
        <is>
          <t>01a152b9-6e67-75da-8adb-b03e5d07fd21</t>
        </is>
      </c>
      <c r="D2232" s="4" t="n">
        <v>46314.2460126108</v>
      </c>
      <c r="E2232" s="4" t="n">
        <v>46314.2460126109</v>
      </c>
      <c r="F2232" t="b">
        <v>1</v>
      </c>
      <c r="G2232" t="n">
        <v/>
      </c>
      <c r="H2232" t="inlineStr">
        <is>
          <t>VRL</t>
        </is>
      </c>
      <c r="I2232" t="inlineStr">
        <is>
          <t>Verity Resources Ltd</t>
        </is>
      </c>
      <c r="J2232" t="inlineStr">
        <is>
          <t>AUD</t>
        </is>
      </c>
      <c r="K2232" s="5" t="inlineStr">
        <is>
          <t>01a152b9-6ee2-7577-bddd-382bc3853fde</t>
        </is>
      </c>
      <c r="M2232" t="inlineStr">
        <is>
          <t>UNKNOWN</t>
        </is>
      </c>
      <c r="N2232" t="inlineStr">
        <is>
          <t>DEFAULT</t>
        </is>
      </c>
      <c r="Q2232" t="n">
        <v>0</v>
      </c>
      <c r="R2232" t="inlineStr">
        <is>
          <t>AUD</t>
        </is>
      </c>
      <c r="S2232" t="n">
        <v>0</v>
      </c>
      <c r="T2232" t="inlineStr">
        <is>
          <t>AUD</t>
        </is>
      </c>
      <c r="U2232" t="n">
        <v>0</v>
      </c>
    </row>
    <row r="2233">
      <c r="A2233" s="5" t="inlineStr">
        <is>
          <t>01a152b9-9144-74c2-ae83-e5ccdfc923a9</t>
        </is>
      </c>
      <c r="C2233" s="5" t="inlineStr">
        <is>
          <t>01a152b9-6e67-75da-8adb-b03e5d07fd21</t>
        </is>
      </c>
      <c r="D2233" s="4" t="n">
        <v>46314.24601264831</v>
      </c>
      <c r="E2233" s="4" t="n">
        <v>46314.2460126484</v>
      </c>
      <c r="F2233" t="b">
        <v>1</v>
      </c>
      <c r="G2233" t="n">
        <v/>
      </c>
      <c r="H2233" t="inlineStr">
        <is>
          <t>CDR</t>
        </is>
      </c>
      <c r="I2233" t="inlineStr">
        <is>
          <t>Codrus Minerals Ltd</t>
        </is>
      </c>
      <c r="J2233" t="inlineStr">
        <is>
          <t>AUD</t>
        </is>
      </c>
      <c r="K2233" s="5" t="inlineStr">
        <is>
          <t>01a152b9-6ee2-7577-bddd-382bc3853fde</t>
        </is>
      </c>
      <c r="M2233" t="inlineStr">
        <is>
          <t>UNKNOWN</t>
        </is>
      </c>
      <c r="N2233" t="inlineStr">
        <is>
          <t>DEFAULT</t>
        </is>
      </c>
      <c r="Q2233" t="n">
        <v>0</v>
      </c>
      <c r="R2233" t="inlineStr">
        <is>
          <t>AUD</t>
        </is>
      </c>
      <c r="S2233" t="n">
        <v>0</v>
      </c>
      <c r="T2233" t="inlineStr">
        <is>
          <t>AUD</t>
        </is>
      </c>
      <c r="U2233" t="n">
        <v>0</v>
      </c>
    </row>
    <row r="2234">
      <c r="A2234" s="5" t="inlineStr">
        <is>
          <t>01a152b9-9148-7665-9c9a-9e6426bc2a25</t>
        </is>
      </c>
      <c r="C2234" s="5" t="inlineStr">
        <is>
          <t>01a152b9-6e67-75da-8adb-b03e5d07fd21</t>
        </is>
      </c>
      <c r="D2234" s="4" t="n">
        <v>46314.24601268909</v>
      </c>
      <c r="E2234" s="4" t="n">
        <v>46314.24601268919</v>
      </c>
      <c r="F2234" t="b">
        <v>1</v>
      </c>
      <c r="G2234" t="n">
        <v/>
      </c>
      <c r="H2234" t="inlineStr">
        <is>
          <t>PVW</t>
        </is>
      </c>
      <c r="I2234" t="inlineStr">
        <is>
          <t>PVW Resources Ltd</t>
        </is>
      </c>
      <c r="J2234" t="inlineStr">
        <is>
          <t>AUD</t>
        </is>
      </c>
      <c r="K2234" s="5" t="inlineStr">
        <is>
          <t>01a152b9-6ee2-7577-bddd-382bc3853fde</t>
        </is>
      </c>
      <c r="M2234" t="inlineStr">
        <is>
          <t>UNKNOWN</t>
        </is>
      </c>
      <c r="N2234" t="inlineStr">
        <is>
          <t>DEFAULT</t>
        </is>
      </c>
      <c r="Q2234" t="n">
        <v>0</v>
      </c>
      <c r="R2234" t="inlineStr">
        <is>
          <t>AUD</t>
        </is>
      </c>
      <c r="S2234" t="n">
        <v>0</v>
      </c>
      <c r="T2234" t="inlineStr">
        <is>
          <t>AUD</t>
        </is>
      </c>
      <c r="U2234" t="n">
        <v>0</v>
      </c>
    </row>
    <row r="2235">
      <c r="A2235" s="5" t="inlineStr">
        <is>
          <t>01a152b9-914b-75f5-adc1-675bc359f075</t>
        </is>
      </c>
      <c r="C2235" s="5" t="inlineStr">
        <is>
          <t>01a152b9-6e67-75da-8adb-b03e5d07fd21</t>
        </is>
      </c>
      <c r="D2235" s="4" t="n">
        <v>46314.24601273247</v>
      </c>
      <c r="E2235" s="4" t="n">
        <v>46314.24601273256</v>
      </c>
      <c r="F2235" t="b">
        <v>1</v>
      </c>
      <c r="G2235" t="n">
        <v/>
      </c>
      <c r="H2235" t="inlineStr">
        <is>
          <t>RDS</t>
        </is>
      </c>
      <c r="I2235" t="inlineStr">
        <is>
          <t>Redstone Resources Ltd</t>
        </is>
      </c>
      <c r="J2235" t="inlineStr">
        <is>
          <t>AUD</t>
        </is>
      </c>
      <c r="K2235" s="5" t="inlineStr">
        <is>
          <t>01a152b9-6ee2-7577-bddd-382bc3853fde</t>
        </is>
      </c>
      <c r="M2235" t="inlineStr">
        <is>
          <t>UNKNOWN</t>
        </is>
      </c>
      <c r="N2235" t="inlineStr">
        <is>
          <t>DEFAULT</t>
        </is>
      </c>
      <c r="Q2235" t="n">
        <v>0</v>
      </c>
      <c r="R2235" t="inlineStr">
        <is>
          <t>AUD</t>
        </is>
      </c>
      <c r="S2235" t="n">
        <v>0</v>
      </c>
      <c r="T2235" t="inlineStr">
        <is>
          <t>AUD</t>
        </is>
      </c>
      <c r="U2235" t="n">
        <v>0</v>
      </c>
    </row>
    <row r="2236">
      <c r="A2236" s="5" t="inlineStr">
        <is>
          <t>01a152b9-9150-7777-9428-b67e10f1f519</t>
        </is>
      </c>
      <c r="C2236" s="5" t="inlineStr">
        <is>
          <t>01a152b9-6e67-75da-8adb-b03e5d07fd21</t>
        </is>
      </c>
      <c r="D2236" s="4" t="n">
        <v>46314.24601278229</v>
      </c>
      <c r="E2236" s="4" t="n">
        <v>46314.24601278239</v>
      </c>
      <c r="F2236" t="b">
        <v>1</v>
      </c>
      <c r="G2236" t="n">
        <v/>
      </c>
      <c r="H2236" t="inlineStr">
        <is>
          <t>TMB</t>
        </is>
      </c>
      <c r="I2236" t="inlineStr">
        <is>
          <t>Tambourah Metals Ltd</t>
        </is>
      </c>
      <c r="J2236" t="inlineStr">
        <is>
          <t>AUD</t>
        </is>
      </c>
      <c r="K2236" s="5" t="inlineStr">
        <is>
          <t>01a152b9-6ee2-7577-bddd-382bc3853fde</t>
        </is>
      </c>
      <c r="M2236" t="inlineStr">
        <is>
          <t>UNKNOWN</t>
        </is>
      </c>
      <c r="N2236" t="inlineStr">
        <is>
          <t>DEFAULT</t>
        </is>
      </c>
      <c r="Q2236" t="n">
        <v>0</v>
      </c>
      <c r="R2236" t="inlineStr">
        <is>
          <t>AUD</t>
        </is>
      </c>
      <c r="S2236" t="n">
        <v>0</v>
      </c>
      <c r="T2236" t="inlineStr">
        <is>
          <t>AUD</t>
        </is>
      </c>
      <c r="U2236" t="n">
        <v>0</v>
      </c>
    </row>
    <row r="2237">
      <c r="A2237" s="5" t="inlineStr">
        <is>
          <t>01a152b9-9153-7433-8618-96618c8691a9</t>
        </is>
      </c>
      <c r="C2237" s="5" t="inlineStr">
        <is>
          <t>01a152b9-6e67-75da-8adb-b03e5d07fd21</t>
        </is>
      </c>
      <c r="D2237" s="4" t="n">
        <v>46314.24601281903</v>
      </c>
      <c r="E2237" s="4" t="n">
        <v>46314.24601281912</v>
      </c>
      <c r="F2237" t="b">
        <v>1</v>
      </c>
      <c r="G2237" t="n">
        <v/>
      </c>
      <c r="H2237" t="inlineStr">
        <is>
          <t>MPR</t>
        </is>
      </c>
      <c r="I2237" t="inlineStr">
        <is>
          <t>Mpower Group Ltd</t>
        </is>
      </c>
      <c r="J2237" t="inlineStr">
        <is>
          <t>AUD</t>
        </is>
      </c>
      <c r="K2237" s="5" t="inlineStr">
        <is>
          <t>01a152b9-6ee2-7577-bddd-382bc3853fde</t>
        </is>
      </c>
      <c r="M2237" t="inlineStr">
        <is>
          <t>UNKNOWN</t>
        </is>
      </c>
      <c r="N2237" t="inlineStr">
        <is>
          <t>DEFAULT</t>
        </is>
      </c>
      <c r="Q2237" t="n">
        <v>0</v>
      </c>
      <c r="R2237" t="inlineStr">
        <is>
          <t>AUD</t>
        </is>
      </c>
      <c r="S2237" t="n">
        <v>0</v>
      </c>
      <c r="T2237" t="inlineStr">
        <is>
          <t>AUD</t>
        </is>
      </c>
      <c r="U2237" t="n">
        <v>0</v>
      </c>
    </row>
    <row r="2238">
      <c r="A2238" s="5" t="inlineStr">
        <is>
          <t>01a152b9-9157-73e4-a235-d7f680fe08f6</t>
        </is>
      </c>
      <c r="C2238" s="5" t="inlineStr">
        <is>
          <t>01a152b9-6e67-75da-8adb-b03e5d07fd21</t>
        </is>
      </c>
      <c r="D2238" s="4" t="n">
        <v>46314.24601286376</v>
      </c>
      <c r="E2238" s="4" t="n">
        <v>46314.24601286389</v>
      </c>
      <c r="F2238" t="b">
        <v>1</v>
      </c>
      <c r="G2238" t="n">
        <v/>
      </c>
      <c r="H2238" t="inlineStr">
        <is>
          <t>PIM</t>
        </is>
      </c>
      <c r="I2238" t="inlineStr">
        <is>
          <t>Pinnacle Minerals Ltd</t>
        </is>
      </c>
      <c r="J2238" t="inlineStr">
        <is>
          <t>AUD</t>
        </is>
      </c>
      <c r="K2238" s="5" t="inlineStr">
        <is>
          <t>01a152b9-6ee2-7577-bddd-382bc3853fde</t>
        </is>
      </c>
      <c r="M2238" t="inlineStr">
        <is>
          <t>UNKNOWN</t>
        </is>
      </c>
      <c r="N2238" t="inlineStr">
        <is>
          <t>DEFAULT</t>
        </is>
      </c>
      <c r="Q2238" t="n">
        <v>0</v>
      </c>
      <c r="R2238" t="inlineStr">
        <is>
          <t>AUD</t>
        </is>
      </c>
      <c r="S2238" t="n">
        <v>0</v>
      </c>
      <c r="T2238" t="inlineStr">
        <is>
          <t>AUD</t>
        </is>
      </c>
      <c r="U2238" t="n">
        <v>0</v>
      </c>
    </row>
    <row r="2239">
      <c r="A2239" s="5" t="inlineStr">
        <is>
          <t>01a152b9-915b-746e-943d-ef3c18c6dbf2</t>
        </is>
      </c>
      <c r="C2239" s="5" t="inlineStr">
        <is>
          <t>01a152b9-6e67-75da-8adb-b03e5d07fd21</t>
        </is>
      </c>
      <c r="D2239" s="4" t="n">
        <v>46314.24601290708</v>
      </c>
      <c r="E2239" s="4" t="n">
        <v>46314.24601290718</v>
      </c>
      <c r="F2239" t="b">
        <v>1</v>
      </c>
      <c r="G2239" t="n">
        <v/>
      </c>
      <c r="H2239" t="inlineStr">
        <is>
          <t>WEL</t>
        </is>
      </c>
      <c r="I2239" t="inlineStr">
        <is>
          <t>Winchester Energy Ltd</t>
        </is>
      </c>
      <c r="J2239" t="inlineStr">
        <is>
          <t>AUD</t>
        </is>
      </c>
      <c r="K2239" s="5" t="inlineStr">
        <is>
          <t>01a152b9-6ee2-7577-bddd-382bc3853fde</t>
        </is>
      </c>
      <c r="M2239" t="inlineStr">
        <is>
          <t>UNKNOWN</t>
        </is>
      </c>
      <c r="N2239" t="inlineStr">
        <is>
          <t>DEFAULT</t>
        </is>
      </c>
      <c r="Q2239" t="n">
        <v>0</v>
      </c>
      <c r="R2239" t="inlineStr">
        <is>
          <t>AUD</t>
        </is>
      </c>
      <c r="S2239" t="n">
        <v>0</v>
      </c>
      <c r="T2239" t="inlineStr">
        <is>
          <t>AUD</t>
        </is>
      </c>
      <c r="U2239" t="n">
        <v>0</v>
      </c>
    </row>
    <row r="2240">
      <c r="A2240" s="5" t="inlineStr">
        <is>
          <t>01a152b9-915e-7419-8b05-3f1c3e82a669</t>
        </is>
      </c>
      <c r="C2240" s="5" t="inlineStr">
        <is>
          <t>01a152b9-6e67-75da-8adb-b03e5d07fd21</t>
        </is>
      </c>
      <c r="D2240" s="4" t="n">
        <v>46314.24601294356</v>
      </c>
      <c r="E2240" s="4" t="n">
        <v>46314.24601294367</v>
      </c>
      <c r="F2240" t="b">
        <v>1</v>
      </c>
      <c r="G2240" t="n">
        <v/>
      </c>
      <c r="H2240" t="inlineStr">
        <is>
          <t>CGO</t>
        </is>
      </c>
      <c r="I2240" t="inlineStr">
        <is>
          <t>CPT Global Ltd</t>
        </is>
      </c>
      <c r="J2240" t="inlineStr">
        <is>
          <t>AUD</t>
        </is>
      </c>
      <c r="K2240" s="5" t="inlineStr">
        <is>
          <t>01a152b9-6ee2-7577-bddd-382bc3853fde</t>
        </is>
      </c>
      <c r="M2240" t="inlineStr">
        <is>
          <t>UNKNOWN</t>
        </is>
      </c>
      <c r="N2240" t="inlineStr">
        <is>
          <t>DEFAULT</t>
        </is>
      </c>
      <c r="Q2240" t="n">
        <v>0</v>
      </c>
      <c r="R2240" t="inlineStr">
        <is>
          <t>AUD</t>
        </is>
      </c>
      <c r="S2240" t="n">
        <v>0</v>
      </c>
      <c r="T2240" t="inlineStr">
        <is>
          <t>AUD</t>
        </is>
      </c>
      <c r="U2240" t="n">
        <v>0</v>
      </c>
    </row>
    <row r="2241">
      <c r="A2241" s="5" t="inlineStr">
        <is>
          <t>01a152b9-9161-751c-b8ae-4b31909a0c33</t>
        </is>
      </c>
      <c r="C2241" s="5" t="inlineStr">
        <is>
          <t>01a152b9-6e67-75da-8adb-b03e5d07fd21</t>
        </is>
      </c>
      <c r="D2241" s="4" t="n">
        <v>46314.24601298623</v>
      </c>
      <c r="E2241" s="4" t="n">
        <v>46314.24601298633</v>
      </c>
      <c r="F2241" t="b">
        <v>1</v>
      </c>
      <c r="G2241" t="n">
        <v/>
      </c>
      <c r="H2241" t="inlineStr">
        <is>
          <t>RML</t>
        </is>
      </c>
      <c r="I2241" t="inlineStr">
        <is>
          <t>Resolution Minerals Ltd</t>
        </is>
      </c>
      <c r="J2241" t="inlineStr">
        <is>
          <t>AUD</t>
        </is>
      </c>
      <c r="K2241" s="5" t="inlineStr">
        <is>
          <t>01a152b9-6ee2-7577-bddd-382bc3853fde</t>
        </is>
      </c>
      <c r="M2241" t="inlineStr">
        <is>
          <t>UNKNOWN</t>
        </is>
      </c>
      <c r="N2241" t="inlineStr">
        <is>
          <t>DEFAULT</t>
        </is>
      </c>
      <c r="Q2241" t="n">
        <v>0</v>
      </c>
      <c r="R2241" t="inlineStr">
        <is>
          <t>AUD</t>
        </is>
      </c>
      <c r="S2241" t="n">
        <v>0</v>
      </c>
      <c r="T2241" t="inlineStr">
        <is>
          <t>AUD</t>
        </is>
      </c>
      <c r="U2241" t="n">
        <v>0</v>
      </c>
    </row>
    <row r="2242">
      <c r="A2242" s="5" t="inlineStr">
        <is>
          <t>01a152b9-9164-75f3-9362-876995f0b6d6</t>
        </is>
      </c>
      <c r="C2242" s="5" t="inlineStr">
        <is>
          <t>01a152b9-6e67-75da-8adb-b03e5d07fd21</t>
        </is>
      </c>
      <c r="D2242" s="4" t="n">
        <v>46314.24601302168</v>
      </c>
      <c r="E2242" s="4" t="n">
        <v>46314.2460130218</v>
      </c>
      <c r="F2242" t="b">
        <v>1</v>
      </c>
      <c r="G2242" t="n">
        <v/>
      </c>
      <c r="H2242" t="inlineStr">
        <is>
          <t>BOA</t>
        </is>
      </c>
      <c r="I2242" t="inlineStr">
        <is>
          <t>BOA Resources Ltd</t>
        </is>
      </c>
      <c r="J2242" t="inlineStr">
        <is>
          <t>AUD</t>
        </is>
      </c>
      <c r="K2242" s="5" t="inlineStr">
        <is>
          <t>01a152b9-6ee2-7577-bddd-382bc3853fde</t>
        </is>
      </c>
      <c r="M2242" t="inlineStr">
        <is>
          <t>UNKNOWN</t>
        </is>
      </c>
      <c r="N2242" t="inlineStr">
        <is>
          <t>DEFAULT</t>
        </is>
      </c>
      <c r="Q2242" t="n">
        <v>0</v>
      </c>
      <c r="R2242" t="inlineStr">
        <is>
          <t>AUD</t>
        </is>
      </c>
      <c r="S2242" t="n">
        <v>0</v>
      </c>
      <c r="T2242" t="inlineStr">
        <is>
          <t>AUD</t>
        </is>
      </c>
      <c r="U2242" t="n">
        <v>0</v>
      </c>
    </row>
    <row r="2243">
      <c r="A2243" s="5" t="inlineStr">
        <is>
          <t>01a152b9-9167-7730-ab07-397784ddbd9b</t>
        </is>
      </c>
      <c r="C2243" s="5" t="inlineStr">
        <is>
          <t>01a152b9-6e67-75da-8adb-b03e5d07fd21</t>
        </is>
      </c>
      <c r="D2243" s="4" t="n">
        <v>46314.24601305675</v>
      </c>
      <c r="E2243" s="4" t="n">
        <v>46314.24601305684</v>
      </c>
      <c r="F2243" t="b">
        <v>1</v>
      </c>
      <c r="G2243" t="n">
        <v/>
      </c>
      <c r="H2243" t="inlineStr">
        <is>
          <t>LSR</t>
        </is>
      </c>
      <c r="I2243" t="inlineStr">
        <is>
          <t>Lodestar Minerals Ltd</t>
        </is>
      </c>
      <c r="J2243" t="inlineStr">
        <is>
          <t>AUD</t>
        </is>
      </c>
      <c r="K2243" s="5" t="inlineStr">
        <is>
          <t>01a152b9-6ee2-7577-bddd-382bc3853fde</t>
        </is>
      </c>
      <c r="M2243" t="inlineStr">
        <is>
          <t>UNKNOWN</t>
        </is>
      </c>
      <c r="N2243" t="inlineStr">
        <is>
          <t>DEFAULT</t>
        </is>
      </c>
      <c r="Q2243" t="n">
        <v>0</v>
      </c>
      <c r="R2243" t="inlineStr">
        <is>
          <t>AUD</t>
        </is>
      </c>
      <c r="S2243" t="n">
        <v>0</v>
      </c>
      <c r="T2243" t="inlineStr">
        <is>
          <t>AUD</t>
        </is>
      </c>
      <c r="U2243" t="n">
        <v>0</v>
      </c>
    </row>
    <row r="2244">
      <c r="A2244" s="5" t="inlineStr">
        <is>
          <t>01a152b9-916b-7210-b32f-5ea905e1385f</t>
        </is>
      </c>
      <c r="C2244" s="5" t="inlineStr">
        <is>
          <t>01a152b9-6e67-75da-8adb-b03e5d07fd21</t>
        </is>
      </c>
      <c r="D2244" s="4" t="n">
        <v>46314.24601309494</v>
      </c>
      <c r="E2244" s="4" t="n">
        <v>46314.24601309503</v>
      </c>
      <c r="F2244" t="b">
        <v>1</v>
      </c>
      <c r="G2244" t="n">
        <v/>
      </c>
      <c r="H2244" t="inlineStr">
        <is>
          <t>DMM</t>
        </is>
      </c>
      <c r="I2244" t="inlineStr">
        <is>
          <t>DMC Mining Ltd</t>
        </is>
      </c>
      <c r="J2244" t="inlineStr">
        <is>
          <t>AUD</t>
        </is>
      </c>
      <c r="K2244" s="5" t="inlineStr">
        <is>
          <t>01a152b9-6ee2-7577-bddd-382bc3853fde</t>
        </is>
      </c>
      <c r="M2244" t="inlineStr">
        <is>
          <t>UNKNOWN</t>
        </is>
      </c>
      <c r="N2244" t="inlineStr">
        <is>
          <t>DEFAULT</t>
        </is>
      </c>
      <c r="Q2244" t="n">
        <v>0</v>
      </c>
      <c r="R2244" t="inlineStr">
        <is>
          <t>AUD</t>
        </is>
      </c>
      <c r="S2244" t="n">
        <v>0</v>
      </c>
      <c r="T2244" t="inlineStr">
        <is>
          <t>AUD</t>
        </is>
      </c>
      <c r="U2244" t="n">
        <v>0</v>
      </c>
    </row>
    <row r="2245">
      <c r="A2245" s="5" t="inlineStr">
        <is>
          <t>01a152b9-916e-7600-88f2-56d9c7a442fd</t>
        </is>
      </c>
      <c r="C2245" s="5" t="inlineStr">
        <is>
          <t>01a152b9-6e67-75da-8adb-b03e5d07fd21</t>
        </is>
      </c>
      <c r="D2245" s="4" t="n">
        <v>46314.24601313427</v>
      </c>
      <c r="E2245" s="4" t="n">
        <v>46314.24601313436</v>
      </c>
      <c r="F2245" t="b">
        <v>1</v>
      </c>
      <c r="G2245" t="n">
        <v/>
      </c>
      <c r="H2245" t="inlineStr">
        <is>
          <t>ETPMPD</t>
        </is>
      </c>
      <c r="I2245" t="inlineStr">
        <is>
          <t>Global X Metal Securities Australia Ltd</t>
        </is>
      </c>
      <c r="J2245" t="inlineStr">
        <is>
          <t>AUD</t>
        </is>
      </c>
      <c r="K2245" s="5" t="inlineStr">
        <is>
          <t>01a152b9-6ee2-7577-bddd-382bc3853fde</t>
        </is>
      </c>
      <c r="M2245" t="inlineStr">
        <is>
          <t>UNKNOWN</t>
        </is>
      </c>
      <c r="N2245" t="inlineStr">
        <is>
          <t>DEFAULT</t>
        </is>
      </c>
      <c r="Q2245" t="n">
        <v>0</v>
      </c>
      <c r="R2245" t="inlineStr">
        <is>
          <t>AUD</t>
        </is>
      </c>
      <c r="S2245" t="n">
        <v>0</v>
      </c>
      <c r="T2245" t="inlineStr">
        <is>
          <t>AUD</t>
        </is>
      </c>
      <c r="U2245" t="n">
        <v>0</v>
      </c>
    </row>
    <row r="2246">
      <c r="A2246" s="5" t="inlineStr">
        <is>
          <t>01a152b9-9171-75ec-8c06-9a5c8cdb584c</t>
        </is>
      </c>
      <c r="C2246" s="5" t="inlineStr">
        <is>
          <t>01a152b9-6e67-75da-8adb-b03e5d07fd21</t>
        </is>
      </c>
      <c r="D2246" s="4" t="n">
        <v>46314.24601316811</v>
      </c>
      <c r="E2246" s="4" t="n">
        <v>46314.24601316825</v>
      </c>
      <c r="F2246" t="b">
        <v>1</v>
      </c>
      <c r="G2246" t="n">
        <v/>
      </c>
      <c r="H2246" t="inlineStr">
        <is>
          <t>OLY</t>
        </is>
      </c>
      <c r="I2246" t="inlineStr">
        <is>
          <t>Olympio Metals Ltd</t>
        </is>
      </c>
      <c r="J2246" t="inlineStr">
        <is>
          <t>AUD</t>
        </is>
      </c>
      <c r="K2246" s="5" t="inlineStr">
        <is>
          <t>01a152b9-6ee2-7577-bddd-382bc3853fde</t>
        </is>
      </c>
      <c r="M2246" t="inlineStr">
        <is>
          <t>UNKNOWN</t>
        </is>
      </c>
      <c r="N2246" t="inlineStr">
        <is>
          <t>DEFAULT</t>
        </is>
      </c>
      <c r="Q2246" t="n">
        <v>0</v>
      </c>
      <c r="R2246" t="inlineStr">
        <is>
          <t>AUD</t>
        </is>
      </c>
      <c r="S2246" t="n">
        <v>0</v>
      </c>
      <c r="T2246" t="inlineStr">
        <is>
          <t>AUD</t>
        </is>
      </c>
      <c r="U2246" t="n">
        <v>0</v>
      </c>
    </row>
    <row r="2247">
      <c r="A2247" s="5" t="inlineStr">
        <is>
          <t>01a152b9-9175-73fc-9b41-65bdb128b384</t>
        </is>
      </c>
      <c r="C2247" s="5" t="inlineStr">
        <is>
          <t>01a152b9-6e67-75da-8adb-b03e5d07fd21</t>
        </is>
      </c>
      <c r="D2247" s="4" t="n">
        <v>46314.2460132128</v>
      </c>
      <c r="E2247" s="4" t="n">
        <v>46314.24601321291</v>
      </c>
      <c r="F2247" t="b">
        <v>1</v>
      </c>
      <c r="G2247" t="n">
        <v/>
      </c>
      <c r="H2247" t="inlineStr">
        <is>
          <t>FIN</t>
        </is>
      </c>
      <c r="I2247" t="inlineStr">
        <is>
          <t>FIN Resources Ltd</t>
        </is>
      </c>
      <c r="J2247" t="inlineStr">
        <is>
          <t>AUD</t>
        </is>
      </c>
      <c r="K2247" s="5" t="inlineStr">
        <is>
          <t>01a152b9-6ee2-7577-bddd-382bc3853fde</t>
        </is>
      </c>
      <c r="M2247" t="inlineStr">
        <is>
          <t>UNKNOWN</t>
        </is>
      </c>
      <c r="N2247" t="inlineStr">
        <is>
          <t>DEFAULT</t>
        </is>
      </c>
      <c r="Q2247" t="n">
        <v>0</v>
      </c>
      <c r="R2247" t="inlineStr">
        <is>
          <t>AUD</t>
        </is>
      </c>
      <c r="S2247" t="n">
        <v>0</v>
      </c>
      <c r="T2247" t="inlineStr">
        <is>
          <t>AUD</t>
        </is>
      </c>
      <c r="U2247" t="n">
        <v>0</v>
      </c>
    </row>
    <row r="2248">
      <c r="A2248" s="5" t="inlineStr">
        <is>
          <t>01a152b9-9178-74f3-ac50-0f99b246658e</t>
        </is>
      </c>
      <c r="C2248" s="5" t="inlineStr">
        <is>
          <t>01a152b9-6e67-75da-8adb-b03e5d07fd21</t>
        </is>
      </c>
      <c r="D2248" s="4" t="n">
        <v>46314.24601325102</v>
      </c>
      <c r="E2248" s="4" t="n">
        <v>46314.24601325113</v>
      </c>
      <c r="F2248" t="b">
        <v>1</v>
      </c>
      <c r="G2248" t="n">
        <v/>
      </c>
      <c r="H2248" t="inlineStr">
        <is>
          <t>RBR</t>
        </is>
      </c>
      <c r="I2248" t="inlineStr">
        <is>
          <t>RBR Group Ltd</t>
        </is>
      </c>
      <c r="J2248" t="inlineStr">
        <is>
          <t>AUD</t>
        </is>
      </c>
      <c r="K2248" s="5" t="inlineStr">
        <is>
          <t>01a152b9-6ee2-7577-bddd-382bc3853fde</t>
        </is>
      </c>
      <c r="M2248" t="inlineStr">
        <is>
          <t>UNKNOWN</t>
        </is>
      </c>
      <c r="N2248" t="inlineStr">
        <is>
          <t>DEFAULT</t>
        </is>
      </c>
      <c r="Q2248" t="n">
        <v>0</v>
      </c>
      <c r="R2248" t="inlineStr">
        <is>
          <t>AUD</t>
        </is>
      </c>
      <c r="S2248" t="n">
        <v>0</v>
      </c>
      <c r="T2248" t="inlineStr">
        <is>
          <t>AUD</t>
        </is>
      </c>
      <c r="U2248" t="n">
        <v>0</v>
      </c>
    </row>
    <row r="2249">
      <c r="A2249" s="5" t="inlineStr">
        <is>
          <t>01a152b9-917c-731c-ae51-0d58ad4849fd</t>
        </is>
      </c>
      <c r="C2249" s="5" t="inlineStr">
        <is>
          <t>01a152b9-6e67-75da-8adb-b03e5d07fd21</t>
        </is>
      </c>
      <c r="D2249" s="4" t="n">
        <v>46314.24601328994</v>
      </c>
      <c r="E2249" s="4" t="n">
        <v>46314.24601329006</v>
      </c>
      <c r="F2249" t="b">
        <v>1</v>
      </c>
      <c r="G2249" t="n">
        <v/>
      </c>
      <c r="H2249" t="inlineStr">
        <is>
          <t>SKN</t>
        </is>
      </c>
      <c r="I2249" t="inlineStr">
        <is>
          <t>Skin Elements Ltd</t>
        </is>
      </c>
      <c r="J2249" t="inlineStr">
        <is>
          <t>AUD</t>
        </is>
      </c>
      <c r="K2249" s="5" t="inlineStr">
        <is>
          <t>01a152b9-6ee2-7577-bddd-382bc3853fde</t>
        </is>
      </c>
      <c r="M2249" t="inlineStr">
        <is>
          <t>UNKNOWN</t>
        </is>
      </c>
      <c r="N2249" t="inlineStr">
        <is>
          <t>DEFAULT</t>
        </is>
      </c>
      <c r="Q2249" t="n">
        <v>0</v>
      </c>
      <c r="R2249" t="inlineStr">
        <is>
          <t>AUD</t>
        </is>
      </c>
      <c r="S2249" t="n">
        <v>0</v>
      </c>
      <c r="T2249" t="inlineStr">
        <is>
          <t>AUD</t>
        </is>
      </c>
      <c r="U2249" t="n">
        <v>0</v>
      </c>
    </row>
    <row r="2250">
      <c r="A2250" s="5" t="inlineStr">
        <is>
          <t>01a152b9-9180-726d-9beb-4130459f0231</t>
        </is>
      </c>
      <c r="C2250" s="5" t="inlineStr">
        <is>
          <t>01a152b9-6e67-75da-8adb-b03e5d07fd21</t>
        </is>
      </c>
      <c r="D2250" s="4" t="n">
        <v>46314.24601333999</v>
      </c>
      <c r="E2250" s="4" t="n">
        <v>46314.2460133401</v>
      </c>
      <c r="F2250" t="b">
        <v>1</v>
      </c>
      <c r="G2250" t="n">
        <v/>
      </c>
      <c r="H2250" t="inlineStr">
        <is>
          <t>MRZ</t>
        </is>
      </c>
      <c r="I2250" t="inlineStr">
        <is>
          <t>Mont Royal Resources Ltd</t>
        </is>
      </c>
      <c r="J2250" t="inlineStr">
        <is>
          <t>AUD</t>
        </is>
      </c>
      <c r="K2250" s="5" t="inlineStr">
        <is>
          <t>01a152b9-6ee2-7577-bddd-382bc3853fde</t>
        </is>
      </c>
      <c r="M2250" t="inlineStr">
        <is>
          <t>UNKNOWN</t>
        </is>
      </c>
      <c r="N2250" t="inlineStr">
        <is>
          <t>DEFAULT</t>
        </is>
      </c>
      <c r="Q2250" t="n">
        <v>0</v>
      </c>
      <c r="R2250" t="inlineStr">
        <is>
          <t>AUD</t>
        </is>
      </c>
      <c r="S2250" t="n">
        <v>0</v>
      </c>
      <c r="T2250" t="inlineStr">
        <is>
          <t>AUD</t>
        </is>
      </c>
      <c r="U2250" t="n">
        <v>0</v>
      </c>
    </row>
    <row r="2251">
      <c r="A2251" s="5" t="inlineStr">
        <is>
          <t>01a152b9-9183-7372-b255-d0edf6e432fe</t>
        </is>
      </c>
      <c r="C2251" s="5" t="inlineStr">
        <is>
          <t>01a152b9-6e67-75da-8adb-b03e5d07fd21</t>
        </is>
      </c>
      <c r="D2251" s="4" t="n">
        <v>46314.24601338035</v>
      </c>
      <c r="E2251" s="4" t="n">
        <v>46314.24601338046</v>
      </c>
      <c r="F2251" t="b">
        <v>1</v>
      </c>
      <c r="G2251" t="n">
        <v/>
      </c>
      <c r="H2251" t="inlineStr">
        <is>
          <t>LKY</t>
        </is>
      </c>
      <c r="I2251" t="inlineStr">
        <is>
          <t>Locksley Resources Ltd</t>
        </is>
      </c>
      <c r="J2251" t="inlineStr">
        <is>
          <t>AUD</t>
        </is>
      </c>
      <c r="K2251" s="5" t="inlineStr">
        <is>
          <t>01a152b9-6ee2-7577-bddd-382bc3853fde</t>
        </is>
      </c>
      <c r="M2251" t="inlineStr">
        <is>
          <t>UNKNOWN</t>
        </is>
      </c>
      <c r="N2251" t="inlineStr">
        <is>
          <t>DEFAULT</t>
        </is>
      </c>
      <c r="Q2251" t="n">
        <v>0</v>
      </c>
      <c r="R2251" t="inlineStr">
        <is>
          <t>AUD</t>
        </is>
      </c>
      <c r="S2251" t="n">
        <v>0</v>
      </c>
      <c r="T2251" t="inlineStr">
        <is>
          <t>AUD</t>
        </is>
      </c>
      <c r="U2251" t="n">
        <v>0</v>
      </c>
    </row>
    <row r="2252">
      <c r="A2252" s="5" t="inlineStr">
        <is>
          <t>01a152b9-9187-7454-9bd1-db03d1158840</t>
        </is>
      </c>
      <c r="C2252" s="5" t="inlineStr">
        <is>
          <t>01a152b9-6e67-75da-8adb-b03e5d07fd21</t>
        </is>
      </c>
      <c r="D2252" s="4" t="n">
        <v>46314.24601341863</v>
      </c>
      <c r="E2252" s="4" t="n">
        <v>46314.24601341876</v>
      </c>
      <c r="F2252" t="b">
        <v>1</v>
      </c>
      <c r="G2252" t="n">
        <v/>
      </c>
      <c r="H2252" t="inlineStr">
        <is>
          <t>CMO</t>
        </is>
      </c>
      <c r="I2252" t="inlineStr">
        <is>
          <t>Cosmo Metals Ltd</t>
        </is>
      </c>
      <c r="J2252" t="inlineStr">
        <is>
          <t>AUD</t>
        </is>
      </c>
      <c r="K2252" s="5" t="inlineStr">
        <is>
          <t>01a152b9-6ee2-7577-bddd-382bc3853fde</t>
        </is>
      </c>
      <c r="M2252" t="inlineStr">
        <is>
          <t>UNKNOWN</t>
        </is>
      </c>
      <c r="N2252" t="inlineStr">
        <is>
          <t>DEFAULT</t>
        </is>
      </c>
      <c r="Q2252" t="n">
        <v>0</v>
      </c>
      <c r="R2252" t="inlineStr">
        <is>
          <t>AUD</t>
        </is>
      </c>
      <c r="S2252" t="n">
        <v>0</v>
      </c>
      <c r="T2252" t="inlineStr">
        <is>
          <t>AUD</t>
        </is>
      </c>
      <c r="U2252" t="n">
        <v>0</v>
      </c>
    </row>
    <row r="2253">
      <c r="A2253" s="5" t="inlineStr">
        <is>
          <t>01a152b9-918a-721f-b8f8-d1f57d3484e6</t>
        </is>
      </c>
      <c r="C2253" s="5" t="inlineStr">
        <is>
          <t>01a152b9-6e67-75da-8adb-b03e5d07fd21</t>
        </is>
      </c>
      <c r="D2253" s="4" t="n">
        <v>46314.24601345935</v>
      </c>
      <c r="E2253" s="4" t="n">
        <v>46314.24601345949</v>
      </c>
      <c r="F2253" t="b">
        <v>1</v>
      </c>
      <c r="G2253" t="n">
        <v/>
      </c>
      <c r="H2253" t="inlineStr">
        <is>
          <t>PNT</t>
        </is>
      </c>
      <c r="I2253" t="inlineStr">
        <is>
          <t>Panther Metals Ltd</t>
        </is>
      </c>
      <c r="J2253" t="inlineStr">
        <is>
          <t>AUD</t>
        </is>
      </c>
      <c r="K2253" s="5" t="inlineStr">
        <is>
          <t>01a152b9-6ee2-7577-bddd-382bc3853fde</t>
        </is>
      </c>
      <c r="M2253" t="inlineStr">
        <is>
          <t>UNKNOWN</t>
        </is>
      </c>
      <c r="N2253" t="inlineStr">
        <is>
          <t>DEFAULT</t>
        </is>
      </c>
      <c r="Q2253" t="n">
        <v>0</v>
      </c>
      <c r="R2253" t="inlineStr">
        <is>
          <t>AUD</t>
        </is>
      </c>
      <c r="S2253" t="n">
        <v>0</v>
      </c>
      <c r="T2253" t="inlineStr">
        <is>
          <t>AUD</t>
        </is>
      </c>
      <c r="U2253" t="n">
        <v>0</v>
      </c>
    </row>
    <row r="2254">
      <c r="A2254" s="5" t="inlineStr">
        <is>
          <t>01a152b9-918e-72d3-a430-0f38f47916d3</t>
        </is>
      </c>
      <c r="C2254" s="5" t="inlineStr">
        <is>
          <t>01a152b9-6e67-75da-8adb-b03e5d07fd21</t>
        </is>
      </c>
      <c r="D2254" s="4" t="n">
        <v>46314.24601349816</v>
      </c>
      <c r="E2254" s="4" t="n">
        <v>46314.24601349829</v>
      </c>
      <c r="F2254" t="b">
        <v>1</v>
      </c>
      <c r="G2254" t="n">
        <v/>
      </c>
      <c r="H2254" t="inlineStr">
        <is>
          <t>SFM</t>
        </is>
      </c>
      <c r="I2254" t="inlineStr">
        <is>
          <t>Santa Fe Minerals Ltd</t>
        </is>
      </c>
      <c r="J2254" t="inlineStr">
        <is>
          <t>AUD</t>
        </is>
      </c>
      <c r="K2254" s="5" t="inlineStr">
        <is>
          <t>01a152b9-6ee2-7577-bddd-382bc3853fde</t>
        </is>
      </c>
      <c r="M2254" t="inlineStr">
        <is>
          <t>UNKNOWN</t>
        </is>
      </c>
      <c r="N2254" t="inlineStr">
        <is>
          <t>DEFAULT</t>
        </is>
      </c>
      <c r="Q2254" t="n">
        <v>0</v>
      </c>
      <c r="R2254" t="inlineStr">
        <is>
          <t>AUD</t>
        </is>
      </c>
      <c r="S2254" t="n">
        <v>0</v>
      </c>
      <c r="T2254" t="inlineStr">
        <is>
          <t>AUD</t>
        </is>
      </c>
      <c r="U2254" t="n">
        <v>0</v>
      </c>
    </row>
    <row r="2255">
      <c r="A2255" s="5" t="inlineStr">
        <is>
          <t>01a152b9-9191-7535-a77d-8e37b4e2becf</t>
        </is>
      </c>
      <c r="C2255" s="5" t="inlineStr">
        <is>
          <t>01a152b9-6e67-75da-8adb-b03e5d07fd21</t>
        </is>
      </c>
      <c r="D2255" s="4" t="n">
        <v>46314.2460135392</v>
      </c>
      <c r="E2255" s="4" t="n">
        <v>46314.24601353933</v>
      </c>
      <c r="F2255" t="b">
        <v>1</v>
      </c>
      <c r="G2255" t="n">
        <v/>
      </c>
      <c r="H2255" t="inlineStr">
        <is>
          <t>PLG</t>
        </is>
      </c>
      <c r="I2255" t="inlineStr">
        <is>
          <t>Pearl Gull Iron Ltd</t>
        </is>
      </c>
      <c r="J2255" t="inlineStr">
        <is>
          <t>AUD</t>
        </is>
      </c>
      <c r="K2255" s="5" t="inlineStr">
        <is>
          <t>01a152b9-6ee2-7577-bddd-382bc3853fde</t>
        </is>
      </c>
      <c r="M2255" t="inlineStr">
        <is>
          <t>UNKNOWN</t>
        </is>
      </c>
      <c r="N2255" t="inlineStr">
        <is>
          <t>DEFAULT</t>
        </is>
      </c>
      <c r="Q2255" t="n">
        <v>0</v>
      </c>
      <c r="R2255" t="inlineStr">
        <is>
          <t>AUD</t>
        </is>
      </c>
      <c r="S2255" t="n">
        <v>0</v>
      </c>
      <c r="T2255" t="inlineStr">
        <is>
          <t>AUD</t>
        </is>
      </c>
      <c r="U2255" t="n">
        <v>0</v>
      </c>
    </row>
    <row r="2256">
      <c r="A2256" s="5" t="inlineStr">
        <is>
          <t>01a152b9-9195-71d3-8c90-e0e20840f50e</t>
        </is>
      </c>
      <c r="C2256" s="5" t="inlineStr">
        <is>
          <t>01a152b9-6e67-75da-8adb-b03e5d07fd21</t>
        </is>
      </c>
      <c r="D2256" s="4" t="n">
        <v>46314.24601357786</v>
      </c>
      <c r="E2256" s="4" t="n">
        <v>46314.24601357798</v>
      </c>
      <c r="F2256" t="b">
        <v>1</v>
      </c>
      <c r="G2256" t="n">
        <v/>
      </c>
      <c r="H2256" t="inlineStr">
        <is>
          <t>FRS</t>
        </is>
      </c>
      <c r="I2256" t="inlineStr">
        <is>
          <t>Forrestania Resources Ltd</t>
        </is>
      </c>
      <c r="J2256" t="inlineStr">
        <is>
          <t>AUD</t>
        </is>
      </c>
      <c r="K2256" s="5" t="inlineStr">
        <is>
          <t>01a152b9-6ee2-7577-bddd-382bc3853fde</t>
        </is>
      </c>
      <c r="M2256" t="inlineStr">
        <is>
          <t>UNKNOWN</t>
        </is>
      </c>
      <c r="N2256" t="inlineStr">
        <is>
          <t>DEFAULT</t>
        </is>
      </c>
      <c r="Q2256" t="n">
        <v>0</v>
      </c>
      <c r="R2256" t="inlineStr">
        <is>
          <t>AUD</t>
        </is>
      </c>
      <c r="S2256" t="n">
        <v>0</v>
      </c>
      <c r="T2256" t="inlineStr">
        <is>
          <t>AUD</t>
        </is>
      </c>
      <c r="U2256" t="n">
        <v>0</v>
      </c>
    </row>
    <row r="2257">
      <c r="A2257" s="5" t="inlineStr">
        <is>
          <t>01a152b9-9198-7080-a0e0-f7ade45d6791</t>
        </is>
      </c>
      <c r="C2257" s="5" t="inlineStr">
        <is>
          <t>01a152b9-6e67-75da-8adb-b03e5d07fd21</t>
        </is>
      </c>
      <c r="D2257" s="4" t="n">
        <v>46314.24601362275</v>
      </c>
      <c r="E2257" s="4" t="n">
        <v>46314.24601362287</v>
      </c>
      <c r="F2257" t="b">
        <v>1</v>
      </c>
      <c r="G2257" t="n">
        <v/>
      </c>
      <c r="H2257" t="inlineStr">
        <is>
          <t>PKD</t>
        </is>
      </c>
      <c r="I2257" t="inlineStr">
        <is>
          <t>Parkd Ltd</t>
        </is>
      </c>
      <c r="J2257" t="inlineStr">
        <is>
          <t>AUD</t>
        </is>
      </c>
      <c r="K2257" s="5" t="inlineStr">
        <is>
          <t>01a152b9-6ee2-7577-bddd-382bc3853fde</t>
        </is>
      </c>
      <c r="M2257" t="inlineStr">
        <is>
          <t>UNKNOWN</t>
        </is>
      </c>
      <c r="N2257" t="inlineStr">
        <is>
          <t>DEFAULT</t>
        </is>
      </c>
      <c r="Q2257" t="n">
        <v>0</v>
      </c>
      <c r="R2257" t="inlineStr">
        <is>
          <t>AUD</t>
        </is>
      </c>
      <c r="S2257" t="n">
        <v>0</v>
      </c>
      <c r="T2257" t="inlineStr">
        <is>
          <t>AUD</t>
        </is>
      </c>
      <c r="U2257" t="n">
        <v>0</v>
      </c>
    </row>
    <row r="2258">
      <c r="A2258" s="5" t="inlineStr">
        <is>
          <t>01a152b9-919c-730b-9bd0-ff1c9e0d64de</t>
        </is>
      </c>
      <c r="C2258" s="5" t="inlineStr">
        <is>
          <t>01a152b9-6e67-75da-8adb-b03e5d07fd21</t>
        </is>
      </c>
      <c r="D2258" s="4" t="n">
        <v>46314.24601366522</v>
      </c>
      <c r="E2258" s="4" t="n">
        <v>46314.24601366538</v>
      </c>
      <c r="F2258" t="b">
        <v>1</v>
      </c>
      <c r="G2258" t="n">
        <v/>
      </c>
      <c r="H2258" t="inlineStr">
        <is>
          <t>CZN</t>
        </is>
      </c>
      <c r="I2258" t="inlineStr">
        <is>
          <t>Corazon Mining Ltd</t>
        </is>
      </c>
      <c r="J2258" t="inlineStr">
        <is>
          <t>AUD</t>
        </is>
      </c>
      <c r="K2258" s="5" t="inlineStr">
        <is>
          <t>01a152b9-6ee2-7577-bddd-382bc3853fde</t>
        </is>
      </c>
      <c r="M2258" t="inlineStr">
        <is>
          <t>UNKNOWN</t>
        </is>
      </c>
      <c r="N2258" t="inlineStr">
        <is>
          <t>DEFAULT</t>
        </is>
      </c>
      <c r="Q2258" t="n">
        <v>0</v>
      </c>
      <c r="R2258" t="inlineStr">
        <is>
          <t>AUD</t>
        </is>
      </c>
      <c r="S2258" t="n">
        <v>0</v>
      </c>
      <c r="T2258" t="inlineStr">
        <is>
          <t>AUD</t>
        </is>
      </c>
      <c r="U2258" t="n">
        <v>0</v>
      </c>
    </row>
    <row r="2259">
      <c r="A2259" s="5" t="inlineStr">
        <is>
          <t>01a152b9-91a0-74a0-b15e-de2681281762</t>
        </is>
      </c>
      <c r="C2259" s="5" t="inlineStr">
        <is>
          <t>01a152b9-6e67-75da-8adb-b03e5d07fd21</t>
        </is>
      </c>
      <c r="D2259" s="4" t="n">
        <v>46314.24601371236</v>
      </c>
      <c r="E2259" s="4" t="n">
        <v>46314.24601371252</v>
      </c>
      <c r="F2259" t="b">
        <v>1</v>
      </c>
      <c r="G2259" t="n">
        <v/>
      </c>
      <c r="H2259" t="inlineStr">
        <is>
          <t>ABE</t>
        </is>
      </c>
      <c r="I2259" t="inlineStr">
        <is>
          <t>Australian Bond Exchange Holdings Ltd</t>
        </is>
      </c>
      <c r="J2259" t="inlineStr">
        <is>
          <t>AUD</t>
        </is>
      </c>
      <c r="K2259" s="5" t="inlineStr">
        <is>
          <t>01a152b9-6ee2-7577-bddd-382bc3853fde</t>
        </is>
      </c>
      <c r="M2259" t="inlineStr">
        <is>
          <t>UNKNOWN</t>
        </is>
      </c>
      <c r="N2259" t="inlineStr">
        <is>
          <t>DEFAULT</t>
        </is>
      </c>
      <c r="Q2259" t="n">
        <v>0</v>
      </c>
      <c r="R2259" t="inlineStr">
        <is>
          <t>AUD</t>
        </is>
      </c>
      <c r="S2259" t="n">
        <v>0</v>
      </c>
      <c r="T2259" t="inlineStr">
        <is>
          <t>AUD</t>
        </is>
      </c>
      <c r="U2259" t="n">
        <v>0</v>
      </c>
    </row>
    <row r="2260">
      <c r="A2260" s="5" t="inlineStr">
        <is>
          <t>01a152b9-91a4-76c4-8e82-ca5df42c8867</t>
        </is>
      </c>
      <c r="C2260" s="5" t="inlineStr">
        <is>
          <t>01a152b9-6e67-75da-8adb-b03e5d07fd21</t>
        </is>
      </c>
      <c r="D2260" s="4" t="n">
        <v>46314.24601376317</v>
      </c>
      <c r="E2260" s="4" t="n">
        <v>46314.24601376333</v>
      </c>
      <c r="F2260" t="b">
        <v>1</v>
      </c>
      <c r="G2260" t="n">
        <v/>
      </c>
      <c r="H2260" t="inlineStr">
        <is>
          <t>VIP</t>
        </is>
      </c>
      <c r="I2260" t="inlineStr">
        <is>
          <t>VIP Gloves Ltd</t>
        </is>
      </c>
      <c r="J2260" t="inlineStr">
        <is>
          <t>AUD</t>
        </is>
      </c>
      <c r="K2260" s="5" t="inlineStr">
        <is>
          <t>01a152b9-6ee2-7577-bddd-382bc3853fde</t>
        </is>
      </c>
      <c r="M2260" t="inlineStr">
        <is>
          <t>UNKNOWN</t>
        </is>
      </c>
      <c r="N2260" t="inlineStr">
        <is>
          <t>DEFAULT</t>
        </is>
      </c>
      <c r="Q2260" t="n">
        <v>0</v>
      </c>
      <c r="R2260" t="inlineStr">
        <is>
          <t>AUD</t>
        </is>
      </c>
      <c r="S2260" t="n">
        <v>0</v>
      </c>
      <c r="T2260" t="inlineStr">
        <is>
          <t>AUD</t>
        </is>
      </c>
      <c r="U2260" t="n">
        <v>0</v>
      </c>
    </row>
    <row r="2261">
      <c r="A2261" s="5" t="inlineStr">
        <is>
          <t>01a152b9-91a8-7052-84be-ccc3ca4a0266</t>
        </is>
      </c>
      <c r="C2261" s="5" t="inlineStr">
        <is>
          <t>01a152b9-6e67-75da-8adb-b03e5d07fd21</t>
        </is>
      </c>
      <c r="D2261" s="4" t="n">
        <v>46314.24601380631</v>
      </c>
      <c r="E2261" s="4" t="n">
        <v>46314.24601380647</v>
      </c>
      <c r="F2261" t="b">
        <v>1</v>
      </c>
      <c r="G2261" t="n">
        <v/>
      </c>
      <c r="H2261" t="inlineStr">
        <is>
          <t>AM7</t>
        </is>
      </c>
      <c r="I2261" t="inlineStr">
        <is>
          <t>Arcadia Minerals Ltd</t>
        </is>
      </c>
      <c r="J2261" t="inlineStr">
        <is>
          <t>AUD</t>
        </is>
      </c>
      <c r="K2261" s="5" t="inlineStr">
        <is>
          <t>01a152b9-6ee2-7577-bddd-382bc3853fde</t>
        </is>
      </c>
      <c r="M2261" t="inlineStr">
        <is>
          <t>UNKNOWN</t>
        </is>
      </c>
      <c r="N2261" t="inlineStr">
        <is>
          <t>DEFAULT</t>
        </is>
      </c>
      <c r="Q2261" t="n">
        <v>0</v>
      </c>
      <c r="R2261" t="inlineStr">
        <is>
          <t>AUD</t>
        </is>
      </c>
      <c r="S2261" t="n">
        <v>0</v>
      </c>
      <c r="T2261" t="inlineStr">
        <is>
          <t>AUD</t>
        </is>
      </c>
      <c r="U2261" t="n">
        <v>0</v>
      </c>
    </row>
    <row r="2262">
      <c r="A2262" s="5" t="inlineStr">
        <is>
          <t>01a152b9-91ac-7194-a828-7c56a399adbe</t>
        </is>
      </c>
      <c r="C2262" s="5" t="inlineStr">
        <is>
          <t>01a152b9-6e67-75da-8adb-b03e5d07fd21</t>
        </is>
      </c>
      <c r="D2262" s="4" t="n">
        <v>46314.24601385561</v>
      </c>
      <c r="E2262" s="4" t="n">
        <v>46314.24601385574</v>
      </c>
      <c r="F2262" t="b">
        <v>1</v>
      </c>
      <c r="G2262" t="n">
        <v/>
      </c>
      <c r="H2262" t="inlineStr">
        <is>
          <t>OEQ</t>
        </is>
      </c>
      <c r="I2262" t="inlineStr">
        <is>
          <t>Orion Equities Ltd</t>
        </is>
      </c>
      <c r="J2262" t="inlineStr">
        <is>
          <t>AUD</t>
        </is>
      </c>
      <c r="K2262" s="5" t="inlineStr">
        <is>
          <t>01a152b9-6ee2-7577-bddd-382bc3853fde</t>
        </is>
      </c>
      <c r="M2262" t="inlineStr">
        <is>
          <t>UNKNOWN</t>
        </is>
      </c>
      <c r="N2262" t="inlineStr">
        <is>
          <t>DEFAULT</t>
        </is>
      </c>
      <c r="Q2262" t="n">
        <v>0</v>
      </c>
      <c r="R2262" t="inlineStr">
        <is>
          <t>AUD</t>
        </is>
      </c>
      <c r="S2262" t="n">
        <v>0</v>
      </c>
      <c r="T2262" t="inlineStr">
        <is>
          <t>AUD</t>
        </is>
      </c>
      <c r="U2262" t="n">
        <v>0</v>
      </c>
    </row>
    <row r="2263">
      <c r="A2263" s="5" t="inlineStr">
        <is>
          <t>01a152b9-91b1-769c-b965-ebf4550ca53d</t>
        </is>
      </c>
      <c r="C2263" s="5" t="inlineStr">
        <is>
          <t>01a152b9-6e67-75da-8adb-b03e5d07fd21</t>
        </is>
      </c>
      <c r="D2263" s="4" t="n">
        <v>46314.24601390934</v>
      </c>
      <c r="E2263" s="4" t="n">
        <v>46314.24601390945</v>
      </c>
      <c r="F2263" t="b">
        <v>1</v>
      </c>
      <c r="G2263" t="n">
        <v/>
      </c>
      <c r="H2263" t="inlineStr">
        <is>
          <t>MRD</t>
        </is>
      </c>
      <c r="I2263" t="inlineStr">
        <is>
          <t>Mount Ridley Mines Ltd</t>
        </is>
      </c>
      <c r="J2263" t="inlineStr">
        <is>
          <t>AUD</t>
        </is>
      </c>
      <c r="K2263" s="5" t="inlineStr">
        <is>
          <t>01a152b9-6ee2-7577-bddd-382bc3853fde</t>
        </is>
      </c>
      <c r="M2263" t="inlineStr">
        <is>
          <t>UNKNOWN</t>
        </is>
      </c>
      <c r="N2263" t="inlineStr">
        <is>
          <t>DEFAULT</t>
        </is>
      </c>
      <c r="Q2263" t="n">
        <v>0</v>
      </c>
      <c r="R2263" t="inlineStr">
        <is>
          <t>AUD</t>
        </is>
      </c>
      <c r="S2263" t="n">
        <v>0</v>
      </c>
      <c r="T2263" t="inlineStr">
        <is>
          <t>AUD</t>
        </is>
      </c>
      <c r="U2263" t="n">
        <v>0</v>
      </c>
    </row>
    <row r="2264">
      <c r="A2264" s="5" t="inlineStr">
        <is>
          <t>01a152b9-91b5-743d-8e81-ee972eef7244</t>
        </is>
      </c>
      <c r="C2264" s="5" t="inlineStr">
        <is>
          <t>01a152b9-6e67-75da-8adb-b03e5d07fd21</t>
        </is>
      </c>
      <c r="D2264" s="4" t="n">
        <v>46314.2460139513</v>
      </c>
      <c r="E2264" s="4" t="n">
        <v>46314.2460139514</v>
      </c>
      <c r="F2264" t="b">
        <v>1</v>
      </c>
      <c r="G2264" t="n">
        <v/>
      </c>
      <c r="H2264" t="inlineStr">
        <is>
          <t>RLC</t>
        </is>
      </c>
      <c r="I2264" t="inlineStr">
        <is>
          <t>Reedy Lagoon Corporation Ltd</t>
        </is>
      </c>
      <c r="J2264" t="inlineStr">
        <is>
          <t>AUD</t>
        </is>
      </c>
      <c r="K2264" s="5" t="inlineStr">
        <is>
          <t>01a152b9-6ee2-7577-bddd-382bc3853fde</t>
        </is>
      </c>
      <c r="M2264" t="inlineStr">
        <is>
          <t>UNKNOWN</t>
        </is>
      </c>
      <c r="N2264" t="inlineStr">
        <is>
          <t>DEFAULT</t>
        </is>
      </c>
      <c r="Q2264" t="n">
        <v>0</v>
      </c>
      <c r="R2264" t="inlineStr">
        <is>
          <t>AUD</t>
        </is>
      </c>
      <c r="S2264" t="n">
        <v>0</v>
      </c>
      <c r="T2264" t="inlineStr">
        <is>
          <t>AUD</t>
        </is>
      </c>
      <c r="U2264" t="n">
        <v>0</v>
      </c>
    </row>
    <row r="2265">
      <c r="A2265" s="5" t="inlineStr">
        <is>
          <t>01a152b9-91b8-7174-be97-3fc372a8d828</t>
        </is>
      </c>
      <c r="C2265" s="5" t="inlineStr">
        <is>
          <t>01a152b9-6e67-75da-8adb-b03e5d07fd21</t>
        </is>
      </c>
      <c r="D2265" s="4" t="n">
        <v>46314.24601399397</v>
      </c>
      <c r="E2265" s="4" t="n">
        <v>46314.24601399407</v>
      </c>
      <c r="F2265" t="b">
        <v>1</v>
      </c>
      <c r="G2265" t="n">
        <v/>
      </c>
      <c r="H2265" t="inlineStr">
        <is>
          <t>GNM</t>
        </is>
      </c>
      <c r="I2265" t="inlineStr">
        <is>
          <t>Great Northern Minerals Ltd</t>
        </is>
      </c>
      <c r="J2265" t="inlineStr">
        <is>
          <t>AUD</t>
        </is>
      </c>
      <c r="K2265" s="5" t="inlineStr">
        <is>
          <t>01a152b9-6ee2-7577-bddd-382bc3853fde</t>
        </is>
      </c>
      <c r="M2265" t="inlineStr">
        <is>
          <t>UNKNOWN</t>
        </is>
      </c>
      <c r="N2265" t="inlineStr">
        <is>
          <t>DEFAULT</t>
        </is>
      </c>
      <c r="Q2265" t="n">
        <v>0</v>
      </c>
      <c r="R2265" t="inlineStr">
        <is>
          <t>AUD</t>
        </is>
      </c>
      <c r="S2265" t="n">
        <v>0</v>
      </c>
      <c r="T2265" t="inlineStr">
        <is>
          <t>AUD</t>
        </is>
      </c>
      <c r="U2265" t="n">
        <v>0</v>
      </c>
    </row>
    <row r="2266">
      <c r="A2266" s="5" t="inlineStr">
        <is>
          <t>01a152b9-91bc-740d-98df-fa7bd9be42b6</t>
        </is>
      </c>
      <c r="C2266" s="5" t="inlineStr">
        <is>
          <t>01a152b9-6e67-75da-8adb-b03e5d07fd21</t>
        </is>
      </c>
      <c r="D2266" s="4" t="n">
        <v>46314.24601403187</v>
      </c>
      <c r="E2266" s="4" t="n">
        <v>46314.24601403198</v>
      </c>
      <c r="F2266" t="b">
        <v>1</v>
      </c>
      <c r="G2266" t="n">
        <v/>
      </c>
      <c r="H2266" t="inlineStr">
        <is>
          <t>AKN</t>
        </is>
      </c>
      <c r="I2266" t="inlineStr">
        <is>
          <t>Auking Mining Ltd</t>
        </is>
      </c>
      <c r="J2266" t="inlineStr">
        <is>
          <t>AUD</t>
        </is>
      </c>
      <c r="K2266" s="5" t="inlineStr">
        <is>
          <t>01a152b9-6ee2-7577-bddd-382bc3853fde</t>
        </is>
      </c>
      <c r="M2266" t="inlineStr">
        <is>
          <t>UNKNOWN</t>
        </is>
      </c>
      <c r="N2266" t="inlineStr">
        <is>
          <t>DEFAULT</t>
        </is>
      </c>
      <c r="Q2266" t="n">
        <v>0</v>
      </c>
      <c r="R2266" t="inlineStr">
        <is>
          <t>AUD</t>
        </is>
      </c>
      <c r="S2266" t="n">
        <v>0</v>
      </c>
      <c r="T2266" t="inlineStr">
        <is>
          <t>AUD</t>
        </is>
      </c>
      <c r="U2266" t="n">
        <v>0</v>
      </c>
    </row>
    <row r="2267">
      <c r="A2267" s="5" t="inlineStr">
        <is>
          <t>01a152b9-91bf-72c1-94e9-c7314611bfe8</t>
        </is>
      </c>
      <c r="C2267" s="5" t="inlineStr">
        <is>
          <t>01a152b9-6e67-75da-8adb-b03e5d07fd21</t>
        </is>
      </c>
      <c r="D2267" s="4" t="n">
        <v>46314.24601407331</v>
      </c>
      <c r="E2267" s="4" t="n">
        <v>46314.2460140734</v>
      </c>
      <c r="F2267" t="b">
        <v>1</v>
      </c>
      <c r="G2267" t="n">
        <v/>
      </c>
      <c r="H2267" t="inlineStr">
        <is>
          <t>CYQ</t>
        </is>
      </c>
      <c r="I2267" t="inlineStr">
        <is>
          <t>CYCLIQ Group Ltd</t>
        </is>
      </c>
      <c r="J2267" t="inlineStr">
        <is>
          <t>AUD</t>
        </is>
      </c>
      <c r="K2267" s="5" t="inlineStr">
        <is>
          <t>01a152b9-6ee2-7577-bddd-382bc3853fde</t>
        </is>
      </c>
      <c r="M2267" t="inlineStr">
        <is>
          <t>UNKNOWN</t>
        </is>
      </c>
      <c r="N2267" t="inlineStr">
        <is>
          <t>DEFAULT</t>
        </is>
      </c>
      <c r="Q2267" t="n">
        <v>0</v>
      </c>
      <c r="R2267" t="inlineStr">
        <is>
          <t>AUD</t>
        </is>
      </c>
      <c r="S2267" t="n">
        <v>0</v>
      </c>
      <c r="T2267" t="inlineStr">
        <is>
          <t>AUD</t>
        </is>
      </c>
      <c r="U2267" t="n">
        <v>0</v>
      </c>
    </row>
    <row r="2268">
      <c r="A2268" s="5" t="inlineStr">
        <is>
          <t>01a152b9-91c2-7050-bb5d-2da4756e5fce</t>
        </is>
      </c>
      <c r="C2268" s="5" t="inlineStr">
        <is>
          <t>01a152b9-6e67-75da-8adb-b03e5d07fd21</t>
        </is>
      </c>
      <c r="D2268" s="4" t="n">
        <v>46314.24601410997</v>
      </c>
      <c r="E2268" s="4" t="n">
        <v>46314.24601411009</v>
      </c>
      <c r="F2268" t="b">
        <v>1</v>
      </c>
      <c r="G2268" t="n">
        <v/>
      </c>
      <c r="H2268" t="inlineStr">
        <is>
          <t>IEAT</t>
        </is>
      </c>
      <c r="I2268" t="inlineStr">
        <is>
          <t>Betashares Future of Food ETF</t>
        </is>
      </c>
      <c r="J2268" t="inlineStr">
        <is>
          <t>AUD</t>
        </is>
      </c>
      <c r="K2268" s="5" t="inlineStr">
        <is>
          <t>01a152b9-6ee2-7577-bddd-382bc3853fde</t>
        </is>
      </c>
      <c r="M2268" t="inlineStr">
        <is>
          <t>UNKNOWN</t>
        </is>
      </c>
      <c r="N2268" t="inlineStr">
        <is>
          <t>DEFAULT</t>
        </is>
      </c>
      <c r="Q2268" t="n">
        <v>0</v>
      </c>
      <c r="R2268" t="inlineStr">
        <is>
          <t>AUD</t>
        </is>
      </c>
      <c r="S2268" t="n">
        <v>0</v>
      </c>
      <c r="T2268" t="inlineStr">
        <is>
          <t>AUD</t>
        </is>
      </c>
      <c r="U2268" t="n">
        <v>0</v>
      </c>
    </row>
    <row r="2269">
      <c r="A2269" s="5" t="inlineStr">
        <is>
          <t>01a152b9-91c6-7272-9d99-35275fc32124</t>
        </is>
      </c>
      <c r="C2269" s="5" t="inlineStr">
        <is>
          <t>01a152b9-6e67-75da-8adb-b03e5d07fd21</t>
        </is>
      </c>
      <c r="D2269" s="4" t="n">
        <v>46314.24601415064</v>
      </c>
      <c r="E2269" s="4" t="n">
        <v>46314.24601415083</v>
      </c>
      <c r="F2269" t="b">
        <v>1</v>
      </c>
      <c r="G2269" t="n">
        <v/>
      </c>
      <c r="H2269" t="inlineStr">
        <is>
          <t>GGFD</t>
        </is>
      </c>
      <c r="I2269" t="inlineStr">
        <is>
          <t>Betashares Geared Long US TR Bond CH (Hedge Fund)</t>
        </is>
      </c>
      <c r="J2269" t="inlineStr">
        <is>
          <t>AUD</t>
        </is>
      </c>
      <c r="K2269" s="5" t="inlineStr">
        <is>
          <t>01a152b9-6ee2-7577-bddd-382bc3853fde</t>
        </is>
      </c>
      <c r="M2269" t="inlineStr">
        <is>
          <t>UNKNOWN</t>
        </is>
      </c>
      <c r="N2269" t="inlineStr">
        <is>
          <t>DEFAULT</t>
        </is>
      </c>
      <c r="Q2269" t="n">
        <v>0</v>
      </c>
      <c r="R2269" t="inlineStr">
        <is>
          <t>AUD</t>
        </is>
      </c>
      <c r="S2269" t="n">
        <v>0</v>
      </c>
      <c r="T2269" t="inlineStr">
        <is>
          <t>AUD</t>
        </is>
      </c>
      <c r="U2269" t="n">
        <v>0</v>
      </c>
    </row>
    <row r="2270">
      <c r="A2270" s="5" t="inlineStr">
        <is>
          <t>01a152b9-91c9-739b-b54d-67397fb34350</t>
        </is>
      </c>
      <c r="C2270" s="5" t="inlineStr">
        <is>
          <t>01a152b9-6e67-75da-8adb-b03e5d07fd21</t>
        </is>
      </c>
      <c r="D2270" s="4" t="n">
        <v>46314.2460141859</v>
      </c>
      <c r="E2270" s="4" t="n">
        <v>46314.24601418599</v>
      </c>
      <c r="F2270" t="b">
        <v>1</v>
      </c>
      <c r="G2270" t="n">
        <v/>
      </c>
      <c r="H2270" t="inlineStr">
        <is>
          <t>GSM</t>
        </is>
      </c>
      <c r="I2270" t="inlineStr">
        <is>
          <t>Golden State Mining Ltd</t>
        </is>
      </c>
      <c r="J2270" t="inlineStr">
        <is>
          <t>AUD</t>
        </is>
      </c>
      <c r="K2270" s="5" t="inlineStr">
        <is>
          <t>01a152b9-6ee2-7577-bddd-382bc3853fde</t>
        </is>
      </c>
      <c r="M2270" t="inlineStr">
        <is>
          <t>UNKNOWN</t>
        </is>
      </c>
      <c r="N2270" t="inlineStr">
        <is>
          <t>DEFAULT</t>
        </is>
      </c>
      <c r="Q2270" t="n">
        <v>0</v>
      </c>
      <c r="R2270" t="inlineStr">
        <is>
          <t>AUD</t>
        </is>
      </c>
      <c r="S2270" t="n">
        <v>0</v>
      </c>
      <c r="T2270" t="inlineStr">
        <is>
          <t>AUD</t>
        </is>
      </c>
      <c r="U2270" t="n">
        <v>0</v>
      </c>
    </row>
    <row r="2271">
      <c r="A2271" s="5" t="inlineStr">
        <is>
          <t>01a152b9-91cc-7374-b8ad-e36fe83ad4db</t>
        </is>
      </c>
      <c r="C2271" s="5" t="inlineStr">
        <is>
          <t>01a152b9-6e67-75da-8adb-b03e5d07fd21</t>
        </is>
      </c>
      <c r="D2271" s="4" t="n">
        <v>46314.24601422064</v>
      </c>
      <c r="E2271" s="4" t="n">
        <v>46314.24601422084</v>
      </c>
      <c r="F2271" t="b">
        <v>1</v>
      </c>
      <c r="G2271" t="n">
        <v/>
      </c>
      <c r="H2271" t="inlineStr">
        <is>
          <t>AAJ</t>
        </is>
      </c>
      <c r="I2271" t="inlineStr">
        <is>
          <t>Aruma Resources Ltd</t>
        </is>
      </c>
      <c r="J2271" t="inlineStr">
        <is>
          <t>AUD</t>
        </is>
      </c>
      <c r="K2271" s="5" t="inlineStr">
        <is>
          <t>01a152b9-6ee2-7577-bddd-382bc3853fde</t>
        </is>
      </c>
      <c r="M2271" t="inlineStr">
        <is>
          <t>UNKNOWN</t>
        </is>
      </c>
      <c r="N2271" t="inlineStr">
        <is>
          <t>DEFAULT</t>
        </is>
      </c>
      <c r="Q2271" t="n">
        <v>0</v>
      </c>
      <c r="R2271" t="inlineStr">
        <is>
          <t>AUD</t>
        </is>
      </c>
      <c r="S2271" t="n">
        <v>0</v>
      </c>
      <c r="T2271" t="inlineStr">
        <is>
          <t>AUD</t>
        </is>
      </c>
      <c r="U2271" t="n">
        <v>0</v>
      </c>
    </row>
    <row r="2272">
      <c r="A2272" s="5" t="inlineStr">
        <is>
          <t>01a152b9-91d0-76fd-b8cb-33b929a1df44</t>
        </is>
      </c>
      <c r="C2272" s="5" t="inlineStr">
        <is>
          <t>01a152b9-6e67-75da-8adb-b03e5d07fd21</t>
        </is>
      </c>
      <c r="D2272" s="4" t="n">
        <v>46314.24601426246</v>
      </c>
      <c r="E2272" s="4" t="n">
        <v>46314.24601426259</v>
      </c>
      <c r="F2272" t="b">
        <v>1</v>
      </c>
      <c r="G2272" t="n">
        <v/>
      </c>
      <c r="H2272" t="inlineStr">
        <is>
          <t>BSN</t>
        </is>
      </c>
      <c r="I2272" t="inlineStr">
        <is>
          <t>Basin Energy Ltd</t>
        </is>
      </c>
      <c r="J2272" t="inlineStr">
        <is>
          <t>AUD</t>
        </is>
      </c>
      <c r="K2272" s="5" t="inlineStr">
        <is>
          <t>01a152b9-6ee2-7577-bddd-382bc3853fde</t>
        </is>
      </c>
      <c r="M2272" t="inlineStr">
        <is>
          <t>UNKNOWN</t>
        </is>
      </c>
      <c r="N2272" t="inlineStr">
        <is>
          <t>DEFAULT</t>
        </is>
      </c>
      <c r="Q2272" t="n">
        <v>0</v>
      </c>
      <c r="R2272" t="inlineStr">
        <is>
          <t>AUD</t>
        </is>
      </c>
      <c r="S2272" t="n">
        <v>0</v>
      </c>
      <c r="T2272" t="inlineStr">
        <is>
          <t>AUD</t>
        </is>
      </c>
      <c r="U2272" t="n">
        <v>0</v>
      </c>
    </row>
    <row r="2273">
      <c r="A2273" s="5" t="inlineStr">
        <is>
          <t>01a152b9-91d3-746a-a946-106039c55234</t>
        </is>
      </c>
      <c r="C2273" s="5" t="inlineStr">
        <is>
          <t>01a152b9-6e67-75da-8adb-b03e5d07fd21</t>
        </is>
      </c>
      <c r="D2273" s="4" t="n">
        <v>46314.24601429822</v>
      </c>
      <c r="E2273" s="4" t="n">
        <v>46314.24601429831</v>
      </c>
      <c r="F2273" t="b">
        <v>1</v>
      </c>
      <c r="G2273" t="n">
        <v/>
      </c>
      <c r="H2273" t="inlineStr">
        <is>
          <t>CRB</t>
        </is>
      </c>
      <c r="I2273" t="inlineStr">
        <is>
          <t>Carbine Resources Ltd</t>
        </is>
      </c>
      <c r="J2273" t="inlineStr">
        <is>
          <t>AUD</t>
        </is>
      </c>
      <c r="K2273" s="5" t="inlineStr">
        <is>
          <t>01a152b9-6ee2-7577-bddd-382bc3853fde</t>
        </is>
      </c>
      <c r="M2273" t="inlineStr">
        <is>
          <t>UNKNOWN</t>
        </is>
      </c>
      <c r="N2273" t="inlineStr">
        <is>
          <t>DEFAULT</t>
        </is>
      </c>
      <c r="Q2273" t="n">
        <v>0</v>
      </c>
      <c r="R2273" t="inlineStr">
        <is>
          <t>AUD</t>
        </is>
      </c>
      <c r="S2273" t="n">
        <v>0</v>
      </c>
      <c r="T2273" t="inlineStr">
        <is>
          <t>AUD</t>
        </is>
      </c>
      <c r="U2273" t="n">
        <v>0</v>
      </c>
    </row>
    <row r="2274">
      <c r="A2274" s="5" t="inlineStr">
        <is>
          <t>01a152b9-91d6-7684-b047-cd132d35e349</t>
        </is>
      </c>
      <c r="C2274" s="5" t="inlineStr">
        <is>
          <t>01a152b9-6e67-75da-8adb-b03e5d07fd21</t>
        </is>
      </c>
      <c r="D2274" s="4" t="n">
        <v>46314.24601433787</v>
      </c>
      <c r="E2274" s="4" t="n">
        <v>46314.24601433796</v>
      </c>
      <c r="F2274" t="b">
        <v>1</v>
      </c>
      <c r="G2274" t="n">
        <v/>
      </c>
      <c r="H2274" t="inlineStr">
        <is>
          <t>GCR</t>
        </is>
      </c>
      <c r="I2274" t="inlineStr">
        <is>
          <t>Golden Cross Resources Ltd</t>
        </is>
      </c>
      <c r="J2274" t="inlineStr">
        <is>
          <t>AUD</t>
        </is>
      </c>
      <c r="K2274" s="5" t="inlineStr">
        <is>
          <t>01a152b9-6ee2-7577-bddd-382bc3853fde</t>
        </is>
      </c>
      <c r="M2274" t="inlineStr">
        <is>
          <t>UNKNOWN</t>
        </is>
      </c>
      <c r="N2274" t="inlineStr">
        <is>
          <t>DEFAULT</t>
        </is>
      </c>
      <c r="Q2274" t="n">
        <v>0</v>
      </c>
      <c r="R2274" t="inlineStr">
        <is>
          <t>AUD</t>
        </is>
      </c>
      <c r="S2274" t="n">
        <v>0</v>
      </c>
      <c r="T2274" t="inlineStr">
        <is>
          <t>AUD</t>
        </is>
      </c>
      <c r="U2274" t="n">
        <v>0</v>
      </c>
    </row>
    <row r="2275">
      <c r="A2275" s="5" t="inlineStr">
        <is>
          <t>01a152b9-91da-77a6-ac52-6fd0199a0128</t>
        </is>
      </c>
      <c r="C2275" s="5" t="inlineStr">
        <is>
          <t>01a152b9-6e67-75da-8adb-b03e5d07fd21</t>
        </is>
      </c>
      <c r="D2275" s="4" t="n">
        <v>46314.24601437723</v>
      </c>
      <c r="E2275" s="4" t="n">
        <v>46314.24601437733</v>
      </c>
      <c r="F2275" t="b">
        <v>1</v>
      </c>
      <c r="G2275" t="n">
        <v/>
      </c>
      <c r="H2275" t="inlineStr">
        <is>
          <t>AOA</t>
        </is>
      </c>
      <c r="I2275" t="inlineStr">
        <is>
          <t>Ausmon Resources Ltd</t>
        </is>
      </c>
      <c r="J2275" t="inlineStr">
        <is>
          <t>AUD</t>
        </is>
      </c>
      <c r="K2275" s="5" t="inlineStr">
        <is>
          <t>01a152b9-6ee2-7577-bddd-382bc3853fde</t>
        </is>
      </c>
      <c r="M2275" t="inlineStr">
        <is>
          <t>UNKNOWN</t>
        </is>
      </c>
      <c r="N2275" t="inlineStr">
        <is>
          <t>DEFAULT</t>
        </is>
      </c>
      <c r="Q2275" t="n">
        <v>0</v>
      </c>
      <c r="R2275" t="inlineStr">
        <is>
          <t>AUD</t>
        </is>
      </c>
      <c r="S2275" t="n">
        <v>0</v>
      </c>
      <c r="T2275" t="inlineStr">
        <is>
          <t>AUD</t>
        </is>
      </c>
      <c r="U2275" t="n">
        <v>0</v>
      </c>
    </row>
    <row r="2276">
      <c r="A2276" s="5" t="inlineStr">
        <is>
          <t>01a152b9-91dd-74d7-983b-845a30d1335d</t>
        </is>
      </c>
      <c r="C2276" s="5" t="inlineStr">
        <is>
          <t>01a152b9-6e67-75da-8adb-b03e5d07fd21</t>
        </is>
      </c>
      <c r="D2276" s="4" t="n">
        <v>46314.24601441461</v>
      </c>
      <c r="E2276" s="4" t="n">
        <v>46314.2460144147</v>
      </c>
      <c r="F2276" t="b">
        <v>1</v>
      </c>
      <c r="G2276" t="n">
        <v/>
      </c>
      <c r="H2276" t="inlineStr">
        <is>
          <t>HXL</t>
        </is>
      </c>
      <c r="I2276" t="inlineStr">
        <is>
          <t>Hexima Ltd</t>
        </is>
      </c>
      <c r="J2276" t="inlineStr">
        <is>
          <t>AUD</t>
        </is>
      </c>
      <c r="K2276" s="5" t="inlineStr">
        <is>
          <t>01a152b9-6ee2-7577-bddd-382bc3853fde</t>
        </is>
      </c>
      <c r="M2276" t="inlineStr">
        <is>
          <t>UNKNOWN</t>
        </is>
      </c>
      <c r="N2276" t="inlineStr">
        <is>
          <t>DEFAULT</t>
        </is>
      </c>
      <c r="Q2276" t="n">
        <v>0</v>
      </c>
      <c r="R2276" t="inlineStr">
        <is>
          <t>AUD</t>
        </is>
      </c>
      <c r="S2276" t="n">
        <v>0</v>
      </c>
      <c r="T2276" t="inlineStr">
        <is>
          <t>AUD</t>
        </is>
      </c>
      <c r="U2276" t="n">
        <v>0</v>
      </c>
    </row>
    <row r="2277">
      <c r="A2277" s="5" t="inlineStr">
        <is>
          <t>01a152b9-91e0-7765-a4cd-522c352e41c9</t>
        </is>
      </c>
      <c r="C2277" s="5" t="inlineStr">
        <is>
          <t>01a152b9-6e67-75da-8adb-b03e5d07fd21</t>
        </is>
      </c>
      <c r="D2277" s="4" t="n">
        <v>46314.24601445004</v>
      </c>
      <c r="E2277" s="4" t="n">
        <v>46314.24601445012</v>
      </c>
      <c r="F2277" t="b">
        <v>1</v>
      </c>
      <c r="G2277" t="n">
        <v/>
      </c>
      <c r="H2277" t="inlineStr">
        <is>
          <t>CNJ</t>
        </is>
      </c>
      <c r="I2277" t="inlineStr">
        <is>
          <t>Conico Ltd</t>
        </is>
      </c>
      <c r="J2277" t="inlineStr">
        <is>
          <t>AUD</t>
        </is>
      </c>
      <c r="K2277" s="5" t="inlineStr">
        <is>
          <t>01a152b9-6ee2-7577-bddd-382bc3853fde</t>
        </is>
      </c>
      <c r="M2277" t="inlineStr">
        <is>
          <t>UNKNOWN</t>
        </is>
      </c>
      <c r="N2277" t="inlineStr">
        <is>
          <t>DEFAULT</t>
        </is>
      </c>
      <c r="Q2277" t="n">
        <v>0</v>
      </c>
      <c r="R2277" t="inlineStr">
        <is>
          <t>AUD</t>
        </is>
      </c>
      <c r="S2277" t="n">
        <v>0</v>
      </c>
      <c r="T2277" t="inlineStr">
        <is>
          <t>AUD</t>
        </is>
      </c>
      <c r="U2277" t="n">
        <v>0</v>
      </c>
    </row>
    <row r="2278">
      <c r="A2278" s="5" t="inlineStr">
        <is>
          <t>01a152b9-91e3-70f3-8066-db6f121e3c53</t>
        </is>
      </c>
      <c r="C2278" s="5" t="inlineStr">
        <is>
          <t>01a152b9-6e67-75da-8adb-b03e5d07fd21</t>
        </is>
      </c>
      <c r="D2278" s="4" t="n">
        <v>46314.24601449034</v>
      </c>
      <c r="E2278" s="4" t="n">
        <v>46314.24601449043</v>
      </c>
      <c r="F2278" t="b">
        <v>1</v>
      </c>
      <c r="G2278" t="n">
        <v/>
      </c>
      <c r="H2278" t="inlineStr">
        <is>
          <t>TKL</t>
        </is>
      </c>
      <c r="I2278" t="inlineStr">
        <is>
          <t>Traka Resources Ltd</t>
        </is>
      </c>
      <c r="J2278" t="inlineStr">
        <is>
          <t>AUD</t>
        </is>
      </c>
      <c r="K2278" s="5" t="inlineStr">
        <is>
          <t>01a152b9-6ee2-7577-bddd-382bc3853fde</t>
        </is>
      </c>
      <c r="M2278" t="inlineStr">
        <is>
          <t>UNKNOWN</t>
        </is>
      </c>
      <c r="N2278" t="inlineStr">
        <is>
          <t>DEFAULT</t>
        </is>
      </c>
      <c r="Q2278" t="n">
        <v>0</v>
      </c>
      <c r="R2278" t="inlineStr">
        <is>
          <t>AUD</t>
        </is>
      </c>
      <c r="S2278" t="n">
        <v>0</v>
      </c>
      <c r="T2278" t="inlineStr">
        <is>
          <t>AUD</t>
        </is>
      </c>
      <c r="U2278" t="n">
        <v>0</v>
      </c>
    </row>
    <row r="2279">
      <c r="A2279" s="5" t="inlineStr">
        <is>
          <t>01a152b9-91e7-75ee-b90f-5eefb4b9d2e8</t>
        </is>
      </c>
      <c r="C2279" s="5" t="inlineStr">
        <is>
          <t>01a152b9-6e67-75da-8adb-b03e5d07fd21</t>
        </is>
      </c>
      <c r="D2279" s="4" t="n">
        <v>46314.24601452873</v>
      </c>
      <c r="E2279" s="4" t="n">
        <v>46314.24601452882</v>
      </c>
      <c r="F2279" t="b">
        <v>1</v>
      </c>
      <c r="G2279" t="n">
        <v/>
      </c>
      <c r="H2279" t="inlineStr">
        <is>
          <t>SQX</t>
        </is>
      </c>
      <c r="I2279" t="inlineStr">
        <is>
          <t>SQX Resources Ltd</t>
        </is>
      </c>
      <c r="J2279" t="inlineStr">
        <is>
          <t>AUD</t>
        </is>
      </c>
      <c r="K2279" s="5" t="inlineStr">
        <is>
          <t>01a152b9-6ee2-7577-bddd-382bc3853fde</t>
        </is>
      </c>
      <c r="M2279" t="inlineStr">
        <is>
          <t>UNKNOWN</t>
        </is>
      </c>
      <c r="N2279" t="inlineStr">
        <is>
          <t>DEFAULT</t>
        </is>
      </c>
      <c r="Q2279" t="n">
        <v>0</v>
      </c>
      <c r="R2279" t="inlineStr">
        <is>
          <t>AUD</t>
        </is>
      </c>
      <c r="S2279" t="n">
        <v>0</v>
      </c>
      <c r="T2279" t="inlineStr">
        <is>
          <t>AUD</t>
        </is>
      </c>
      <c r="U2279" t="n">
        <v>0</v>
      </c>
    </row>
    <row r="2280">
      <c r="A2280" s="5" t="inlineStr">
        <is>
          <t>01a152b9-91ea-70fc-bbfd-6b2570601390</t>
        </is>
      </c>
      <c r="C2280" s="5" t="inlineStr">
        <is>
          <t>01a152b9-6e67-75da-8adb-b03e5d07fd21</t>
        </is>
      </c>
      <c r="D2280" s="4" t="n">
        <v>46314.24601456415</v>
      </c>
      <c r="E2280" s="4" t="n">
        <v>46314.24601456425</v>
      </c>
      <c r="F2280" t="b">
        <v>1</v>
      </c>
      <c r="G2280" t="n">
        <v/>
      </c>
      <c r="H2280" t="inlineStr">
        <is>
          <t>GGAB</t>
        </is>
      </c>
      <c r="I2280" t="inlineStr">
        <is>
          <t>Betashares Geared Long Aus GOV Bond (Hedge Fund)</t>
        </is>
      </c>
      <c r="J2280" t="inlineStr">
        <is>
          <t>AUD</t>
        </is>
      </c>
      <c r="K2280" s="5" t="inlineStr">
        <is>
          <t>01a152b9-6ee2-7577-bddd-382bc3853fde</t>
        </is>
      </c>
      <c r="M2280" t="inlineStr">
        <is>
          <t>UNKNOWN</t>
        </is>
      </c>
      <c r="N2280" t="inlineStr">
        <is>
          <t>DEFAULT</t>
        </is>
      </c>
      <c r="Q2280" t="n">
        <v>0</v>
      </c>
      <c r="R2280" t="inlineStr">
        <is>
          <t>AUD</t>
        </is>
      </c>
      <c r="S2280" t="n">
        <v>0</v>
      </c>
      <c r="T2280" t="inlineStr">
        <is>
          <t>AUD</t>
        </is>
      </c>
      <c r="U2280" t="n">
        <v>0</v>
      </c>
    </row>
    <row r="2281">
      <c r="A2281" s="5" t="inlineStr">
        <is>
          <t>01a152b9-91ed-714f-9f7b-7e5871bc8465</t>
        </is>
      </c>
      <c r="C2281" s="5" t="inlineStr">
        <is>
          <t>01a152b9-6e67-75da-8adb-b03e5d07fd21</t>
        </is>
      </c>
      <c r="D2281" s="4" t="n">
        <v>46314.24601460093</v>
      </c>
      <c r="E2281" s="4" t="n">
        <v>46314.24601460103</v>
      </c>
      <c r="F2281" t="b">
        <v>1</v>
      </c>
      <c r="G2281" t="n">
        <v/>
      </c>
      <c r="H2281" t="inlineStr">
        <is>
          <t>MTB</t>
        </is>
      </c>
      <c r="I2281" t="inlineStr">
        <is>
          <t>Mount Burgess Mining NL</t>
        </is>
      </c>
      <c r="J2281" t="inlineStr">
        <is>
          <t>AUD</t>
        </is>
      </c>
      <c r="K2281" s="5" t="inlineStr">
        <is>
          <t>01a152b9-6ee2-7577-bddd-382bc3853fde</t>
        </is>
      </c>
      <c r="M2281" t="inlineStr">
        <is>
          <t>UNKNOWN</t>
        </is>
      </c>
      <c r="N2281" t="inlineStr">
        <is>
          <t>DEFAULT</t>
        </is>
      </c>
      <c r="Q2281" t="n">
        <v>0</v>
      </c>
      <c r="R2281" t="inlineStr">
        <is>
          <t>AUD</t>
        </is>
      </c>
      <c r="S2281" t="n">
        <v>0</v>
      </c>
      <c r="T2281" t="inlineStr">
        <is>
          <t>AUD</t>
        </is>
      </c>
      <c r="U2281" t="n">
        <v>0</v>
      </c>
    </row>
    <row r="2282">
      <c r="A2282" s="5" t="inlineStr">
        <is>
          <t>01a152b9-91f0-713e-949e-e9857b7ee800</t>
        </is>
      </c>
      <c r="C2282" s="5" t="inlineStr">
        <is>
          <t>01a152b9-6e67-75da-8adb-b03e5d07fd21</t>
        </is>
      </c>
      <c r="D2282" s="4" t="n">
        <v>46314.24601463506</v>
      </c>
      <c r="E2282" s="4" t="n">
        <v>46314.24601463515</v>
      </c>
      <c r="F2282" t="b">
        <v>1</v>
      </c>
      <c r="G2282" t="n">
        <v/>
      </c>
      <c r="H2282" t="inlineStr">
        <is>
          <t>WBE</t>
        </is>
      </c>
      <c r="I2282" t="inlineStr">
        <is>
          <t>Whitebark Energy Ltd</t>
        </is>
      </c>
      <c r="J2282" t="inlineStr">
        <is>
          <t>AUD</t>
        </is>
      </c>
      <c r="K2282" s="5" t="inlineStr">
        <is>
          <t>01a152b9-6ee2-7577-bddd-382bc3853fde</t>
        </is>
      </c>
      <c r="M2282" t="inlineStr">
        <is>
          <t>UNKNOWN</t>
        </is>
      </c>
      <c r="N2282" t="inlineStr">
        <is>
          <t>DEFAULT</t>
        </is>
      </c>
      <c r="Q2282" t="n">
        <v>0</v>
      </c>
      <c r="R2282" t="inlineStr">
        <is>
          <t>AUD</t>
        </is>
      </c>
      <c r="S2282" t="n">
        <v>0</v>
      </c>
      <c r="T2282" t="inlineStr">
        <is>
          <t>AUD</t>
        </is>
      </c>
      <c r="U2282" t="n">
        <v>0</v>
      </c>
    </row>
    <row r="2283">
      <c r="A2283" s="5" t="inlineStr">
        <is>
          <t>01a152b9-91f3-72a1-8c67-84c188ea8577</t>
        </is>
      </c>
      <c r="C2283" s="5" t="inlineStr">
        <is>
          <t>01a152b9-6e67-75da-8adb-b03e5d07fd21</t>
        </is>
      </c>
      <c r="D2283" s="4" t="n">
        <v>46314.2460146724</v>
      </c>
      <c r="E2283" s="4" t="n">
        <v>46314.24601467249</v>
      </c>
      <c r="F2283" t="b">
        <v>1</v>
      </c>
      <c r="G2283" t="n">
        <v/>
      </c>
      <c r="H2283" t="inlineStr">
        <is>
          <t>BYH</t>
        </is>
      </c>
      <c r="I2283" t="inlineStr">
        <is>
          <t>Bryah Resources Ltd</t>
        </is>
      </c>
      <c r="J2283" t="inlineStr">
        <is>
          <t>AUD</t>
        </is>
      </c>
      <c r="K2283" s="5" t="inlineStr">
        <is>
          <t>01a152b9-6ee2-7577-bddd-382bc3853fde</t>
        </is>
      </c>
      <c r="M2283" t="inlineStr">
        <is>
          <t>UNKNOWN</t>
        </is>
      </c>
      <c r="N2283" t="inlineStr">
        <is>
          <t>DEFAULT</t>
        </is>
      </c>
      <c r="Q2283" t="n">
        <v>0</v>
      </c>
      <c r="R2283" t="inlineStr">
        <is>
          <t>AUD</t>
        </is>
      </c>
      <c r="S2283" t="n">
        <v>0</v>
      </c>
      <c r="T2283" t="inlineStr">
        <is>
          <t>AUD</t>
        </is>
      </c>
      <c r="U2283" t="n">
        <v>0</v>
      </c>
    </row>
    <row r="2284">
      <c r="A2284" s="5" t="inlineStr">
        <is>
          <t>01a152b9-91f6-7010-a5bb-35048ed7aa4f</t>
        </is>
      </c>
      <c r="C2284" s="5" t="inlineStr">
        <is>
          <t>01a152b9-6e67-75da-8adb-b03e5d07fd21</t>
        </is>
      </c>
      <c r="D2284" s="4" t="n">
        <v>46314.24601470862</v>
      </c>
      <c r="E2284" s="4" t="n">
        <v>46314.24601470872</v>
      </c>
      <c r="F2284" t="b">
        <v>1</v>
      </c>
      <c r="G2284" t="n">
        <v/>
      </c>
      <c r="H2284" t="inlineStr">
        <is>
          <t>AO1</t>
        </is>
      </c>
      <c r="I2284" t="inlineStr">
        <is>
          <t>Assetowl Ltd</t>
        </is>
      </c>
      <c r="J2284" t="inlineStr">
        <is>
          <t>AUD</t>
        </is>
      </c>
      <c r="K2284" s="5" t="inlineStr">
        <is>
          <t>01a152b9-6ee2-7577-bddd-382bc3853fde</t>
        </is>
      </c>
      <c r="M2284" t="inlineStr">
        <is>
          <t>UNKNOWN</t>
        </is>
      </c>
      <c r="N2284" t="inlineStr">
        <is>
          <t>DEFAULT</t>
        </is>
      </c>
      <c r="Q2284" t="n">
        <v>0</v>
      </c>
      <c r="R2284" t="inlineStr">
        <is>
          <t>AUD</t>
        </is>
      </c>
      <c r="S2284" t="n">
        <v>0</v>
      </c>
      <c r="T2284" t="inlineStr">
        <is>
          <t>AUD</t>
        </is>
      </c>
      <c r="U2284" t="n">
        <v>0</v>
      </c>
    </row>
    <row r="2285">
      <c r="A2285" s="5" t="inlineStr">
        <is>
          <t>01a152b9-91f9-767f-a169-a3acdd5c044b</t>
        </is>
      </c>
      <c r="C2285" s="5" t="inlineStr">
        <is>
          <t>01a152b9-6e67-75da-8adb-b03e5d07fd21</t>
        </is>
      </c>
      <c r="D2285" s="4" t="n">
        <v>46314.24601474511</v>
      </c>
      <c r="E2285" s="4" t="n">
        <v>46314.24601474521</v>
      </c>
      <c r="F2285" t="b">
        <v>1</v>
      </c>
      <c r="G2285" t="n">
        <v/>
      </c>
      <c r="H2285" t="inlineStr">
        <is>
          <t>E79</t>
        </is>
      </c>
      <c r="I2285" t="inlineStr">
        <is>
          <t>E79 Gold Mines Ltd</t>
        </is>
      </c>
      <c r="J2285" t="inlineStr">
        <is>
          <t>AUD</t>
        </is>
      </c>
      <c r="K2285" s="5" t="inlineStr">
        <is>
          <t>01a152b9-6ee2-7577-bddd-382bc3853fde</t>
        </is>
      </c>
      <c r="M2285" t="inlineStr">
        <is>
          <t>UNKNOWN</t>
        </is>
      </c>
      <c r="N2285" t="inlineStr">
        <is>
          <t>DEFAULT</t>
        </is>
      </c>
      <c r="Q2285" t="n">
        <v>0</v>
      </c>
      <c r="R2285" t="inlineStr">
        <is>
          <t>AUD</t>
        </is>
      </c>
      <c r="S2285" t="n">
        <v>0</v>
      </c>
      <c r="T2285" t="inlineStr">
        <is>
          <t>AUD</t>
        </is>
      </c>
      <c r="U2285" t="n">
        <v>0</v>
      </c>
    </row>
    <row r="2286">
      <c r="A2286" s="5" t="inlineStr">
        <is>
          <t>01a152b9-91fd-7303-aa14-66573080967b</t>
        </is>
      </c>
      <c r="C2286" s="5" t="inlineStr">
        <is>
          <t>01a152b9-6e67-75da-8adb-b03e5d07fd21</t>
        </is>
      </c>
      <c r="D2286" s="4" t="n">
        <v>46314.24601478278</v>
      </c>
      <c r="E2286" s="4" t="n">
        <v>46314.24601478288</v>
      </c>
      <c r="F2286" t="b">
        <v>1</v>
      </c>
      <c r="G2286" t="n">
        <v/>
      </c>
      <c r="H2286" t="inlineStr">
        <is>
          <t>T3MP</t>
        </is>
      </c>
      <c r="I2286" t="inlineStr">
        <is>
          <t>Jpmorgan Climate CHG Sol Active ETF (Managed Fund)</t>
        </is>
      </c>
      <c r="J2286" t="inlineStr">
        <is>
          <t>AUD</t>
        </is>
      </c>
      <c r="K2286" s="5" t="inlineStr">
        <is>
          <t>01a152b9-6ee2-7577-bddd-382bc3853fde</t>
        </is>
      </c>
      <c r="M2286" t="inlineStr">
        <is>
          <t>UNKNOWN</t>
        </is>
      </c>
      <c r="N2286" t="inlineStr">
        <is>
          <t>DEFAULT</t>
        </is>
      </c>
      <c r="Q2286" t="n">
        <v>0</v>
      </c>
      <c r="R2286" t="inlineStr">
        <is>
          <t>AUD</t>
        </is>
      </c>
      <c r="S2286" t="n">
        <v>0</v>
      </c>
      <c r="T2286" t="inlineStr">
        <is>
          <t>AUD</t>
        </is>
      </c>
      <c r="U2286" t="n">
        <v>0</v>
      </c>
    </row>
    <row r="2287">
      <c r="A2287" s="5" t="inlineStr">
        <is>
          <t>01a152b9-9200-751e-a73d-50a7b050b0f6</t>
        </is>
      </c>
      <c r="C2287" s="5" t="inlineStr">
        <is>
          <t>01a152b9-6e67-75da-8adb-b03e5d07fd21</t>
        </is>
      </c>
      <c r="D2287" s="4" t="n">
        <v>46314.24601482271</v>
      </c>
      <c r="E2287" s="4" t="n">
        <v>46314.2460148228</v>
      </c>
      <c r="F2287" t="b">
        <v>1</v>
      </c>
      <c r="G2287" t="n">
        <v/>
      </c>
      <c r="H2287" t="inlineStr">
        <is>
          <t>IVT</t>
        </is>
      </c>
      <c r="I2287" t="inlineStr">
        <is>
          <t>Inventis Ltd</t>
        </is>
      </c>
      <c r="J2287" t="inlineStr">
        <is>
          <t>AUD</t>
        </is>
      </c>
      <c r="K2287" s="5" t="inlineStr">
        <is>
          <t>01a152b9-6ee2-7577-bddd-382bc3853fde</t>
        </is>
      </c>
      <c r="M2287" t="inlineStr">
        <is>
          <t>UNKNOWN</t>
        </is>
      </c>
      <c r="N2287" t="inlineStr">
        <is>
          <t>DEFAULT</t>
        </is>
      </c>
      <c r="Q2287" t="n">
        <v>0</v>
      </c>
      <c r="R2287" t="inlineStr">
        <is>
          <t>AUD</t>
        </is>
      </c>
      <c r="S2287" t="n">
        <v>0</v>
      </c>
      <c r="T2287" t="inlineStr">
        <is>
          <t>AUD</t>
        </is>
      </c>
      <c r="U2287" t="n">
        <v>0</v>
      </c>
    </row>
    <row r="2288">
      <c r="A2288" s="5" t="inlineStr">
        <is>
          <t>01a152b9-9203-743f-92d2-707040edd64b</t>
        </is>
      </c>
      <c r="C2288" s="5" t="inlineStr">
        <is>
          <t>01a152b9-6e67-75da-8adb-b03e5d07fd21</t>
        </is>
      </c>
      <c r="D2288" s="4" t="n">
        <v>46314.24601485986</v>
      </c>
      <c r="E2288" s="4" t="n">
        <v>46314.24601485996</v>
      </c>
      <c r="F2288" t="b">
        <v>1</v>
      </c>
      <c r="G2288" t="n">
        <v/>
      </c>
      <c r="H2288" t="inlineStr">
        <is>
          <t>LYK</t>
        </is>
      </c>
      <c r="I2288" t="inlineStr">
        <is>
          <t>Lykos Metals Ltd</t>
        </is>
      </c>
      <c r="J2288" t="inlineStr">
        <is>
          <t>AUD</t>
        </is>
      </c>
      <c r="K2288" s="5" t="inlineStr">
        <is>
          <t>01a152b9-6ee2-7577-bddd-382bc3853fde</t>
        </is>
      </c>
      <c r="M2288" t="inlineStr">
        <is>
          <t>UNKNOWN</t>
        </is>
      </c>
      <c r="N2288" t="inlineStr">
        <is>
          <t>DEFAULT</t>
        </is>
      </c>
      <c r="Q2288" t="n">
        <v>0</v>
      </c>
      <c r="R2288" t="inlineStr">
        <is>
          <t>AUD</t>
        </is>
      </c>
      <c r="S2288" t="n">
        <v>0</v>
      </c>
      <c r="T2288" t="inlineStr">
        <is>
          <t>AUD</t>
        </is>
      </c>
      <c r="U2288" t="n">
        <v>0</v>
      </c>
    </row>
    <row r="2289">
      <c r="A2289" s="5" t="inlineStr">
        <is>
          <t>01a152b9-9207-71c9-9b59-45bacafcd1ce</t>
        </is>
      </c>
      <c r="C2289" s="5" t="inlineStr">
        <is>
          <t>01a152b9-6e67-75da-8adb-b03e5d07fd21</t>
        </is>
      </c>
      <c r="D2289" s="4" t="n">
        <v>46314.24601489997</v>
      </c>
      <c r="E2289" s="4" t="n">
        <v>46314.24601490005</v>
      </c>
      <c r="F2289" t="b">
        <v>1</v>
      </c>
      <c r="G2289" t="n">
        <v/>
      </c>
      <c r="H2289" t="inlineStr">
        <is>
          <t>KFM</t>
        </is>
      </c>
      <c r="I2289" t="inlineStr">
        <is>
          <t>Kingfisher Mining Ltd</t>
        </is>
      </c>
      <c r="J2289" t="inlineStr">
        <is>
          <t>AUD</t>
        </is>
      </c>
      <c r="K2289" s="5" t="inlineStr">
        <is>
          <t>01a152b9-6ee2-7577-bddd-382bc3853fde</t>
        </is>
      </c>
      <c r="M2289" t="inlineStr">
        <is>
          <t>UNKNOWN</t>
        </is>
      </c>
      <c r="N2289" t="inlineStr">
        <is>
          <t>DEFAULT</t>
        </is>
      </c>
      <c r="Q2289" t="n">
        <v>0</v>
      </c>
      <c r="R2289" t="inlineStr">
        <is>
          <t>AUD</t>
        </is>
      </c>
      <c r="S2289" t="n">
        <v>0</v>
      </c>
      <c r="T2289" t="inlineStr">
        <is>
          <t>AUD</t>
        </is>
      </c>
      <c r="U2289" t="n">
        <v>0</v>
      </c>
    </row>
    <row r="2290">
      <c r="A2290" s="5" t="inlineStr">
        <is>
          <t>01a152b9-920a-7432-8315-592752770bf7</t>
        </is>
      </c>
      <c r="C2290" s="5" t="inlineStr">
        <is>
          <t>01a152b9-6e67-75da-8adb-b03e5d07fd21</t>
        </is>
      </c>
      <c r="D2290" s="4" t="n">
        <v>46314.2460149418</v>
      </c>
      <c r="E2290" s="4" t="n">
        <v>46314.24601494188</v>
      </c>
      <c r="F2290" t="b">
        <v>1</v>
      </c>
      <c r="G2290" t="n">
        <v/>
      </c>
      <c r="H2290" t="inlineStr">
        <is>
          <t>HCD</t>
        </is>
      </c>
      <c r="I2290" t="inlineStr">
        <is>
          <t>Hydrocarbon Dynamics Ltd</t>
        </is>
      </c>
      <c r="J2290" t="inlineStr">
        <is>
          <t>AUD</t>
        </is>
      </c>
      <c r="K2290" s="5" t="inlineStr">
        <is>
          <t>01a152b9-6ee2-7577-bddd-382bc3853fde</t>
        </is>
      </c>
      <c r="M2290" t="inlineStr">
        <is>
          <t>UNKNOWN</t>
        </is>
      </c>
      <c r="N2290" t="inlineStr">
        <is>
          <t>DEFAULT</t>
        </is>
      </c>
      <c r="Q2290" t="n">
        <v>0</v>
      </c>
      <c r="R2290" t="inlineStr">
        <is>
          <t>AUD</t>
        </is>
      </c>
      <c r="S2290" t="n">
        <v>0</v>
      </c>
      <c r="T2290" t="inlineStr">
        <is>
          <t>AUD</t>
        </is>
      </c>
      <c r="U2290" t="n">
        <v>0</v>
      </c>
    </row>
    <row r="2291">
      <c r="A2291" s="5" t="inlineStr">
        <is>
          <t>01a152b9-920e-774a-9a11-9fa419fbfa5c</t>
        </is>
      </c>
      <c r="C2291" s="5" t="inlineStr">
        <is>
          <t>01a152b9-6e67-75da-8adb-b03e5d07fd21</t>
        </is>
      </c>
      <c r="D2291" s="4" t="n">
        <v>46314.24601498336</v>
      </c>
      <c r="E2291" s="4" t="n">
        <v>46314.24601498346</v>
      </c>
      <c r="F2291" t="b">
        <v>1</v>
      </c>
      <c r="G2291" t="n">
        <v/>
      </c>
      <c r="H2291" t="inlineStr">
        <is>
          <t>RAS</t>
        </is>
      </c>
      <c r="I2291" t="inlineStr">
        <is>
          <t>Ragusa Minerals Ltd</t>
        </is>
      </c>
      <c r="J2291" t="inlineStr">
        <is>
          <t>AUD</t>
        </is>
      </c>
      <c r="K2291" s="5" t="inlineStr">
        <is>
          <t>01a152b9-6ee2-7577-bddd-382bc3853fde</t>
        </is>
      </c>
      <c r="M2291" t="inlineStr">
        <is>
          <t>UNKNOWN</t>
        </is>
      </c>
      <c r="N2291" t="inlineStr">
        <is>
          <t>DEFAULT</t>
        </is>
      </c>
      <c r="Q2291" t="n">
        <v>0</v>
      </c>
      <c r="R2291" t="inlineStr">
        <is>
          <t>AUD</t>
        </is>
      </c>
      <c r="S2291" t="n">
        <v>0</v>
      </c>
      <c r="T2291" t="inlineStr">
        <is>
          <t>AUD</t>
        </is>
      </c>
      <c r="U2291" t="n">
        <v>0</v>
      </c>
    </row>
    <row r="2292">
      <c r="A2292" s="5" t="inlineStr">
        <is>
          <t>01a152b9-9212-74ff-a419-cae2f189b80b</t>
        </is>
      </c>
      <c r="C2292" s="5" t="inlineStr">
        <is>
          <t>01a152b9-6e67-75da-8adb-b03e5d07fd21</t>
        </is>
      </c>
      <c r="D2292" s="4" t="n">
        <v>46314.24601502893</v>
      </c>
      <c r="E2292" s="4" t="n">
        <v>46314.24601502913</v>
      </c>
      <c r="F2292" t="b">
        <v>1</v>
      </c>
      <c r="G2292" t="n">
        <v/>
      </c>
      <c r="H2292" t="inlineStr">
        <is>
          <t>DY6</t>
        </is>
      </c>
      <c r="I2292" t="inlineStr">
        <is>
          <t>DY6 Metals Ltd</t>
        </is>
      </c>
      <c r="J2292" t="inlineStr">
        <is>
          <t>AUD</t>
        </is>
      </c>
      <c r="K2292" s="5" t="inlineStr">
        <is>
          <t>01a152b9-6ee2-7577-bddd-382bc3853fde</t>
        </is>
      </c>
      <c r="M2292" t="inlineStr">
        <is>
          <t>UNKNOWN</t>
        </is>
      </c>
      <c r="N2292" t="inlineStr">
        <is>
          <t>DEFAULT</t>
        </is>
      </c>
      <c r="Q2292" t="n">
        <v>0</v>
      </c>
      <c r="R2292" t="inlineStr">
        <is>
          <t>AUD</t>
        </is>
      </c>
      <c r="S2292" t="n">
        <v>0</v>
      </c>
      <c r="T2292" t="inlineStr">
        <is>
          <t>AUD</t>
        </is>
      </c>
      <c r="U2292" t="n">
        <v>0</v>
      </c>
    </row>
    <row r="2293">
      <c r="A2293" s="5" t="inlineStr">
        <is>
          <t>01a152b9-9216-77db-a575-9b158f389590</t>
        </is>
      </c>
      <c r="C2293" s="5" t="inlineStr">
        <is>
          <t>01a152b9-6e67-75da-8adb-b03e5d07fd21</t>
        </is>
      </c>
      <c r="D2293" s="4" t="n">
        <v>46314.24601507268</v>
      </c>
      <c r="E2293" s="4" t="n">
        <v>46314.2460150728</v>
      </c>
      <c r="F2293" t="b">
        <v>1</v>
      </c>
      <c r="G2293" t="n">
        <v/>
      </c>
      <c r="H2293" t="inlineStr">
        <is>
          <t>H2G</t>
        </is>
      </c>
      <c r="I2293" t="inlineStr">
        <is>
          <t>GREENHY2 Ltd</t>
        </is>
      </c>
      <c r="J2293" t="inlineStr">
        <is>
          <t>AUD</t>
        </is>
      </c>
      <c r="K2293" s="5" t="inlineStr">
        <is>
          <t>01a152b9-6ee2-7577-bddd-382bc3853fde</t>
        </is>
      </c>
      <c r="M2293" t="inlineStr">
        <is>
          <t>UNKNOWN</t>
        </is>
      </c>
      <c r="N2293" t="inlineStr">
        <is>
          <t>DEFAULT</t>
        </is>
      </c>
      <c r="Q2293" t="n">
        <v>0</v>
      </c>
      <c r="R2293" t="inlineStr">
        <is>
          <t>AUD</t>
        </is>
      </c>
      <c r="S2293" t="n">
        <v>0</v>
      </c>
      <c r="T2293" t="inlineStr">
        <is>
          <t>AUD</t>
        </is>
      </c>
      <c r="U2293" t="n">
        <v>0</v>
      </c>
    </row>
    <row r="2294">
      <c r="A2294" s="5" t="inlineStr">
        <is>
          <t>01a152b9-9219-7714-b534-cdb3db88b8d4</t>
        </is>
      </c>
      <c r="C2294" s="5" t="inlineStr">
        <is>
          <t>01a152b9-6e67-75da-8adb-b03e5d07fd21</t>
        </is>
      </c>
      <c r="D2294" s="4" t="n">
        <v>46314.24601511379</v>
      </c>
      <c r="E2294" s="4" t="n">
        <v>46314.2460151139</v>
      </c>
      <c r="F2294" t="b">
        <v>1</v>
      </c>
      <c r="G2294" t="n">
        <v/>
      </c>
      <c r="H2294" t="inlineStr">
        <is>
          <t>SRH</t>
        </is>
      </c>
      <c r="I2294" t="inlineStr">
        <is>
          <t>Saferoads Holdings Ltd</t>
        </is>
      </c>
      <c r="J2294" t="inlineStr">
        <is>
          <t>AUD</t>
        </is>
      </c>
      <c r="K2294" s="5" t="inlineStr">
        <is>
          <t>01a152b9-6ee2-7577-bddd-382bc3853fde</t>
        </is>
      </c>
      <c r="M2294" t="inlineStr">
        <is>
          <t>UNKNOWN</t>
        </is>
      </c>
      <c r="N2294" t="inlineStr">
        <is>
          <t>DEFAULT</t>
        </is>
      </c>
      <c r="Q2294" t="n">
        <v>0</v>
      </c>
      <c r="R2294" t="inlineStr">
        <is>
          <t>AUD</t>
        </is>
      </c>
      <c r="S2294" t="n">
        <v>0</v>
      </c>
      <c r="T2294" t="inlineStr">
        <is>
          <t>AUD</t>
        </is>
      </c>
      <c r="U2294" t="n">
        <v>0</v>
      </c>
    </row>
    <row r="2295">
      <c r="A2295" s="5" t="inlineStr">
        <is>
          <t>01a152b9-921d-7721-908a-a6248931bf3d</t>
        </is>
      </c>
      <c r="C2295" s="5" t="inlineStr">
        <is>
          <t>01a152b9-6e67-75da-8adb-b03e5d07fd21</t>
        </is>
      </c>
      <c r="D2295" s="4" t="n">
        <v>46314.24601515432</v>
      </c>
      <c r="E2295" s="4" t="n">
        <v>46314.24601515444</v>
      </c>
      <c r="F2295" t="b">
        <v>1</v>
      </c>
      <c r="G2295" t="n">
        <v/>
      </c>
      <c r="H2295" t="inlineStr">
        <is>
          <t>IS3</t>
        </is>
      </c>
      <c r="I2295" t="inlineStr">
        <is>
          <t>I Synergy Group Ltd</t>
        </is>
      </c>
      <c r="J2295" t="inlineStr">
        <is>
          <t>AUD</t>
        </is>
      </c>
      <c r="K2295" s="5" t="inlineStr">
        <is>
          <t>01a152b9-6ee2-7577-bddd-382bc3853fde</t>
        </is>
      </c>
      <c r="M2295" t="inlineStr">
        <is>
          <t>UNKNOWN</t>
        </is>
      </c>
      <c r="N2295" t="inlineStr">
        <is>
          <t>DEFAULT</t>
        </is>
      </c>
      <c r="Q2295" t="n">
        <v>0</v>
      </c>
      <c r="R2295" t="inlineStr">
        <is>
          <t>AUD</t>
        </is>
      </c>
      <c r="S2295" t="n">
        <v>0</v>
      </c>
      <c r="T2295" t="inlineStr">
        <is>
          <t>AUD</t>
        </is>
      </c>
      <c r="U2295" t="n">
        <v>0</v>
      </c>
    </row>
    <row r="2296">
      <c r="A2296" s="5" t="inlineStr">
        <is>
          <t>01a152b9-9220-764d-8001-76ae6f832f0b</t>
        </is>
      </c>
      <c r="C2296" s="5" t="inlineStr">
        <is>
          <t>01a152b9-6e67-75da-8adb-b03e5d07fd21</t>
        </is>
      </c>
      <c r="D2296" s="4" t="n">
        <v>46314.24601519751</v>
      </c>
      <c r="E2296" s="4" t="n">
        <v>46314.24601519762</v>
      </c>
      <c r="F2296" t="b">
        <v>1</v>
      </c>
      <c r="G2296" t="n">
        <v/>
      </c>
      <c r="H2296" t="inlineStr">
        <is>
          <t>RNE</t>
        </is>
      </c>
      <c r="I2296" t="inlineStr">
        <is>
          <t>Renu Energy Ltd</t>
        </is>
      </c>
      <c r="J2296" t="inlineStr">
        <is>
          <t>AUD</t>
        </is>
      </c>
      <c r="K2296" s="5" t="inlineStr">
        <is>
          <t>01a152b9-6ee2-7577-bddd-382bc3853fde</t>
        </is>
      </c>
      <c r="M2296" t="inlineStr">
        <is>
          <t>UNKNOWN</t>
        </is>
      </c>
      <c r="N2296" t="inlineStr">
        <is>
          <t>DEFAULT</t>
        </is>
      </c>
      <c r="Q2296" t="n">
        <v>0</v>
      </c>
      <c r="R2296" t="inlineStr">
        <is>
          <t>AUD</t>
        </is>
      </c>
      <c r="S2296" t="n">
        <v>0</v>
      </c>
      <c r="T2296" t="inlineStr">
        <is>
          <t>AUD</t>
        </is>
      </c>
      <c r="U2296" t="n">
        <v>0</v>
      </c>
    </row>
    <row r="2297">
      <c r="A2297" s="5" t="inlineStr">
        <is>
          <t>01a152b9-9224-73bb-9f1e-45d2efd02926</t>
        </is>
      </c>
      <c r="C2297" s="5" t="inlineStr">
        <is>
          <t>01a152b9-6e67-75da-8adb-b03e5d07fd21</t>
        </is>
      </c>
      <c r="D2297" s="4" t="n">
        <v>46314.24601523695</v>
      </c>
      <c r="E2297" s="4" t="n">
        <v>46314.24601523704</v>
      </c>
      <c r="F2297" t="b">
        <v>1</v>
      </c>
      <c r="G2297" t="n">
        <v/>
      </c>
      <c r="H2297" t="inlineStr">
        <is>
          <t>T3D</t>
        </is>
      </c>
      <c r="I2297" t="inlineStr">
        <is>
          <t>333D Ltd</t>
        </is>
      </c>
      <c r="J2297" t="inlineStr">
        <is>
          <t>AUD</t>
        </is>
      </c>
      <c r="K2297" s="5" t="inlineStr">
        <is>
          <t>01a152b9-6ee2-7577-bddd-382bc3853fde</t>
        </is>
      </c>
      <c r="M2297" t="inlineStr">
        <is>
          <t>UNKNOWN</t>
        </is>
      </c>
      <c r="N2297" t="inlineStr">
        <is>
          <t>DEFAULT</t>
        </is>
      </c>
      <c r="Q2297" t="n">
        <v>0</v>
      </c>
      <c r="R2297" t="inlineStr">
        <is>
          <t>AUD</t>
        </is>
      </c>
      <c r="S2297" t="n">
        <v>0</v>
      </c>
      <c r="T2297" t="inlineStr">
        <is>
          <t>AUD</t>
        </is>
      </c>
      <c r="U2297" t="n">
        <v>0</v>
      </c>
    </row>
    <row r="2298">
      <c r="A2298" s="5" t="inlineStr">
        <is>
          <t>01a152b9-9227-762d-beff-54ba27b9ff98</t>
        </is>
      </c>
      <c r="C2298" s="5" t="inlineStr">
        <is>
          <t>01a152b9-6e67-75da-8adb-b03e5d07fd21</t>
        </is>
      </c>
      <c r="D2298" s="4" t="n">
        <v>46314.24601527508</v>
      </c>
      <c r="E2298" s="4" t="n">
        <v>46314.24601527517</v>
      </c>
      <c r="F2298" t="b">
        <v>1</v>
      </c>
      <c r="G2298" t="n">
        <v/>
      </c>
      <c r="H2298" t="inlineStr">
        <is>
          <t>TANN</t>
        </is>
      </c>
      <c r="I2298" t="inlineStr">
        <is>
          <t>Betashares Solar ETF</t>
        </is>
      </c>
      <c r="J2298" t="inlineStr">
        <is>
          <t>AUD</t>
        </is>
      </c>
      <c r="K2298" s="5" t="inlineStr">
        <is>
          <t>01a152b9-6ee2-7577-bddd-382bc3853fde</t>
        </is>
      </c>
      <c r="M2298" t="inlineStr">
        <is>
          <t>UNKNOWN</t>
        </is>
      </c>
      <c r="N2298" t="inlineStr">
        <is>
          <t>DEFAULT</t>
        </is>
      </c>
      <c r="Q2298" t="n">
        <v>0</v>
      </c>
      <c r="R2298" t="inlineStr">
        <is>
          <t>AUD</t>
        </is>
      </c>
      <c r="S2298" t="n">
        <v>0</v>
      </c>
      <c r="T2298" t="inlineStr">
        <is>
          <t>AUD</t>
        </is>
      </c>
      <c r="U2298" t="n">
        <v>0</v>
      </c>
    </row>
    <row r="2299">
      <c r="A2299" s="5" t="inlineStr">
        <is>
          <t>01a152b9-922a-773f-9830-36753d0bee9e</t>
        </is>
      </c>
      <c r="C2299" s="5" t="inlineStr">
        <is>
          <t>01a152b9-6e67-75da-8adb-b03e5d07fd21</t>
        </is>
      </c>
      <c r="D2299" s="4" t="n">
        <v>46314.2460153094</v>
      </c>
      <c r="E2299" s="4" t="n">
        <v>46314.24601530949</v>
      </c>
      <c r="F2299" t="b">
        <v>1</v>
      </c>
      <c r="G2299" t="n">
        <v/>
      </c>
      <c r="H2299" t="inlineStr">
        <is>
          <t>AIV</t>
        </is>
      </c>
      <c r="I2299" t="inlineStr">
        <is>
          <t>Activex Ltd</t>
        </is>
      </c>
      <c r="J2299" t="inlineStr">
        <is>
          <t>AUD</t>
        </is>
      </c>
      <c r="K2299" s="5" t="inlineStr">
        <is>
          <t>01a152b9-6ee2-7577-bddd-382bc3853fde</t>
        </is>
      </c>
      <c r="M2299" t="inlineStr">
        <is>
          <t>UNKNOWN</t>
        </is>
      </c>
      <c r="N2299" t="inlineStr">
        <is>
          <t>DEFAULT</t>
        </is>
      </c>
      <c r="Q2299" t="n">
        <v>0</v>
      </c>
      <c r="R2299" t="inlineStr">
        <is>
          <t>AUD</t>
        </is>
      </c>
      <c r="S2299" t="n">
        <v>0</v>
      </c>
      <c r="T2299" t="inlineStr">
        <is>
          <t>AUD</t>
        </is>
      </c>
      <c r="U2299" t="n">
        <v>0</v>
      </c>
    </row>
    <row r="2300">
      <c r="A2300" s="5" t="inlineStr">
        <is>
          <t>01a152b9-922d-750e-8ae3-8d17172155a1</t>
        </is>
      </c>
      <c r="C2300" s="5" t="inlineStr">
        <is>
          <t>01a152b9-6e67-75da-8adb-b03e5d07fd21</t>
        </is>
      </c>
      <c r="D2300" s="4" t="n">
        <v>46314.24601534465</v>
      </c>
      <c r="E2300" s="4" t="n">
        <v>46314.24601534475</v>
      </c>
      <c r="F2300" t="b">
        <v>1</v>
      </c>
      <c r="G2300" t="n">
        <v/>
      </c>
      <c r="H2300" t="inlineStr">
        <is>
          <t>EMS</t>
        </is>
      </c>
      <c r="I2300" t="inlineStr">
        <is>
          <t>Eastern Metals Ltd</t>
        </is>
      </c>
      <c r="J2300" t="inlineStr">
        <is>
          <t>AUD</t>
        </is>
      </c>
      <c r="K2300" s="5" t="inlineStr">
        <is>
          <t>01a152b9-6ee2-7577-bddd-382bc3853fde</t>
        </is>
      </c>
      <c r="M2300" t="inlineStr">
        <is>
          <t>UNKNOWN</t>
        </is>
      </c>
      <c r="N2300" t="inlineStr">
        <is>
          <t>DEFAULT</t>
        </is>
      </c>
      <c r="Q2300" t="n">
        <v>0</v>
      </c>
      <c r="R2300" t="inlineStr">
        <is>
          <t>AUD</t>
        </is>
      </c>
      <c r="S2300" t="n">
        <v>0</v>
      </c>
      <c r="T2300" t="inlineStr">
        <is>
          <t>AUD</t>
        </is>
      </c>
      <c r="U2300" t="n">
        <v>0</v>
      </c>
    </row>
    <row r="2301">
      <c r="A2301" s="5" t="inlineStr">
        <is>
          <t>01a152b9-9231-7727-b1ad-d6aad0fa6df5</t>
        </is>
      </c>
      <c r="C2301" s="5" t="inlineStr">
        <is>
          <t>01a152b9-6e67-75da-8adb-b03e5d07fd21</t>
        </is>
      </c>
      <c r="D2301" s="4" t="n">
        <v>46314.24601538372</v>
      </c>
      <c r="E2301" s="4" t="n">
        <v>46314.24601538382</v>
      </c>
      <c r="F2301" t="b">
        <v>1</v>
      </c>
      <c r="G2301" t="n">
        <v/>
      </c>
      <c r="H2301" t="inlineStr">
        <is>
          <t>EDOC</t>
        </is>
      </c>
      <c r="I2301" t="inlineStr">
        <is>
          <t>Betashares Digital Health and Telemedicine ETF</t>
        </is>
      </c>
      <c r="J2301" t="inlineStr">
        <is>
          <t>AUD</t>
        </is>
      </c>
      <c r="K2301" s="5" t="inlineStr">
        <is>
          <t>01a152b9-6ee2-7577-bddd-382bc3853fde</t>
        </is>
      </c>
      <c r="M2301" t="inlineStr">
        <is>
          <t>UNKNOWN</t>
        </is>
      </c>
      <c r="N2301" t="inlineStr">
        <is>
          <t>DEFAULT</t>
        </is>
      </c>
      <c r="Q2301" t="n">
        <v>0</v>
      </c>
      <c r="R2301" t="inlineStr">
        <is>
          <t>AUD</t>
        </is>
      </c>
      <c r="S2301" t="n">
        <v>0</v>
      </c>
      <c r="T2301" t="inlineStr">
        <is>
          <t>AUD</t>
        </is>
      </c>
      <c r="U2301" t="n">
        <v>0</v>
      </c>
    </row>
    <row r="2302">
      <c r="A2302" s="5" t="inlineStr">
        <is>
          <t>01a152b9-9234-77e0-b3b8-eed156417482</t>
        </is>
      </c>
      <c r="C2302" s="5" t="inlineStr">
        <is>
          <t>01a152b9-6e67-75da-8adb-b03e5d07fd21</t>
        </is>
      </c>
      <c r="D2302" s="4" t="n">
        <v>46314.24601542095</v>
      </c>
      <c r="E2302" s="4" t="n">
        <v>46314.24601542106</v>
      </c>
      <c r="F2302" t="b">
        <v>1</v>
      </c>
      <c r="G2302" t="n">
        <v/>
      </c>
      <c r="H2302" t="inlineStr">
        <is>
          <t>RIE</t>
        </is>
      </c>
      <c r="I2302" t="inlineStr">
        <is>
          <t>Riedel Resources Ltd</t>
        </is>
      </c>
      <c r="J2302" t="inlineStr">
        <is>
          <t>AUD</t>
        </is>
      </c>
      <c r="K2302" s="5" t="inlineStr">
        <is>
          <t>01a152b9-6ee2-7577-bddd-382bc3853fde</t>
        </is>
      </c>
      <c r="M2302" t="inlineStr">
        <is>
          <t>UNKNOWN</t>
        </is>
      </c>
      <c r="N2302" t="inlineStr">
        <is>
          <t>DEFAULT</t>
        </is>
      </c>
      <c r="Q2302" t="n">
        <v>0</v>
      </c>
      <c r="R2302" t="inlineStr">
        <is>
          <t>AUD</t>
        </is>
      </c>
      <c r="S2302" t="n">
        <v>0</v>
      </c>
      <c r="T2302" t="inlineStr">
        <is>
          <t>AUD</t>
        </is>
      </c>
      <c r="U2302" t="n">
        <v>0</v>
      </c>
    </row>
    <row r="2303">
      <c r="A2303" s="5" t="inlineStr">
        <is>
          <t>01a152b9-9237-7762-8844-83a3cb70928c</t>
        </is>
      </c>
      <c r="C2303" s="5" t="inlineStr">
        <is>
          <t>01a152b9-6e67-75da-8adb-b03e5d07fd21</t>
        </is>
      </c>
      <c r="D2303" s="4" t="n">
        <v>46314.24601546107</v>
      </c>
      <c r="E2303" s="4" t="n">
        <v>46314.24601546123</v>
      </c>
      <c r="F2303" t="b">
        <v>1</v>
      </c>
      <c r="G2303" t="n">
        <v/>
      </c>
      <c r="H2303" t="inlineStr">
        <is>
          <t>DBO</t>
        </is>
      </c>
      <c r="I2303" t="inlineStr">
        <is>
          <t>Diablo Resources Ltd</t>
        </is>
      </c>
      <c r="J2303" t="inlineStr">
        <is>
          <t>AUD</t>
        </is>
      </c>
      <c r="K2303" s="5" t="inlineStr">
        <is>
          <t>01a152b9-6ee2-7577-bddd-382bc3853fde</t>
        </is>
      </c>
      <c r="M2303" t="inlineStr">
        <is>
          <t>UNKNOWN</t>
        </is>
      </c>
      <c r="N2303" t="inlineStr">
        <is>
          <t>DEFAULT</t>
        </is>
      </c>
      <c r="Q2303" t="n">
        <v>0</v>
      </c>
      <c r="R2303" t="inlineStr">
        <is>
          <t>AUD</t>
        </is>
      </c>
      <c r="S2303" t="n">
        <v>0</v>
      </c>
      <c r="T2303" t="inlineStr">
        <is>
          <t>AUD</t>
        </is>
      </c>
      <c r="U2303" t="n">
        <v>0</v>
      </c>
    </row>
    <row r="2304">
      <c r="A2304" s="5" t="inlineStr">
        <is>
          <t>01a152b9-923b-731f-b63b-565c71201c36</t>
        </is>
      </c>
      <c r="C2304" s="5" t="inlineStr">
        <is>
          <t>01a152b9-6e67-75da-8adb-b03e5d07fd21</t>
        </is>
      </c>
      <c r="D2304" s="4" t="n">
        <v>46314.2460155022</v>
      </c>
      <c r="E2304" s="4" t="n">
        <v>46314.24601550234</v>
      </c>
      <c r="F2304" t="b">
        <v>1</v>
      </c>
      <c r="G2304" t="n">
        <v/>
      </c>
      <c r="H2304" t="inlineStr">
        <is>
          <t>OAK</t>
        </is>
      </c>
      <c r="I2304" t="inlineStr">
        <is>
          <t>Oakridge International Ltd</t>
        </is>
      </c>
      <c r="J2304" t="inlineStr">
        <is>
          <t>AUD</t>
        </is>
      </c>
      <c r="K2304" s="5" t="inlineStr">
        <is>
          <t>01a152b9-6ee2-7577-bddd-382bc3853fde</t>
        </is>
      </c>
      <c r="M2304" t="inlineStr">
        <is>
          <t>UNKNOWN</t>
        </is>
      </c>
      <c r="N2304" t="inlineStr">
        <is>
          <t>DEFAULT</t>
        </is>
      </c>
      <c r="Q2304" t="n">
        <v>0</v>
      </c>
      <c r="R2304" t="inlineStr">
        <is>
          <t>AUD</t>
        </is>
      </c>
      <c r="S2304" t="n">
        <v>0</v>
      </c>
      <c r="T2304" t="inlineStr">
        <is>
          <t>AUD</t>
        </is>
      </c>
      <c r="U2304" t="n">
        <v>0</v>
      </c>
    </row>
    <row r="2305">
      <c r="A2305" s="5" t="inlineStr">
        <is>
          <t>01a152b9-923e-7102-a151-3a446dfae687</t>
        </is>
      </c>
      <c r="C2305" s="5" t="inlineStr">
        <is>
          <t>01a152b9-6e67-75da-8adb-b03e5d07fd21</t>
        </is>
      </c>
      <c r="D2305" s="4" t="n">
        <v>46314.2460155455</v>
      </c>
      <c r="E2305" s="4" t="n">
        <v>46314.24601554564</v>
      </c>
      <c r="F2305" t="b">
        <v>1</v>
      </c>
      <c r="G2305" t="n">
        <v/>
      </c>
      <c r="H2305" t="inlineStr">
        <is>
          <t>LRD</t>
        </is>
      </c>
      <c r="I2305" t="inlineStr">
        <is>
          <t>Lord Resources Ltd</t>
        </is>
      </c>
      <c r="J2305" t="inlineStr">
        <is>
          <t>AUD</t>
        </is>
      </c>
      <c r="K2305" s="5" t="inlineStr">
        <is>
          <t>01a152b9-6ee2-7577-bddd-382bc3853fde</t>
        </is>
      </c>
      <c r="M2305" t="inlineStr">
        <is>
          <t>UNKNOWN</t>
        </is>
      </c>
      <c r="N2305" t="inlineStr">
        <is>
          <t>DEFAULT</t>
        </is>
      </c>
      <c r="Q2305" t="n">
        <v>0</v>
      </c>
      <c r="R2305" t="inlineStr">
        <is>
          <t>AUD</t>
        </is>
      </c>
      <c r="S2305" t="n">
        <v>0</v>
      </c>
      <c r="T2305" t="inlineStr">
        <is>
          <t>AUD</t>
        </is>
      </c>
      <c r="U2305" t="n">
        <v>0</v>
      </c>
    </row>
    <row r="2306">
      <c r="A2306" s="5" t="inlineStr">
        <is>
          <t>01a152b9-9243-77d3-a673-1a553310e502</t>
        </is>
      </c>
      <c r="C2306" s="5" t="inlineStr">
        <is>
          <t>01a152b9-6e67-75da-8adb-b03e5d07fd21</t>
        </is>
      </c>
      <c r="D2306" s="4" t="n">
        <v>46314.24601559406</v>
      </c>
      <c r="E2306" s="4" t="n">
        <v>46314.24601559419</v>
      </c>
      <c r="F2306" t="b">
        <v>1</v>
      </c>
      <c r="G2306" t="n">
        <v/>
      </c>
      <c r="H2306" t="inlineStr">
        <is>
          <t>M2R</t>
        </is>
      </c>
      <c r="I2306" t="inlineStr">
        <is>
          <t>Miramar Resources Ltd</t>
        </is>
      </c>
      <c r="J2306" t="inlineStr">
        <is>
          <t>AUD</t>
        </is>
      </c>
      <c r="K2306" s="5" t="inlineStr">
        <is>
          <t>01a152b9-6ee2-7577-bddd-382bc3853fde</t>
        </is>
      </c>
      <c r="M2306" t="inlineStr">
        <is>
          <t>UNKNOWN</t>
        </is>
      </c>
      <c r="N2306" t="inlineStr">
        <is>
          <t>DEFAULT</t>
        </is>
      </c>
      <c r="Q2306" t="n">
        <v>0</v>
      </c>
      <c r="R2306" t="inlineStr">
        <is>
          <t>AUD</t>
        </is>
      </c>
      <c r="S2306" t="n">
        <v>0</v>
      </c>
      <c r="T2306" t="inlineStr">
        <is>
          <t>AUD</t>
        </is>
      </c>
      <c r="U2306" t="n">
        <v>0</v>
      </c>
    </row>
    <row r="2307">
      <c r="A2307" s="5" t="inlineStr">
        <is>
          <t>01a152b9-9247-72ac-a119-8516a8508a76</t>
        </is>
      </c>
      <c r="C2307" s="5" t="inlineStr">
        <is>
          <t>01a152b9-6e67-75da-8adb-b03e5d07fd21</t>
        </is>
      </c>
      <c r="D2307" s="4" t="n">
        <v>46314.24601564514</v>
      </c>
      <c r="E2307" s="4" t="n">
        <v>46314.24601564528</v>
      </c>
      <c r="F2307" t="b">
        <v>1</v>
      </c>
      <c r="G2307" t="n">
        <v/>
      </c>
      <c r="H2307" t="inlineStr">
        <is>
          <t>DMG</t>
        </is>
      </c>
      <c r="I2307" t="inlineStr">
        <is>
          <t>Dragon Mountain Gold Ltd</t>
        </is>
      </c>
      <c r="J2307" t="inlineStr">
        <is>
          <t>AUD</t>
        </is>
      </c>
      <c r="K2307" s="5" t="inlineStr">
        <is>
          <t>01a152b9-6ee2-7577-bddd-382bc3853fde</t>
        </is>
      </c>
      <c r="M2307" t="inlineStr">
        <is>
          <t>UNKNOWN</t>
        </is>
      </c>
      <c r="N2307" t="inlineStr">
        <is>
          <t>DEFAULT</t>
        </is>
      </c>
      <c r="Q2307" t="n">
        <v>0</v>
      </c>
      <c r="R2307" t="inlineStr">
        <is>
          <t>AUD</t>
        </is>
      </c>
      <c r="S2307" t="n">
        <v>0</v>
      </c>
      <c r="T2307" t="inlineStr">
        <is>
          <t>AUD</t>
        </is>
      </c>
      <c r="U2307" t="n">
        <v>0</v>
      </c>
    </row>
    <row r="2308">
      <c r="A2308" s="5" t="inlineStr">
        <is>
          <t>01a152b9-924b-75c9-aa95-2d15eb1eefbf</t>
        </is>
      </c>
      <c r="C2308" s="5" t="inlineStr">
        <is>
          <t>01a152b9-6e67-75da-8adb-b03e5d07fd21</t>
        </is>
      </c>
      <c r="D2308" s="4" t="n">
        <v>46314.24601568742</v>
      </c>
      <c r="E2308" s="4" t="n">
        <v>46314.24601568756</v>
      </c>
      <c r="F2308" t="b">
        <v>1</v>
      </c>
      <c r="G2308" t="n">
        <v/>
      </c>
      <c r="H2308" t="inlineStr">
        <is>
          <t>PRM</t>
        </is>
      </c>
      <c r="I2308" t="inlineStr">
        <is>
          <t>Prominence Energy Ltd</t>
        </is>
      </c>
      <c r="J2308" t="inlineStr">
        <is>
          <t>AUD</t>
        </is>
      </c>
      <c r="K2308" s="5" t="inlineStr">
        <is>
          <t>01a152b9-6ee2-7577-bddd-382bc3853fde</t>
        </is>
      </c>
      <c r="M2308" t="inlineStr">
        <is>
          <t>UNKNOWN</t>
        </is>
      </c>
      <c r="N2308" t="inlineStr">
        <is>
          <t>DEFAULT</t>
        </is>
      </c>
      <c r="Q2308" t="n">
        <v>0</v>
      </c>
      <c r="R2308" t="inlineStr">
        <is>
          <t>AUD</t>
        </is>
      </c>
      <c r="S2308" t="n">
        <v>0</v>
      </c>
      <c r="T2308" t="inlineStr">
        <is>
          <t>AUD</t>
        </is>
      </c>
      <c r="U2308" t="n">
        <v>0</v>
      </c>
    </row>
    <row r="2309">
      <c r="A2309" s="5" t="inlineStr">
        <is>
          <t>01a152b9-924f-77c2-8733-7670ee05593f</t>
        </is>
      </c>
      <c r="C2309" s="5" t="inlineStr">
        <is>
          <t>01a152b9-6e67-75da-8adb-b03e5d07fd21</t>
        </is>
      </c>
      <c r="D2309" s="4" t="n">
        <v>46314.24601573186</v>
      </c>
      <c r="E2309" s="4" t="n">
        <v>46314.246015732</v>
      </c>
      <c r="F2309" t="b">
        <v>1</v>
      </c>
      <c r="G2309" t="n">
        <v/>
      </c>
      <c r="H2309" t="inlineStr">
        <is>
          <t>CLZ</t>
        </is>
      </c>
      <c r="I2309" t="inlineStr">
        <is>
          <t>Classic Minerals Ltd</t>
        </is>
      </c>
      <c r="J2309" t="inlineStr">
        <is>
          <t>AUD</t>
        </is>
      </c>
      <c r="K2309" s="5" t="inlineStr">
        <is>
          <t>01a152b9-6ee2-7577-bddd-382bc3853fde</t>
        </is>
      </c>
      <c r="M2309" t="inlineStr">
        <is>
          <t>UNKNOWN</t>
        </is>
      </c>
      <c r="N2309" t="inlineStr">
        <is>
          <t>DEFAULT</t>
        </is>
      </c>
      <c r="Q2309" t="n">
        <v>0</v>
      </c>
      <c r="R2309" t="inlineStr">
        <is>
          <t>AUD</t>
        </is>
      </c>
      <c r="S2309" t="n">
        <v>0</v>
      </c>
      <c r="T2309" t="inlineStr">
        <is>
          <t>AUD</t>
        </is>
      </c>
      <c r="U2309" t="n">
        <v>0</v>
      </c>
    </row>
    <row r="2310">
      <c r="A2310" s="5" t="inlineStr">
        <is>
          <t>01a152b9-9253-7647-b90c-79e175c0e565</t>
        </is>
      </c>
      <c r="C2310" s="5" t="inlineStr">
        <is>
          <t>01a152b9-6e67-75da-8adb-b03e5d07fd21</t>
        </is>
      </c>
      <c r="D2310" s="4" t="n">
        <v>46314.24601578367</v>
      </c>
      <c r="E2310" s="4" t="n">
        <v>46314.24601578382</v>
      </c>
      <c r="F2310" t="b">
        <v>1</v>
      </c>
      <c r="G2310" t="n">
        <v/>
      </c>
      <c r="H2310" t="inlineStr">
        <is>
          <t>FUTR</t>
        </is>
      </c>
      <c r="I2310" t="inlineStr">
        <is>
          <t>Janus Henderson Global Sustainable EQ Active ETF</t>
        </is>
      </c>
      <c r="J2310" t="inlineStr">
        <is>
          <t>AUD</t>
        </is>
      </c>
      <c r="K2310" s="5" t="inlineStr">
        <is>
          <t>01a152b9-6ee2-7577-bddd-382bc3853fde</t>
        </is>
      </c>
      <c r="M2310" t="inlineStr">
        <is>
          <t>UNKNOWN</t>
        </is>
      </c>
      <c r="N2310" t="inlineStr">
        <is>
          <t>DEFAULT</t>
        </is>
      </c>
      <c r="Q2310" t="n">
        <v>0</v>
      </c>
      <c r="R2310" t="inlineStr">
        <is>
          <t>AUD</t>
        </is>
      </c>
      <c r="S2310" t="n">
        <v>0</v>
      </c>
      <c r="T2310" t="inlineStr">
        <is>
          <t>AUD</t>
        </is>
      </c>
      <c r="U2310" t="n">
        <v>0</v>
      </c>
    </row>
    <row r="2311">
      <c r="A2311" s="5" t="inlineStr">
        <is>
          <t>01a152b9-9257-7009-ade7-a9888d94c100</t>
        </is>
      </c>
      <c r="C2311" s="5" t="inlineStr">
        <is>
          <t>01a152b9-6e67-75da-8adb-b03e5d07fd21</t>
        </is>
      </c>
      <c r="D2311" s="4" t="n">
        <v>46314.24601582817</v>
      </c>
      <c r="E2311" s="4" t="n">
        <v>46314.24601582834</v>
      </c>
      <c r="F2311" t="b">
        <v>1</v>
      </c>
      <c r="G2311" t="n">
        <v/>
      </c>
      <c r="H2311" t="inlineStr">
        <is>
          <t>SRY</t>
        </is>
      </c>
      <c r="I2311" t="inlineStr">
        <is>
          <t>Story-I Ltd</t>
        </is>
      </c>
      <c r="J2311" t="inlineStr">
        <is>
          <t>AUD</t>
        </is>
      </c>
      <c r="K2311" s="5" t="inlineStr">
        <is>
          <t>01a152b9-6ee2-7577-bddd-382bc3853fde</t>
        </is>
      </c>
      <c r="M2311" t="inlineStr">
        <is>
          <t>UNKNOWN</t>
        </is>
      </c>
      <c r="N2311" t="inlineStr">
        <is>
          <t>DEFAULT</t>
        </is>
      </c>
      <c r="Q2311" t="n">
        <v>0</v>
      </c>
      <c r="R2311" t="inlineStr">
        <is>
          <t>AUD</t>
        </is>
      </c>
      <c r="S2311" t="n">
        <v>0</v>
      </c>
      <c r="T2311" t="inlineStr">
        <is>
          <t>AUD</t>
        </is>
      </c>
      <c r="U2311" t="n">
        <v>0</v>
      </c>
    </row>
    <row r="2312">
      <c r="A2312" s="5" t="inlineStr">
        <is>
          <t>01a152b9-925b-7055-8a82-18404d8bc8e9</t>
        </is>
      </c>
      <c r="C2312" s="5" t="inlineStr">
        <is>
          <t>01a152b9-6e67-75da-8adb-b03e5d07fd21</t>
        </is>
      </c>
      <c r="D2312" s="4" t="n">
        <v>46314.24601587374</v>
      </c>
      <c r="E2312" s="4" t="n">
        <v>46314.24601587388</v>
      </c>
      <c r="F2312" t="b">
        <v>1</v>
      </c>
      <c r="G2312" t="n">
        <v/>
      </c>
      <c r="H2312" t="inlineStr">
        <is>
          <t>JHGA</t>
        </is>
      </c>
      <c r="I2312" t="inlineStr">
        <is>
          <t>JPM GBL Equity Premium Income Hedged Complex ETF</t>
        </is>
      </c>
      <c r="J2312" t="inlineStr">
        <is>
          <t>AUD</t>
        </is>
      </c>
      <c r="K2312" s="5" t="inlineStr">
        <is>
          <t>01a152b9-6ee2-7577-bddd-382bc3853fde</t>
        </is>
      </c>
      <c r="M2312" t="inlineStr">
        <is>
          <t>UNKNOWN</t>
        </is>
      </c>
      <c r="N2312" t="inlineStr">
        <is>
          <t>DEFAULT</t>
        </is>
      </c>
      <c r="Q2312" t="n">
        <v>0</v>
      </c>
      <c r="R2312" t="inlineStr">
        <is>
          <t>AUD</t>
        </is>
      </c>
      <c r="S2312" t="n">
        <v>0</v>
      </c>
      <c r="T2312" t="inlineStr">
        <is>
          <t>AUD</t>
        </is>
      </c>
      <c r="U2312" t="n">
        <v>0</v>
      </c>
    </row>
    <row r="2313">
      <c r="A2313" s="5" t="inlineStr">
        <is>
          <t>01a152b9-925f-7554-ad3a-9bf0823aaf7c</t>
        </is>
      </c>
      <c r="C2313" s="5" t="inlineStr">
        <is>
          <t>01a152b9-6e67-75da-8adb-b03e5d07fd21</t>
        </is>
      </c>
      <c r="D2313" s="4" t="n">
        <v>46314.24601591866</v>
      </c>
      <c r="E2313" s="4" t="n">
        <v>46314.24601591884</v>
      </c>
      <c r="F2313" t="b">
        <v>1</v>
      </c>
      <c r="G2313" t="n">
        <v/>
      </c>
      <c r="H2313" t="inlineStr">
        <is>
          <t>WFL</t>
        </is>
      </c>
      <c r="I2313" t="inlineStr">
        <is>
          <t>Wellfully Ltd</t>
        </is>
      </c>
      <c r="J2313" t="inlineStr">
        <is>
          <t>AUD</t>
        </is>
      </c>
      <c r="K2313" s="5" t="inlineStr">
        <is>
          <t>01a152b9-6ee2-7577-bddd-382bc3853fde</t>
        </is>
      </c>
      <c r="M2313" t="inlineStr">
        <is>
          <t>UNKNOWN</t>
        </is>
      </c>
      <c r="N2313" t="inlineStr">
        <is>
          <t>DEFAULT</t>
        </is>
      </c>
      <c r="Q2313" t="n">
        <v>0</v>
      </c>
      <c r="R2313" t="inlineStr">
        <is>
          <t>AUD</t>
        </is>
      </c>
      <c r="S2313" t="n">
        <v>0</v>
      </c>
      <c r="T2313" t="inlineStr">
        <is>
          <t>AUD</t>
        </is>
      </c>
      <c r="U2313" t="n">
        <v>0</v>
      </c>
    </row>
    <row r="2314">
      <c r="A2314" s="5" t="inlineStr">
        <is>
          <t>01a152b9-9263-7317-b99c-59ef96b80375</t>
        </is>
      </c>
      <c r="C2314" s="5" t="inlineStr">
        <is>
          <t>01a152b9-6e67-75da-8adb-b03e5d07fd21</t>
        </is>
      </c>
      <c r="D2314" s="4" t="n">
        <v>46314.24601596949</v>
      </c>
      <c r="E2314" s="4" t="n">
        <v>46314.24601596965</v>
      </c>
      <c r="F2314" t="b">
        <v>1</v>
      </c>
      <c r="G2314" t="n">
        <v/>
      </c>
      <c r="H2314" t="inlineStr">
        <is>
          <t>BP8</t>
        </is>
      </c>
      <c r="I2314" t="inlineStr">
        <is>
          <t>BPH Global Ltd</t>
        </is>
      </c>
      <c r="J2314" t="inlineStr">
        <is>
          <t>AUD</t>
        </is>
      </c>
      <c r="K2314" s="5" t="inlineStr">
        <is>
          <t>01a152b9-6ee2-7577-bddd-382bc3853fde</t>
        </is>
      </c>
      <c r="M2314" t="inlineStr">
        <is>
          <t>UNKNOWN</t>
        </is>
      </c>
      <c r="N2314" t="inlineStr">
        <is>
          <t>DEFAULT</t>
        </is>
      </c>
      <c r="Q2314" t="n">
        <v>0</v>
      </c>
      <c r="R2314" t="inlineStr">
        <is>
          <t>AUD</t>
        </is>
      </c>
      <c r="S2314" t="n">
        <v>0</v>
      </c>
      <c r="T2314" t="inlineStr">
        <is>
          <t>AUD</t>
        </is>
      </c>
      <c r="U2314" t="n">
        <v>0</v>
      </c>
    </row>
    <row r="2315">
      <c r="A2315" s="5" t="inlineStr">
        <is>
          <t>01a152b9-9268-7306-b156-8edd864d836d</t>
        </is>
      </c>
      <c r="C2315" s="5" t="inlineStr">
        <is>
          <t>01a152b9-6e67-75da-8adb-b03e5d07fd21</t>
        </is>
      </c>
      <c r="D2315" s="4" t="n">
        <v>46314.2460160211</v>
      </c>
      <c r="E2315" s="4" t="n">
        <v>46314.24601602124</v>
      </c>
      <c r="F2315" t="b">
        <v>1</v>
      </c>
      <c r="G2315" t="n">
        <v/>
      </c>
      <c r="H2315" t="inlineStr">
        <is>
          <t>YAR</t>
        </is>
      </c>
      <c r="I2315" t="inlineStr">
        <is>
          <t>Yari Minerals Ltd</t>
        </is>
      </c>
      <c r="J2315" t="inlineStr">
        <is>
          <t>AUD</t>
        </is>
      </c>
      <c r="K2315" s="5" t="inlineStr">
        <is>
          <t>01a152b9-6ee2-7577-bddd-382bc3853fde</t>
        </is>
      </c>
      <c r="M2315" t="inlineStr">
        <is>
          <t>UNKNOWN</t>
        </is>
      </c>
      <c r="N2315" t="inlineStr">
        <is>
          <t>DEFAULT</t>
        </is>
      </c>
      <c r="Q2315" t="n">
        <v>0</v>
      </c>
      <c r="R2315" t="inlineStr">
        <is>
          <t>AUD</t>
        </is>
      </c>
      <c r="S2315" t="n">
        <v>0</v>
      </c>
      <c r="T2315" t="inlineStr">
        <is>
          <t>AUD</t>
        </is>
      </c>
      <c r="U2315" t="n">
        <v>0</v>
      </c>
    </row>
    <row r="2316">
      <c r="A2316" s="5" t="inlineStr">
        <is>
          <t>01a152b9-926c-7046-abc2-499561b004f2</t>
        </is>
      </c>
      <c r="C2316" s="5" t="inlineStr">
        <is>
          <t>01a152b9-6e67-75da-8adb-b03e5d07fd21</t>
        </is>
      </c>
      <c r="D2316" s="4" t="n">
        <v>46314.24601606707</v>
      </c>
      <c r="E2316" s="4" t="n">
        <v>46314.24601606721</v>
      </c>
      <c r="F2316" t="b">
        <v>1</v>
      </c>
      <c r="G2316" t="n">
        <v/>
      </c>
      <c r="H2316" t="inlineStr">
        <is>
          <t>CR9</t>
        </is>
      </c>
      <c r="I2316" t="inlineStr">
        <is>
          <t>Corella Resources Ltd</t>
        </is>
      </c>
      <c r="J2316" t="inlineStr">
        <is>
          <t>AUD</t>
        </is>
      </c>
      <c r="K2316" s="5" t="inlineStr">
        <is>
          <t>01a152b9-6ee2-7577-bddd-382bc3853fde</t>
        </is>
      </c>
      <c r="M2316" t="inlineStr">
        <is>
          <t>UNKNOWN</t>
        </is>
      </c>
      <c r="N2316" t="inlineStr">
        <is>
          <t>DEFAULT</t>
        </is>
      </c>
      <c r="Q2316" t="n">
        <v>0</v>
      </c>
      <c r="R2316" t="inlineStr">
        <is>
          <t>AUD</t>
        </is>
      </c>
      <c r="S2316" t="n">
        <v>0</v>
      </c>
      <c r="T2316" t="inlineStr">
        <is>
          <t>AUD</t>
        </is>
      </c>
      <c r="U2316" t="n">
        <v>0</v>
      </c>
    </row>
    <row r="2317">
      <c r="A2317" s="5" t="inlineStr">
        <is>
          <t>01a152b9-9270-75cb-aae8-da401cbd8946</t>
        </is>
      </c>
      <c r="C2317" s="5" t="inlineStr">
        <is>
          <t>01a152b9-6e67-75da-8adb-b03e5d07fd21</t>
        </is>
      </c>
      <c r="D2317" s="4" t="n">
        <v>46314.24601611654</v>
      </c>
      <c r="E2317" s="4" t="n">
        <v>46314.24601611669</v>
      </c>
      <c r="F2317" t="b">
        <v>1</v>
      </c>
      <c r="G2317" t="n">
        <v/>
      </c>
      <c r="H2317" t="inlineStr">
        <is>
          <t>SLZ</t>
        </is>
      </c>
      <c r="I2317" t="inlineStr">
        <is>
          <t>Sultan Resources Ltd</t>
        </is>
      </c>
      <c r="J2317" t="inlineStr">
        <is>
          <t>AUD</t>
        </is>
      </c>
      <c r="K2317" s="5" t="inlineStr">
        <is>
          <t>01a152b9-6ee2-7577-bddd-382bc3853fde</t>
        </is>
      </c>
      <c r="M2317" t="inlineStr">
        <is>
          <t>UNKNOWN</t>
        </is>
      </c>
      <c r="N2317" t="inlineStr">
        <is>
          <t>DEFAULT</t>
        </is>
      </c>
      <c r="Q2317" t="n">
        <v>0</v>
      </c>
      <c r="R2317" t="inlineStr">
        <is>
          <t>AUD</t>
        </is>
      </c>
      <c r="S2317" t="n">
        <v>0</v>
      </c>
      <c r="T2317" t="inlineStr">
        <is>
          <t>AUD</t>
        </is>
      </c>
      <c r="U2317" t="n">
        <v>0</v>
      </c>
    </row>
    <row r="2318">
      <c r="A2318" s="5" t="inlineStr">
        <is>
          <t>01a152b9-9274-7481-9d46-191dbc47bbcb</t>
        </is>
      </c>
      <c r="C2318" s="5" t="inlineStr">
        <is>
          <t>01a152b9-6e67-75da-8adb-b03e5d07fd21</t>
        </is>
      </c>
      <c r="D2318" s="4" t="n">
        <v>46314.24601617025</v>
      </c>
      <c r="E2318" s="4" t="n">
        <v>46314.24601617037</v>
      </c>
      <c r="F2318" t="b">
        <v>1</v>
      </c>
      <c r="G2318" t="n">
        <v/>
      </c>
      <c r="H2318" t="inlineStr">
        <is>
          <t>APC</t>
        </is>
      </c>
      <c r="I2318" t="inlineStr">
        <is>
          <t>APC Minerals Ltd</t>
        </is>
      </c>
      <c r="J2318" t="inlineStr">
        <is>
          <t>AUD</t>
        </is>
      </c>
      <c r="K2318" s="5" t="inlineStr">
        <is>
          <t>01a152b9-6ee2-7577-bddd-382bc3853fde</t>
        </is>
      </c>
      <c r="M2318" t="inlineStr">
        <is>
          <t>UNKNOWN</t>
        </is>
      </c>
      <c r="N2318" t="inlineStr">
        <is>
          <t>DEFAULT</t>
        </is>
      </c>
      <c r="Q2318" t="n">
        <v>0</v>
      </c>
      <c r="R2318" t="inlineStr">
        <is>
          <t>AUD</t>
        </is>
      </c>
      <c r="S2318" t="n">
        <v>0</v>
      </c>
      <c r="T2318" t="inlineStr">
        <is>
          <t>AUD</t>
        </is>
      </c>
      <c r="U2318" t="n">
        <v>0</v>
      </c>
    </row>
    <row r="2319">
      <c r="A2319" s="5" t="inlineStr">
        <is>
          <t>01a152b9-9279-7771-abc1-7114063d0161</t>
        </is>
      </c>
      <c r="C2319" s="5" t="inlineStr">
        <is>
          <t>01a152b9-6e67-75da-8adb-b03e5d07fd21</t>
        </is>
      </c>
      <c r="D2319" s="4" t="n">
        <v>46314.24601622496</v>
      </c>
      <c r="E2319" s="4" t="n">
        <v>46314.2460162251</v>
      </c>
      <c r="F2319" t="b">
        <v>1</v>
      </c>
      <c r="G2319" t="n">
        <v/>
      </c>
      <c r="H2319" t="inlineStr">
        <is>
          <t>MKL</t>
        </is>
      </c>
      <c r="I2319" t="inlineStr">
        <is>
          <t>Mighty Kingdom Ltd</t>
        </is>
      </c>
      <c r="J2319" t="inlineStr">
        <is>
          <t>AUD</t>
        </is>
      </c>
      <c r="K2319" s="5" t="inlineStr">
        <is>
          <t>01a152b9-6ee2-7577-bddd-382bc3853fde</t>
        </is>
      </c>
      <c r="M2319" t="inlineStr">
        <is>
          <t>UNKNOWN</t>
        </is>
      </c>
      <c r="N2319" t="inlineStr">
        <is>
          <t>DEFAULT</t>
        </is>
      </c>
      <c r="Q2319" t="n">
        <v>0</v>
      </c>
      <c r="R2319" t="inlineStr">
        <is>
          <t>AUD</t>
        </is>
      </c>
      <c r="S2319" t="n">
        <v>0</v>
      </c>
      <c r="T2319" t="inlineStr">
        <is>
          <t>AUD</t>
        </is>
      </c>
      <c r="U2319" t="n">
        <v>0</v>
      </c>
    </row>
    <row r="2320">
      <c r="A2320" s="5" t="inlineStr">
        <is>
          <t>01a152b9-9280-74e5-90cd-d14a7b4176ef</t>
        </is>
      </c>
      <c r="C2320" s="5" t="inlineStr">
        <is>
          <t>01a152b9-6e67-75da-8adb-b03e5d07fd21</t>
        </is>
      </c>
      <c r="D2320" s="4" t="n">
        <v>46314.24601630175</v>
      </c>
      <c r="E2320" s="4" t="n">
        <v>46314.2460163019</v>
      </c>
      <c r="F2320" t="b">
        <v>1</v>
      </c>
      <c r="G2320" t="n">
        <v/>
      </c>
      <c r="H2320" t="inlineStr">
        <is>
          <t>KEY</t>
        </is>
      </c>
      <c r="I2320" t="inlineStr">
        <is>
          <t>KEY Petroleum Ltd</t>
        </is>
      </c>
      <c r="J2320" t="inlineStr">
        <is>
          <t>AUD</t>
        </is>
      </c>
      <c r="K2320" s="5" t="inlineStr">
        <is>
          <t>01a152b9-6ee2-7577-bddd-382bc3853fde</t>
        </is>
      </c>
      <c r="M2320" t="inlineStr">
        <is>
          <t>UNKNOWN</t>
        </is>
      </c>
      <c r="N2320" t="inlineStr">
        <is>
          <t>DEFAULT</t>
        </is>
      </c>
      <c r="Q2320" t="n">
        <v>0</v>
      </c>
      <c r="R2320" t="inlineStr">
        <is>
          <t>AUD</t>
        </is>
      </c>
      <c r="S2320" t="n">
        <v>0</v>
      </c>
      <c r="T2320" t="inlineStr">
        <is>
          <t>AUD</t>
        </is>
      </c>
      <c r="U2320" t="n">
        <v>0</v>
      </c>
    </row>
    <row r="2321">
      <c r="A2321" s="5" t="inlineStr">
        <is>
          <t>01a152b9-9285-70c2-adc1-2542f9f728aa</t>
        </is>
      </c>
      <c r="C2321" s="5" t="inlineStr">
        <is>
          <t>01a152b9-6e67-75da-8adb-b03e5d07fd21</t>
        </is>
      </c>
      <c r="D2321" s="4" t="n">
        <v>46314.24601635845</v>
      </c>
      <c r="E2321" s="4" t="n">
        <v>46314.24601635856</v>
      </c>
      <c r="F2321" t="b">
        <v>1</v>
      </c>
      <c r="G2321" t="n">
        <v/>
      </c>
      <c r="H2321" t="inlineStr">
        <is>
          <t>BEL</t>
        </is>
      </c>
      <c r="I2321" t="inlineStr">
        <is>
          <t>Bentley Capital Ltd</t>
        </is>
      </c>
      <c r="J2321" t="inlineStr">
        <is>
          <t>AUD</t>
        </is>
      </c>
      <c r="K2321" s="5" t="inlineStr">
        <is>
          <t>01a152b9-6ee2-7577-bddd-382bc3853fde</t>
        </is>
      </c>
      <c r="M2321" t="inlineStr">
        <is>
          <t>UNKNOWN</t>
        </is>
      </c>
      <c r="N2321" t="inlineStr">
        <is>
          <t>DEFAULT</t>
        </is>
      </c>
      <c r="Q2321" t="n">
        <v>0</v>
      </c>
      <c r="R2321" t="inlineStr">
        <is>
          <t>AUD</t>
        </is>
      </c>
      <c r="S2321" t="n">
        <v>0</v>
      </c>
      <c r="T2321" t="inlineStr">
        <is>
          <t>AUD</t>
        </is>
      </c>
      <c r="U2321" t="n">
        <v>0</v>
      </c>
    </row>
    <row r="2322">
      <c r="A2322" s="5" t="inlineStr">
        <is>
          <t>01a152b9-9288-70d7-ab33-3126fc200a4f</t>
        </is>
      </c>
      <c r="C2322" s="5" t="inlineStr">
        <is>
          <t>01a152b9-6e67-75da-8adb-b03e5d07fd21</t>
        </is>
      </c>
      <c r="D2322" s="4" t="n">
        <v>46314.24601640126</v>
      </c>
      <c r="E2322" s="4" t="n">
        <v>46314.24601640137</v>
      </c>
      <c r="F2322" t="b">
        <v>1</v>
      </c>
      <c r="G2322" t="n">
        <v/>
      </c>
      <c r="H2322" t="inlineStr">
        <is>
          <t>BBFD</t>
        </is>
      </c>
      <c r="I2322" t="inlineStr">
        <is>
          <t>Betashares Geared Short US TR Bond CH (Hedge Fund)</t>
        </is>
      </c>
      <c r="J2322" t="inlineStr">
        <is>
          <t>AUD</t>
        </is>
      </c>
      <c r="K2322" s="5" t="inlineStr">
        <is>
          <t>01a152b9-6ee2-7577-bddd-382bc3853fde</t>
        </is>
      </c>
      <c r="M2322" t="inlineStr">
        <is>
          <t>UNKNOWN</t>
        </is>
      </c>
      <c r="N2322" t="inlineStr">
        <is>
          <t>DEFAULT</t>
        </is>
      </c>
      <c r="Q2322" t="n">
        <v>0</v>
      </c>
      <c r="R2322" t="inlineStr">
        <is>
          <t>AUD</t>
        </is>
      </c>
      <c r="S2322" t="n">
        <v>0</v>
      </c>
      <c r="T2322" t="inlineStr">
        <is>
          <t>AUD</t>
        </is>
      </c>
      <c r="U2322" t="n">
        <v>0</v>
      </c>
    </row>
    <row r="2323">
      <c r="A2323" s="5" t="inlineStr">
        <is>
          <t>01a152b9-928c-702f-ba78-cce3bd65385c</t>
        </is>
      </c>
      <c r="C2323" s="5" t="inlineStr">
        <is>
          <t>01a152b9-6e67-75da-8adb-b03e5d07fd21</t>
        </is>
      </c>
      <c r="D2323" s="4" t="n">
        <v>46314.24601644</v>
      </c>
      <c r="E2323" s="4" t="n">
        <v>46314.24601644011</v>
      </c>
      <c r="F2323" t="b">
        <v>1</v>
      </c>
      <c r="G2323" t="n">
        <v/>
      </c>
      <c r="H2323" t="inlineStr">
        <is>
          <t>KLR</t>
        </is>
      </c>
      <c r="I2323" t="inlineStr">
        <is>
          <t>Kaili Resources Ltd</t>
        </is>
      </c>
      <c r="J2323" t="inlineStr">
        <is>
          <t>AUD</t>
        </is>
      </c>
      <c r="K2323" s="5" t="inlineStr">
        <is>
          <t>01a152b9-6ee2-7577-bddd-382bc3853fde</t>
        </is>
      </c>
      <c r="M2323" t="inlineStr">
        <is>
          <t>UNKNOWN</t>
        </is>
      </c>
      <c r="N2323" t="inlineStr">
        <is>
          <t>DEFAULT</t>
        </is>
      </c>
      <c r="Q2323" t="n">
        <v>0</v>
      </c>
      <c r="R2323" t="inlineStr">
        <is>
          <t>AUD</t>
        </is>
      </c>
      <c r="S2323" t="n">
        <v>0</v>
      </c>
      <c r="T2323" t="inlineStr">
        <is>
          <t>AUD</t>
        </is>
      </c>
      <c r="U2323" t="n">
        <v>0</v>
      </c>
    </row>
    <row r="2324">
      <c r="A2324" s="5" t="inlineStr">
        <is>
          <t>01a152b9-928f-766a-9132-0830e1b0aec5</t>
        </is>
      </c>
      <c r="C2324" s="5" t="inlineStr">
        <is>
          <t>01a152b9-6e67-75da-8adb-b03e5d07fd21</t>
        </is>
      </c>
      <c r="D2324" s="4" t="n">
        <v>46314.24601647802</v>
      </c>
      <c r="E2324" s="4" t="n">
        <v>46314.24601647812</v>
      </c>
      <c r="F2324" t="b">
        <v>1</v>
      </c>
      <c r="G2324" t="n">
        <v/>
      </c>
      <c r="H2324" t="inlineStr">
        <is>
          <t>ATM</t>
        </is>
      </c>
      <c r="I2324" t="inlineStr">
        <is>
          <t>Aneka Tambang (Persero) TBK (PT)</t>
        </is>
      </c>
      <c r="J2324" t="inlineStr">
        <is>
          <t>AUD</t>
        </is>
      </c>
      <c r="K2324" s="5" t="inlineStr">
        <is>
          <t>01a152b9-6ee2-7577-bddd-382bc3853fde</t>
        </is>
      </c>
      <c r="M2324" t="inlineStr">
        <is>
          <t>UNKNOWN</t>
        </is>
      </c>
      <c r="N2324" t="inlineStr">
        <is>
          <t>DEFAULT</t>
        </is>
      </c>
      <c r="Q2324" t="n">
        <v>0</v>
      </c>
      <c r="R2324" t="inlineStr">
        <is>
          <t>AUD</t>
        </is>
      </c>
      <c r="S2324" t="n">
        <v>0</v>
      </c>
      <c r="T2324" t="inlineStr">
        <is>
          <t>AUD</t>
        </is>
      </c>
      <c r="U2324" t="n">
        <v>0</v>
      </c>
    </row>
    <row r="2325">
      <c r="A2325" s="5" t="inlineStr">
        <is>
          <t>01a152b9-9292-7338-b43d-bbfabee381aa</t>
        </is>
      </c>
      <c r="C2325" s="5" t="inlineStr">
        <is>
          <t>01a152b9-6e67-75da-8adb-b03e5d07fd21</t>
        </is>
      </c>
      <c r="D2325" s="4" t="n">
        <v>46314.24601651646</v>
      </c>
      <c r="E2325" s="4" t="n">
        <v>46314.24601651655</v>
      </c>
      <c r="F2325" t="b">
        <v>1</v>
      </c>
      <c r="G2325" t="n">
        <v/>
      </c>
      <c r="H2325" t="inlineStr">
        <is>
          <t>QUE</t>
        </is>
      </c>
      <c r="I2325" t="inlineStr">
        <is>
          <t>Queste Communications Ltd</t>
        </is>
      </c>
      <c r="J2325" t="inlineStr">
        <is>
          <t>AUD</t>
        </is>
      </c>
      <c r="K2325" s="5" t="inlineStr">
        <is>
          <t>01a152b9-6ee2-7577-bddd-382bc3853fde</t>
        </is>
      </c>
      <c r="M2325" t="inlineStr">
        <is>
          <t>UNKNOWN</t>
        </is>
      </c>
      <c r="N2325" t="inlineStr">
        <is>
          <t>DEFAULT</t>
        </is>
      </c>
      <c r="Q2325" t="n">
        <v>0</v>
      </c>
      <c r="R2325" t="inlineStr">
        <is>
          <t>AUD</t>
        </is>
      </c>
      <c r="S2325" t="n">
        <v>0</v>
      </c>
      <c r="T2325" t="inlineStr">
        <is>
          <t>AUD</t>
        </is>
      </c>
      <c r="U2325" t="n">
        <v>0</v>
      </c>
    </row>
    <row r="2326">
      <c r="A2326" s="5" t="inlineStr">
        <is>
          <t>01a152b9-9296-7549-9b68-bedc98e56fd8</t>
        </is>
      </c>
      <c r="C2326" s="5" t="inlineStr">
        <is>
          <t>01a152b9-6e67-75da-8adb-b03e5d07fd21</t>
        </is>
      </c>
      <c r="D2326" s="4" t="n">
        <v>46314.24601655739</v>
      </c>
      <c r="E2326" s="4" t="n">
        <v>46314.24601655751</v>
      </c>
      <c r="F2326" t="b">
        <v>1</v>
      </c>
      <c r="G2326" t="n">
        <v/>
      </c>
      <c r="H2326" t="inlineStr">
        <is>
          <t>WNR</t>
        </is>
      </c>
      <c r="I2326" t="inlineStr">
        <is>
          <t>Wingara AG Ltd</t>
        </is>
      </c>
      <c r="J2326" t="inlineStr">
        <is>
          <t>AUD</t>
        </is>
      </c>
      <c r="K2326" s="5" t="inlineStr">
        <is>
          <t>01a152b9-6ee2-7577-bddd-382bc3853fde</t>
        </is>
      </c>
      <c r="M2326" t="inlineStr">
        <is>
          <t>UNKNOWN</t>
        </is>
      </c>
      <c r="N2326" t="inlineStr">
        <is>
          <t>DEFAULT</t>
        </is>
      </c>
      <c r="Q2326" t="n">
        <v>0</v>
      </c>
      <c r="R2326" t="inlineStr">
        <is>
          <t>AUD</t>
        </is>
      </c>
      <c r="S2326" t="n">
        <v>0</v>
      </c>
      <c r="T2326" t="inlineStr">
        <is>
          <t>AUD</t>
        </is>
      </c>
      <c r="U2326" t="n">
        <v>0</v>
      </c>
    </row>
    <row r="2327">
      <c r="A2327" s="5" t="inlineStr">
        <is>
          <t>01a152b9-929a-746e-b102-79c607bea69c</t>
        </is>
      </c>
      <c r="C2327" s="5" t="inlineStr">
        <is>
          <t>01a152b9-6e67-75da-8adb-b03e5d07fd21</t>
        </is>
      </c>
      <c r="D2327" s="4" t="n">
        <v>46314.24601660198</v>
      </c>
      <c r="E2327" s="4" t="n">
        <v>46314.2460166021</v>
      </c>
      <c r="F2327" t="b">
        <v>1</v>
      </c>
      <c r="G2327" t="n">
        <v/>
      </c>
      <c r="H2327" t="inlineStr">
        <is>
          <t>ASAO</t>
        </is>
      </c>
      <c r="I2327" t="inlineStr">
        <is>
          <t>ABRDN Sust Asian Opportunities Active ETF</t>
        </is>
      </c>
      <c r="J2327" t="inlineStr">
        <is>
          <t>AUD</t>
        </is>
      </c>
      <c r="K2327" s="5" t="inlineStr">
        <is>
          <t>01a152b9-6ee2-7577-bddd-382bc3853fde</t>
        </is>
      </c>
      <c r="M2327" t="inlineStr">
        <is>
          <t>UNKNOWN</t>
        </is>
      </c>
      <c r="N2327" t="inlineStr">
        <is>
          <t>DEFAULT</t>
        </is>
      </c>
      <c r="Q2327" t="n">
        <v>0</v>
      </c>
      <c r="R2327" t="inlineStr">
        <is>
          <t>AUD</t>
        </is>
      </c>
      <c r="S2327" t="n">
        <v>0</v>
      </c>
      <c r="T2327" t="inlineStr">
        <is>
          <t>AUD</t>
        </is>
      </c>
      <c r="U2327" t="n">
        <v>0</v>
      </c>
    </row>
    <row r="2328">
      <c r="A2328" s="5" t="inlineStr">
        <is>
          <t>01a152b9-929d-7773-a301-7389cca05371</t>
        </is>
      </c>
      <c r="C2328" s="5" t="inlineStr">
        <is>
          <t>01a152b9-6e67-75da-8adb-b03e5d07fd21</t>
        </is>
      </c>
      <c r="D2328" s="4" t="n">
        <v>46314.24601663878</v>
      </c>
      <c r="E2328" s="4" t="n">
        <v>46314.24601663888</v>
      </c>
      <c r="F2328" t="b">
        <v>1</v>
      </c>
      <c r="G2328" t="n">
        <v/>
      </c>
      <c r="H2328" t="inlineStr">
        <is>
          <t>SAN</t>
        </is>
      </c>
      <c r="I2328" t="inlineStr">
        <is>
          <t>Sagalio Energy Ltd</t>
        </is>
      </c>
      <c r="J2328" t="inlineStr">
        <is>
          <t>AUD</t>
        </is>
      </c>
      <c r="K2328" s="5" t="inlineStr">
        <is>
          <t>01a152b9-6ee2-7577-bddd-382bc3853fde</t>
        </is>
      </c>
      <c r="M2328" t="inlineStr">
        <is>
          <t>UNKNOWN</t>
        </is>
      </c>
      <c r="N2328" t="inlineStr">
        <is>
          <t>DEFAULT</t>
        </is>
      </c>
      <c r="Q2328" t="n">
        <v>0</v>
      </c>
      <c r="R2328" t="inlineStr">
        <is>
          <t>AUD</t>
        </is>
      </c>
      <c r="S2328" t="n">
        <v>0</v>
      </c>
      <c r="T2328" t="inlineStr">
        <is>
          <t>AUD</t>
        </is>
      </c>
      <c r="U2328" t="n">
        <v>0</v>
      </c>
    </row>
    <row r="2329">
      <c r="A2329" s="5" t="inlineStr">
        <is>
          <t>01a152b9-92a0-7763-817b-bc3668db77a7</t>
        </is>
      </c>
      <c r="C2329" s="5" t="inlineStr">
        <is>
          <t>01a152b9-6e67-75da-8adb-b03e5d07fd21</t>
        </is>
      </c>
      <c r="D2329" s="4" t="n">
        <v>46314.24601667701</v>
      </c>
      <c r="E2329" s="4" t="n">
        <v>46314.24601667711</v>
      </c>
      <c r="F2329" t="b">
        <v>1</v>
      </c>
      <c r="G2329" t="n">
        <v/>
      </c>
      <c r="H2329" t="inlineStr">
        <is>
          <t>MSG</t>
        </is>
      </c>
      <c r="I2329" t="inlineStr">
        <is>
          <t>MCS Services Ltd</t>
        </is>
      </c>
      <c r="J2329" t="inlineStr">
        <is>
          <t>AUD</t>
        </is>
      </c>
      <c r="K2329" s="5" t="inlineStr">
        <is>
          <t>01a152b9-6ee2-7577-bddd-382bc3853fde</t>
        </is>
      </c>
      <c r="M2329" t="inlineStr">
        <is>
          <t>UNKNOWN</t>
        </is>
      </c>
      <c r="N2329" t="inlineStr">
        <is>
          <t>DEFAULT</t>
        </is>
      </c>
      <c r="Q2329" t="n">
        <v>0</v>
      </c>
      <c r="R2329" t="inlineStr">
        <is>
          <t>AUD</t>
        </is>
      </c>
      <c r="S2329" t="n">
        <v>0</v>
      </c>
      <c r="T2329" t="inlineStr">
        <is>
          <t>AUD</t>
        </is>
      </c>
      <c r="U2329" t="n">
        <v>0</v>
      </c>
    </row>
    <row r="2330">
      <c r="A2330" s="5" t="inlineStr">
        <is>
          <t>01a152b9-92a3-706e-9568-7d2f7d46b65c</t>
        </is>
      </c>
      <c r="C2330" s="5" t="inlineStr">
        <is>
          <t>01a152b9-6e67-75da-8adb-b03e5d07fd21</t>
        </is>
      </c>
      <c r="D2330" s="4" t="n">
        <v>46314.24601671202</v>
      </c>
      <c r="E2330" s="4" t="n">
        <v>46314.24601671212</v>
      </c>
      <c r="F2330" t="b">
        <v>1</v>
      </c>
      <c r="G2330" t="n">
        <v/>
      </c>
      <c r="H2330" t="inlineStr">
        <is>
          <t>ULTB</t>
        </is>
      </c>
      <c r="I2330" t="inlineStr">
        <is>
          <t>Ishares 20+ Year U.S. Treasury Bond (Hedged) ETF</t>
        </is>
      </c>
      <c r="J2330" t="inlineStr">
        <is>
          <t>AUD</t>
        </is>
      </c>
      <c r="K2330" s="5" t="inlineStr">
        <is>
          <t>01a152b9-6ee2-7577-bddd-382bc3853fde</t>
        </is>
      </c>
      <c r="M2330" t="inlineStr">
        <is>
          <t>UNKNOWN</t>
        </is>
      </c>
      <c r="N2330" t="inlineStr">
        <is>
          <t>DEFAULT</t>
        </is>
      </c>
      <c r="Q2330" t="n">
        <v>0</v>
      </c>
      <c r="R2330" t="inlineStr">
        <is>
          <t>AUD</t>
        </is>
      </c>
      <c r="S2330" t="n">
        <v>0</v>
      </c>
      <c r="T2330" t="inlineStr">
        <is>
          <t>AUD</t>
        </is>
      </c>
      <c r="U2330" t="n">
        <v>0</v>
      </c>
    </row>
    <row r="2331">
      <c r="A2331" s="5" t="inlineStr">
        <is>
          <t>01a152b9-92a6-7468-850b-e71be6e56e1e</t>
        </is>
      </c>
      <c r="C2331" s="5" t="inlineStr">
        <is>
          <t>01a152b9-6e67-75da-8adb-b03e5d07fd21</t>
        </is>
      </c>
      <c r="D2331" s="4" t="n">
        <v>46314.24601674648</v>
      </c>
      <c r="E2331" s="4" t="n">
        <v>46314.2460167466</v>
      </c>
      <c r="F2331" t="b">
        <v>1</v>
      </c>
      <c r="G2331" t="n">
        <v/>
      </c>
      <c r="H2331" t="inlineStr">
        <is>
          <t>FHCO</t>
        </is>
      </c>
      <c r="I2331" t="inlineStr">
        <is>
          <t>Fidelity Australian High Conviction Active ETF</t>
        </is>
      </c>
      <c r="J2331" t="inlineStr">
        <is>
          <t>AUD</t>
        </is>
      </c>
      <c r="K2331" s="5" t="inlineStr">
        <is>
          <t>01a152b9-6ee2-7577-bddd-382bc3853fde</t>
        </is>
      </c>
      <c r="M2331" t="inlineStr">
        <is>
          <t>UNKNOWN</t>
        </is>
      </c>
      <c r="N2331" t="inlineStr">
        <is>
          <t>DEFAULT</t>
        </is>
      </c>
      <c r="Q2331" t="n">
        <v>0</v>
      </c>
      <c r="R2331" t="inlineStr">
        <is>
          <t>AUD</t>
        </is>
      </c>
      <c r="S2331" t="n">
        <v>0</v>
      </c>
      <c r="T2331" t="inlineStr">
        <is>
          <t>AUD</t>
        </is>
      </c>
      <c r="U2331" t="n">
        <v>0</v>
      </c>
    </row>
    <row r="2332">
      <c r="A2332" s="5" t="inlineStr">
        <is>
          <t>01a152b9-92aa-7258-aa53-558737cd936a</t>
        </is>
      </c>
      <c r="C2332" s="5" t="inlineStr">
        <is>
          <t>01a152b9-6e67-75da-8adb-b03e5d07fd21</t>
        </is>
      </c>
      <c r="D2332" s="4" t="n">
        <v>46314.24601678419</v>
      </c>
      <c r="E2332" s="4" t="n">
        <v>46314.24601678428</v>
      </c>
      <c r="F2332" t="b">
        <v>1</v>
      </c>
      <c r="G2332" t="n">
        <v/>
      </c>
      <c r="H2332" t="inlineStr">
        <is>
          <t>FCG</t>
        </is>
      </c>
      <c r="I2332" t="inlineStr">
        <is>
          <t>Freedom Care Group Holdings Ltd</t>
        </is>
      </c>
      <c r="J2332" t="inlineStr">
        <is>
          <t>AUD</t>
        </is>
      </c>
      <c r="K2332" s="5" t="inlineStr">
        <is>
          <t>01a152b9-6ee2-7577-bddd-382bc3853fde</t>
        </is>
      </c>
      <c r="M2332" t="inlineStr">
        <is>
          <t>UNKNOWN</t>
        </is>
      </c>
      <c r="N2332" t="inlineStr">
        <is>
          <t>DEFAULT</t>
        </is>
      </c>
      <c r="Q2332" t="n">
        <v>0</v>
      </c>
      <c r="R2332" t="inlineStr">
        <is>
          <t>AUD</t>
        </is>
      </c>
      <c r="S2332" t="n">
        <v>0</v>
      </c>
      <c r="T2332" t="inlineStr">
        <is>
          <t>AUD</t>
        </is>
      </c>
      <c r="U2332" t="n">
        <v>0</v>
      </c>
    </row>
    <row r="2333">
      <c r="A2333" s="5" t="inlineStr">
        <is>
          <t>01a152b9-92ad-702a-9b65-21081ee6f5ae</t>
        </is>
      </c>
      <c r="C2333" s="5" t="inlineStr">
        <is>
          <t>01a152b9-6e67-75da-8adb-b03e5d07fd21</t>
        </is>
      </c>
      <c r="D2333" s="4" t="n">
        <v>46314.24601683003</v>
      </c>
      <c r="E2333" s="4" t="n">
        <v>46314.24601683024</v>
      </c>
      <c r="F2333" t="b">
        <v>1</v>
      </c>
      <c r="G2333" t="n">
        <v/>
      </c>
      <c r="H2333" t="inlineStr">
        <is>
          <t>JZRO</t>
        </is>
      </c>
      <c r="I2333" t="inlineStr">
        <is>
          <t>Janus Henderson Net ZERO Transition Active ETF</t>
        </is>
      </c>
      <c r="J2333" t="inlineStr">
        <is>
          <t>AUD</t>
        </is>
      </c>
      <c r="K2333" s="5" t="inlineStr">
        <is>
          <t>01a152b9-6ee2-7577-bddd-382bc3853fde</t>
        </is>
      </c>
      <c r="M2333" t="inlineStr">
        <is>
          <t>UNKNOWN</t>
        </is>
      </c>
      <c r="N2333" t="inlineStr">
        <is>
          <t>DEFAULT</t>
        </is>
      </c>
      <c r="Q2333" t="n">
        <v>0</v>
      </c>
      <c r="R2333" t="inlineStr">
        <is>
          <t>AUD</t>
        </is>
      </c>
      <c r="S2333" t="n">
        <v>0</v>
      </c>
      <c r="T2333" t="inlineStr">
        <is>
          <t>AUD</t>
        </is>
      </c>
      <c r="U2333" t="n">
        <v>0</v>
      </c>
    </row>
    <row r="2334">
      <c r="A2334" s="5" t="inlineStr">
        <is>
          <t>01a152b9-92b1-7343-be86-a7d6b5da8bea</t>
        </is>
      </c>
      <c r="C2334" s="5" t="inlineStr">
        <is>
          <t>01a152b9-6e67-75da-8adb-b03e5d07fd21</t>
        </is>
      </c>
      <c r="D2334" s="4" t="n">
        <v>46314.24601687217</v>
      </c>
      <c r="E2334" s="4" t="n">
        <v>46314.24601687228</v>
      </c>
      <c r="F2334" t="b">
        <v>1</v>
      </c>
      <c r="G2334" t="n">
        <v/>
      </c>
      <c r="H2334" t="inlineStr">
        <is>
          <t>MSI</t>
        </is>
      </c>
      <c r="I2334" t="inlineStr">
        <is>
          <t>Multistack International Ltd</t>
        </is>
      </c>
      <c r="J2334" t="inlineStr">
        <is>
          <t>AUD</t>
        </is>
      </c>
      <c r="K2334" s="5" t="inlineStr">
        <is>
          <t>01a152b9-6ee2-7577-bddd-382bc3853fde</t>
        </is>
      </c>
      <c r="M2334" t="inlineStr">
        <is>
          <t>UNKNOWN</t>
        </is>
      </c>
      <c r="N2334" t="inlineStr">
        <is>
          <t>DEFAULT</t>
        </is>
      </c>
      <c r="Q2334" t="n">
        <v>0</v>
      </c>
      <c r="R2334" t="inlineStr">
        <is>
          <t>AUD</t>
        </is>
      </c>
      <c r="S2334" t="n">
        <v>0</v>
      </c>
      <c r="T2334" t="inlineStr">
        <is>
          <t>AUD</t>
        </is>
      </c>
      <c r="U2334" t="n">
        <v>0</v>
      </c>
    </row>
    <row r="2335">
      <c r="A2335" s="5" t="inlineStr">
        <is>
          <t>01a152b9-92b5-723c-a5ed-164d56c1efdf</t>
        </is>
      </c>
      <c r="C2335" s="5" t="inlineStr">
        <is>
          <t>01a152b9-6e67-75da-8adb-b03e5d07fd21</t>
        </is>
      </c>
      <c r="D2335" s="4" t="n">
        <v>46314.24601691278</v>
      </c>
      <c r="E2335" s="4" t="n">
        <v>46314.24601691288</v>
      </c>
      <c r="F2335" t="b">
        <v>1</v>
      </c>
      <c r="G2335" t="n">
        <v/>
      </c>
      <c r="H2335" t="inlineStr">
        <is>
          <t>EM2R</t>
        </is>
      </c>
      <c r="I2335" t="inlineStr">
        <is>
          <t>Eagle Mountain Mining Ltd</t>
        </is>
      </c>
      <c r="J2335" t="inlineStr">
        <is>
          <t>AUD</t>
        </is>
      </c>
      <c r="K2335" s="5" t="inlineStr">
        <is>
          <t>01a152b9-6ee2-7577-bddd-382bc3853fde</t>
        </is>
      </c>
      <c r="M2335" t="inlineStr">
        <is>
          <t>UNKNOWN</t>
        </is>
      </c>
      <c r="N2335" t="inlineStr">
        <is>
          <t>DEFAULT</t>
        </is>
      </c>
      <c r="Q2335" t="n">
        <v>0</v>
      </c>
      <c r="R2335" t="inlineStr">
        <is>
          <t>AUD</t>
        </is>
      </c>
      <c r="S2335" t="n">
        <v>0</v>
      </c>
      <c r="T2335" t="inlineStr">
        <is>
          <t>AUD</t>
        </is>
      </c>
      <c r="U2335" t="n">
        <v>0</v>
      </c>
    </row>
    <row r="2336">
      <c r="A2336" s="5" t="inlineStr">
        <is>
          <t>01a152b9-92b8-719f-9963-8239c72cc16e</t>
        </is>
      </c>
      <c r="C2336" s="5" t="inlineStr">
        <is>
          <t>01a152b9-6e67-75da-8adb-b03e5d07fd21</t>
        </is>
      </c>
      <c r="D2336" s="4" t="n">
        <v>46314.24601695389</v>
      </c>
      <c r="E2336" s="4" t="n">
        <v>46314.24601695399</v>
      </c>
      <c r="F2336" t="b">
        <v>1</v>
      </c>
      <c r="G2336" t="n">
        <v/>
      </c>
      <c r="H2336" t="inlineStr">
        <is>
          <t>GOOD</t>
        </is>
      </c>
      <c r="I2336" t="inlineStr">
        <is>
          <t>Janus Henderson Sustainable Credit Active ETF</t>
        </is>
      </c>
      <c r="J2336" t="inlineStr">
        <is>
          <t>AUD</t>
        </is>
      </c>
      <c r="K2336" s="5" t="inlineStr">
        <is>
          <t>01a152b9-6ee2-7577-bddd-382bc3853fde</t>
        </is>
      </c>
      <c r="M2336" t="inlineStr">
        <is>
          <t>UNKNOWN</t>
        </is>
      </c>
      <c r="N2336" t="inlineStr">
        <is>
          <t>DEFAULT</t>
        </is>
      </c>
      <c r="Q2336" t="n">
        <v>0</v>
      </c>
      <c r="R2336" t="inlineStr">
        <is>
          <t>AUD</t>
        </is>
      </c>
      <c r="S2336" t="n">
        <v>0</v>
      </c>
      <c r="T2336" t="inlineStr">
        <is>
          <t>AUD</t>
        </is>
      </c>
      <c r="U2336" t="n">
        <v>0</v>
      </c>
    </row>
    <row r="2337">
      <c r="A2337" s="5" t="inlineStr">
        <is>
          <t>01a152b9-92bc-7672-84f6-73f0982a13f5</t>
        </is>
      </c>
      <c r="C2337" s="5" t="inlineStr">
        <is>
          <t>01a152b9-6e67-75da-8adb-b03e5d07fd21</t>
        </is>
      </c>
      <c r="D2337" s="4" t="n">
        <v>46314.24601699498</v>
      </c>
      <c r="E2337" s="4" t="n">
        <v>46314.24601699508</v>
      </c>
      <c r="F2337" t="b">
        <v>1</v>
      </c>
      <c r="G2337" t="n">
        <v/>
      </c>
      <c r="H2337" t="inlineStr">
        <is>
          <t>OKJ</t>
        </is>
      </c>
      <c r="I2337" t="inlineStr">
        <is>
          <t>Oakajee Corporation Ltd</t>
        </is>
      </c>
      <c r="J2337" t="inlineStr">
        <is>
          <t>AUD</t>
        </is>
      </c>
      <c r="K2337" s="5" t="inlineStr">
        <is>
          <t>01a152b9-6ee2-7577-bddd-382bc3853fde</t>
        </is>
      </c>
      <c r="M2337" t="inlineStr">
        <is>
          <t>UNKNOWN</t>
        </is>
      </c>
      <c r="N2337" t="inlineStr">
        <is>
          <t>DEFAULT</t>
        </is>
      </c>
      <c r="Q2337" t="n">
        <v>0</v>
      </c>
      <c r="R2337" t="inlineStr">
        <is>
          <t>AUD</t>
        </is>
      </c>
      <c r="S2337" t="n">
        <v>0</v>
      </c>
      <c r="T2337" t="inlineStr">
        <is>
          <t>AUD</t>
        </is>
      </c>
      <c r="U2337" t="n">
        <v>0</v>
      </c>
    </row>
    <row r="2338">
      <c r="A2338" s="5" t="inlineStr">
        <is>
          <t>01a152b9-92c0-72f1-8571-5f19e95c3e99</t>
        </is>
      </c>
      <c r="C2338" s="5" t="inlineStr">
        <is>
          <t>01a152b9-6e67-75da-8adb-b03e5d07fd21</t>
        </is>
      </c>
      <c r="D2338" s="4" t="n">
        <v>46314.24601703914</v>
      </c>
      <c r="E2338" s="4" t="n">
        <v>46314.24601703924</v>
      </c>
      <c r="F2338" t="b">
        <v>1</v>
      </c>
      <c r="G2338" t="n">
        <v/>
      </c>
      <c r="H2338" t="inlineStr">
        <is>
          <t>CHRCA</t>
        </is>
      </c>
      <c r="I2338" t="inlineStr">
        <is>
          <t>Charger Metals NL</t>
        </is>
      </c>
      <c r="J2338" t="inlineStr">
        <is>
          <t>AUD</t>
        </is>
      </c>
      <c r="K2338" s="5" t="inlineStr">
        <is>
          <t>01a152b9-6ee2-7577-bddd-382bc3853fde</t>
        </is>
      </c>
      <c r="M2338" t="inlineStr">
        <is>
          <t>UNKNOWN</t>
        </is>
      </c>
      <c r="N2338" t="inlineStr">
        <is>
          <t>DEFAULT</t>
        </is>
      </c>
      <c r="Q2338" t="n">
        <v>0</v>
      </c>
      <c r="R2338" t="inlineStr">
        <is>
          <t>AUD</t>
        </is>
      </c>
      <c r="S2338" t="n">
        <v>0</v>
      </c>
      <c r="T2338" t="inlineStr">
        <is>
          <t>AUD</t>
        </is>
      </c>
      <c r="U2338" t="n">
        <v>0</v>
      </c>
    </row>
    <row r="2339">
      <c r="A2339" s="5" t="inlineStr">
        <is>
          <t>01a152b9-92c3-76c4-a469-8aa2a493ce58</t>
        </is>
      </c>
      <c r="C2339" s="5" t="inlineStr">
        <is>
          <t>01a152b9-6e67-75da-8adb-b03e5d07fd21</t>
        </is>
      </c>
      <c r="D2339" s="4" t="n">
        <v>46314.24601707511</v>
      </c>
      <c r="E2339" s="4" t="n">
        <v>46314.24601707521</v>
      </c>
      <c r="F2339" t="b">
        <v>1</v>
      </c>
      <c r="G2339" t="n">
        <v/>
      </c>
      <c r="H2339" t="inlineStr">
        <is>
          <t>RPG</t>
        </is>
      </c>
      <c r="I2339" t="inlineStr">
        <is>
          <t>Raptis Group Ltd</t>
        </is>
      </c>
      <c r="J2339" t="inlineStr">
        <is>
          <t>AUD</t>
        </is>
      </c>
      <c r="K2339" s="5" t="inlineStr">
        <is>
          <t>01a152b9-6ee2-7577-bddd-382bc3853fde</t>
        </is>
      </c>
      <c r="M2339" t="inlineStr">
        <is>
          <t>UNKNOWN</t>
        </is>
      </c>
      <c r="N2339" t="inlineStr">
        <is>
          <t>DEFAULT</t>
        </is>
      </c>
      <c r="Q2339" t="n">
        <v>0</v>
      </c>
      <c r="R2339" t="inlineStr">
        <is>
          <t>AUD</t>
        </is>
      </c>
      <c r="S2339" t="n">
        <v>0</v>
      </c>
      <c r="T2339" t="inlineStr">
        <is>
          <t>AUD</t>
        </is>
      </c>
      <c r="U2339" t="n">
        <v>0</v>
      </c>
    </row>
    <row r="2340">
      <c r="A2340" s="5" t="inlineStr">
        <is>
          <t>01a152b9-92c6-7662-88fe-4636f027ada7</t>
        </is>
      </c>
      <c r="C2340" s="5" t="inlineStr">
        <is>
          <t>01a152b9-6e67-75da-8adb-b03e5d07fd21</t>
        </is>
      </c>
      <c r="D2340" s="4" t="n">
        <v>46314.24601711312</v>
      </c>
      <c r="E2340" s="4" t="n">
        <v>46314.2460171132</v>
      </c>
      <c r="F2340" t="b">
        <v>1</v>
      </c>
      <c r="G2340" t="n">
        <v/>
      </c>
      <c r="H2340" t="inlineStr">
        <is>
          <t>ICU</t>
        </is>
      </c>
      <c r="I2340" t="inlineStr">
        <is>
          <t>Investor Centre Ltd</t>
        </is>
      </c>
      <c r="J2340" t="inlineStr">
        <is>
          <t>AUD</t>
        </is>
      </c>
      <c r="K2340" s="5" t="inlineStr">
        <is>
          <t>01a152b9-6ee2-7577-bddd-382bc3853fde</t>
        </is>
      </c>
      <c r="M2340" t="inlineStr">
        <is>
          <t>UNKNOWN</t>
        </is>
      </c>
      <c r="N2340" t="inlineStr">
        <is>
          <t>DEFAULT</t>
        </is>
      </c>
      <c r="Q2340" t="n">
        <v>0</v>
      </c>
      <c r="R2340" t="inlineStr">
        <is>
          <t>AUD</t>
        </is>
      </c>
      <c r="S2340" t="n">
        <v>0</v>
      </c>
      <c r="T2340" t="inlineStr">
        <is>
          <t>AUD</t>
        </is>
      </c>
      <c r="U2340" t="n">
        <v>0</v>
      </c>
    </row>
    <row r="2341">
      <c r="A2341" s="5" t="inlineStr">
        <is>
          <t>01a152b9-92c9-72bf-be91-09a0b206190c</t>
        </is>
      </c>
      <c r="C2341" s="5" t="inlineStr">
        <is>
          <t>01a152b9-6e67-75da-8adb-b03e5d07fd21</t>
        </is>
      </c>
      <c r="D2341" s="4" t="n">
        <v>46314.24601715345</v>
      </c>
      <c r="E2341" s="4" t="n">
        <v>46314.24601715354</v>
      </c>
      <c r="F2341" t="b">
        <v>1</v>
      </c>
      <c r="G2341" t="n">
        <v/>
      </c>
      <c r="H2341" t="inlineStr">
        <is>
          <t>8VI</t>
        </is>
      </c>
      <c r="I2341" t="inlineStr">
        <is>
          <t>8VI Holdings Ltd</t>
        </is>
      </c>
      <c r="J2341" t="inlineStr">
        <is>
          <t>AUD</t>
        </is>
      </c>
      <c r="K2341" s="5" t="inlineStr">
        <is>
          <t>01a152b9-6ee2-7577-bddd-382bc3853fde</t>
        </is>
      </c>
      <c r="M2341" t="inlineStr">
        <is>
          <t>UNKNOWN</t>
        </is>
      </c>
      <c r="N2341" t="inlineStr">
        <is>
          <t>DEFAULT</t>
        </is>
      </c>
      <c r="Q2341" t="n">
        <v>0</v>
      </c>
      <c r="R2341" t="inlineStr">
        <is>
          <t>AUD</t>
        </is>
      </c>
      <c r="S2341" t="n">
        <v>0</v>
      </c>
      <c r="T2341" t="inlineStr">
        <is>
          <t>AUD</t>
        </is>
      </c>
      <c r="U2341" t="n">
        <v>0</v>
      </c>
    </row>
    <row r="2342">
      <c r="A2342" s="5" t="inlineStr">
        <is>
          <t>01a152b9-92cd-7676-aac9-33b3cb417ae1</t>
        </is>
      </c>
      <c r="C2342" s="5" t="inlineStr">
        <is>
          <t>01a152b9-6e67-75da-8adb-b03e5d07fd21</t>
        </is>
      </c>
      <c r="D2342" s="4" t="n">
        <v>46314.24601719494</v>
      </c>
      <c r="E2342" s="4" t="n">
        <v>46314.24601719504</v>
      </c>
      <c r="F2342" t="b">
        <v>1</v>
      </c>
      <c r="G2342" t="n">
        <v/>
      </c>
      <c r="H2342" t="inlineStr">
        <is>
          <t>MBX</t>
        </is>
      </c>
      <c r="I2342" t="inlineStr">
        <is>
          <t>My Foodie BOX Ltd</t>
        </is>
      </c>
      <c r="J2342" t="inlineStr">
        <is>
          <t>AUD</t>
        </is>
      </c>
      <c r="K2342" s="5" t="inlineStr">
        <is>
          <t>01a152b9-6ee2-7577-bddd-382bc3853fde</t>
        </is>
      </c>
      <c r="M2342" t="inlineStr">
        <is>
          <t>UNKNOWN</t>
        </is>
      </c>
      <c r="N2342" t="inlineStr">
        <is>
          <t>DEFAULT</t>
        </is>
      </c>
      <c r="Q2342" t="n">
        <v>0</v>
      </c>
      <c r="R2342" t="inlineStr">
        <is>
          <t>AUD</t>
        </is>
      </c>
      <c r="S2342" t="n">
        <v>0</v>
      </c>
      <c r="T2342" t="inlineStr">
        <is>
          <t>AUD</t>
        </is>
      </c>
      <c r="U2342" t="n">
        <v>0</v>
      </c>
    </row>
    <row r="2343">
      <c r="A2343" s="5" t="inlineStr">
        <is>
          <t>01a152b9-92d0-754b-971a-5aafecb2b965</t>
        </is>
      </c>
      <c r="C2343" s="5" t="inlineStr">
        <is>
          <t>01a152b9-6e67-75da-8adb-b03e5d07fd21</t>
        </is>
      </c>
      <c r="D2343" s="4" t="n">
        <v>46314.24601723282</v>
      </c>
      <c r="E2343" s="4" t="n">
        <v>46314.24601723292</v>
      </c>
      <c r="F2343" t="b">
        <v>1</v>
      </c>
      <c r="G2343" t="n">
        <v/>
      </c>
      <c r="H2343" t="inlineStr">
        <is>
          <t>BBAB</t>
        </is>
      </c>
      <c r="I2343" t="inlineStr">
        <is>
          <t>Betashares Geared Short Aus GOV Bond (Hedge Fund)</t>
        </is>
      </c>
      <c r="J2343" t="inlineStr">
        <is>
          <t>AUD</t>
        </is>
      </c>
      <c r="K2343" s="5" t="inlineStr">
        <is>
          <t>01a152b9-6ee2-7577-bddd-382bc3853fde</t>
        </is>
      </c>
      <c r="M2343" t="inlineStr">
        <is>
          <t>UNKNOWN</t>
        </is>
      </c>
      <c r="N2343" t="inlineStr">
        <is>
          <t>DEFAULT</t>
        </is>
      </c>
      <c r="Q2343" t="n">
        <v>0</v>
      </c>
      <c r="R2343" t="inlineStr">
        <is>
          <t>AUD</t>
        </is>
      </c>
      <c r="S2343" t="n">
        <v>0</v>
      </c>
      <c r="T2343" t="inlineStr">
        <is>
          <t>AUD</t>
        </is>
      </c>
      <c r="U2343" t="n">
        <v>0</v>
      </c>
    </row>
    <row r="2344">
      <c r="A2344" s="5" t="inlineStr">
        <is>
          <t>01a152b9-92d3-7754-b90d-abad579eae64</t>
        </is>
      </c>
      <c r="C2344" s="5" t="inlineStr">
        <is>
          <t>01a152b9-6e67-75da-8adb-b03e5d07fd21</t>
        </is>
      </c>
      <c r="D2344" s="4" t="n">
        <v>46314.2460172684</v>
      </c>
      <c r="E2344" s="4" t="n">
        <v>46314.24601726851</v>
      </c>
      <c r="F2344" t="b">
        <v>1</v>
      </c>
      <c r="G2344" t="n">
        <v/>
      </c>
      <c r="H2344" t="inlineStr">
        <is>
          <t>ALFA</t>
        </is>
      </c>
      <c r="I2344" t="inlineStr">
        <is>
          <t>Vaneck Australian Long Short Complex ETF</t>
        </is>
      </c>
      <c r="J2344" t="inlineStr">
        <is>
          <t>AUD</t>
        </is>
      </c>
      <c r="K2344" s="5" t="inlineStr">
        <is>
          <t>01a152b9-6ee2-7577-bddd-382bc3853fde</t>
        </is>
      </c>
      <c r="M2344" t="inlineStr">
        <is>
          <t>UNKNOWN</t>
        </is>
      </c>
      <c r="N2344" t="inlineStr">
        <is>
          <t>DEFAULT</t>
        </is>
      </c>
      <c r="Q2344" t="n">
        <v>0</v>
      </c>
      <c r="R2344" t="inlineStr">
        <is>
          <t>AUD</t>
        </is>
      </c>
      <c r="S2344" t="n">
        <v>0</v>
      </c>
      <c r="T2344" t="inlineStr">
        <is>
          <t>AUD</t>
        </is>
      </c>
      <c r="U2344" t="n">
        <v>0</v>
      </c>
    </row>
    <row r="2345">
      <c r="A2345" s="5" t="inlineStr">
        <is>
          <t>01a152b9-92d7-766d-95e6-8d1d8373ee40</t>
        </is>
      </c>
      <c r="C2345" s="5" t="inlineStr">
        <is>
          <t>01a152b9-6e67-75da-8adb-b03e5d07fd21</t>
        </is>
      </c>
      <c r="D2345" s="4" t="n">
        <v>46314.24601730692</v>
      </c>
      <c r="E2345" s="4" t="n">
        <v>46314.24601730712</v>
      </c>
      <c r="F2345" t="b">
        <v>1</v>
      </c>
      <c r="G2345" t="n">
        <v/>
      </c>
      <c r="H2345" t="inlineStr">
        <is>
          <t>JAY</t>
        </is>
      </c>
      <c r="I2345" t="inlineStr">
        <is>
          <t>Jayride Group Ltd</t>
        </is>
      </c>
      <c r="J2345" t="inlineStr">
        <is>
          <t>AUD</t>
        </is>
      </c>
      <c r="K2345" s="5" t="inlineStr">
        <is>
          <t>01a152b9-6ee2-7577-bddd-382bc3853fde</t>
        </is>
      </c>
      <c r="M2345" t="inlineStr">
        <is>
          <t>UNKNOWN</t>
        </is>
      </c>
      <c r="N2345" t="inlineStr">
        <is>
          <t>DEFAULT</t>
        </is>
      </c>
      <c r="Q2345" t="n">
        <v>0</v>
      </c>
      <c r="R2345" t="inlineStr">
        <is>
          <t>AUD</t>
        </is>
      </c>
      <c r="S2345" t="n">
        <v>0</v>
      </c>
      <c r="T2345" t="inlineStr">
        <is>
          <t>AUD</t>
        </is>
      </c>
      <c r="U2345" t="n">
        <v>0</v>
      </c>
    </row>
    <row r="2346">
      <c r="A2346" s="5" t="inlineStr">
        <is>
          <t>01a152b9-92da-721a-8ebb-deda6821632c</t>
        </is>
      </c>
      <c r="C2346" s="5" t="inlineStr">
        <is>
          <t>01a152b9-6e67-75da-8adb-b03e5d07fd21</t>
        </is>
      </c>
      <c r="D2346" s="4" t="n">
        <v>46314.24601735072</v>
      </c>
      <c r="E2346" s="4" t="n">
        <v>46314.24601735082</v>
      </c>
      <c r="F2346" t="b">
        <v>1</v>
      </c>
      <c r="G2346" t="n">
        <v/>
      </c>
      <c r="H2346" t="inlineStr">
        <is>
          <t>TTA</t>
        </is>
      </c>
      <c r="I2346" t="inlineStr">
        <is>
          <t>TTA Holdings Ltd</t>
        </is>
      </c>
      <c r="J2346" t="inlineStr">
        <is>
          <t>AUD</t>
        </is>
      </c>
      <c r="K2346" s="5" t="inlineStr">
        <is>
          <t>01a152b9-6ee2-7577-bddd-382bc3853fde</t>
        </is>
      </c>
      <c r="M2346" t="inlineStr">
        <is>
          <t>UNKNOWN</t>
        </is>
      </c>
      <c r="N2346" t="inlineStr">
        <is>
          <t>DEFAULT</t>
        </is>
      </c>
      <c r="Q2346" t="n">
        <v>0</v>
      </c>
      <c r="R2346" t="inlineStr">
        <is>
          <t>AUD</t>
        </is>
      </c>
      <c r="S2346" t="n">
        <v>0</v>
      </c>
      <c r="T2346" t="inlineStr">
        <is>
          <t>AUD</t>
        </is>
      </c>
      <c r="U2346" t="n">
        <v>0</v>
      </c>
    </row>
    <row r="2347">
      <c r="A2347" s="5" t="inlineStr">
        <is>
          <t>01a152b9-92de-705f-bf54-58c2708d5381</t>
        </is>
      </c>
      <c r="C2347" s="5" t="inlineStr">
        <is>
          <t>01a152b9-6e67-75da-8adb-b03e5d07fd21</t>
        </is>
      </c>
      <c r="D2347" s="4" t="n">
        <v>46314.24601739353</v>
      </c>
      <c r="E2347" s="4" t="n">
        <v>46314.24601739366</v>
      </c>
      <c r="F2347" t="b">
        <v>1</v>
      </c>
      <c r="G2347" t="n">
        <v/>
      </c>
      <c r="H2347" t="inlineStr">
        <is>
          <t>LAW</t>
        </is>
      </c>
      <c r="I2347" t="inlineStr">
        <is>
          <t>Lawfinance Ltd</t>
        </is>
      </c>
      <c r="J2347" t="inlineStr">
        <is>
          <t>AUD</t>
        </is>
      </c>
      <c r="K2347" s="5" t="inlineStr">
        <is>
          <t>01a152b9-6ee2-7577-bddd-382bc3853fde</t>
        </is>
      </c>
      <c r="M2347" t="inlineStr">
        <is>
          <t>UNKNOWN</t>
        </is>
      </c>
      <c r="N2347" t="inlineStr">
        <is>
          <t>DEFAULT</t>
        </is>
      </c>
      <c r="Q2347" t="n">
        <v>0</v>
      </c>
      <c r="R2347" t="inlineStr">
        <is>
          <t>AUD</t>
        </is>
      </c>
      <c r="S2347" t="n">
        <v>0</v>
      </c>
      <c r="T2347" t="inlineStr">
        <is>
          <t>AUD</t>
        </is>
      </c>
      <c r="U2347" t="n">
        <v>0</v>
      </c>
    </row>
    <row r="2348">
      <c r="A2348" s="5" t="inlineStr">
        <is>
          <t>01a152b9-92e2-759d-8261-05e23daf4c95</t>
        </is>
      </c>
      <c r="C2348" s="5" t="inlineStr">
        <is>
          <t>01a152b9-6e67-75da-8adb-b03e5d07fd21</t>
        </is>
      </c>
      <c r="D2348" s="4" t="n">
        <v>46314.24601743644</v>
      </c>
      <c r="E2348" s="4" t="n">
        <v>46314.24601743653</v>
      </c>
      <c r="F2348" t="b">
        <v>1</v>
      </c>
      <c r="G2348" t="n">
        <v/>
      </c>
      <c r="H2348" t="inlineStr">
        <is>
          <t>CINPA</t>
        </is>
      </c>
      <c r="I2348" t="inlineStr">
        <is>
          <t>Carlton Investments Ltd</t>
        </is>
      </c>
      <c r="J2348" t="inlineStr">
        <is>
          <t>AUD</t>
        </is>
      </c>
      <c r="K2348" s="5" t="inlineStr">
        <is>
          <t>01a152b9-6ee2-7577-bddd-382bc3853fde</t>
        </is>
      </c>
      <c r="M2348" t="inlineStr">
        <is>
          <t>UNKNOWN</t>
        </is>
      </c>
      <c r="N2348" t="inlineStr">
        <is>
          <t>DEFAULT</t>
        </is>
      </c>
      <c r="Q2348" t="n">
        <v>0</v>
      </c>
      <c r="R2348" t="inlineStr">
        <is>
          <t>AUD</t>
        </is>
      </c>
      <c r="S2348" t="n">
        <v>0</v>
      </c>
      <c r="T2348" t="inlineStr">
        <is>
          <t>AUD</t>
        </is>
      </c>
      <c r="U2348" t="n">
        <v>0</v>
      </c>
    </row>
    <row r="2349">
      <c r="A2349" s="5" t="inlineStr">
        <is>
          <t>01a152b9-92e5-7721-b3f5-bcfec25ee684</t>
        </is>
      </c>
      <c r="C2349" s="5" t="inlineStr">
        <is>
          <t>01a152b9-6e67-75da-8adb-b03e5d07fd21</t>
        </is>
      </c>
      <c r="D2349" s="4" t="n">
        <v>46314.2460174719</v>
      </c>
      <c r="E2349" s="4" t="n">
        <v>46314.24601747199</v>
      </c>
      <c r="F2349" t="b">
        <v>1</v>
      </c>
      <c r="G2349" t="n">
        <v/>
      </c>
      <c r="H2349" t="inlineStr">
        <is>
          <t>SSLPA</t>
        </is>
      </c>
      <c r="I2349" t="inlineStr">
        <is>
          <t>Sietel Ltd</t>
        </is>
      </c>
      <c r="J2349" t="inlineStr">
        <is>
          <t>AUD</t>
        </is>
      </c>
      <c r="K2349" s="5" t="inlineStr">
        <is>
          <t>01a152b9-6ee2-7577-bddd-382bc3853fde</t>
        </is>
      </c>
      <c r="M2349" t="inlineStr">
        <is>
          <t>UNKNOWN</t>
        </is>
      </c>
      <c r="N2349" t="inlineStr">
        <is>
          <t>DEFAULT</t>
        </is>
      </c>
      <c r="Q2349" t="n">
        <v>0</v>
      </c>
      <c r="R2349" t="inlineStr">
        <is>
          <t>AUD</t>
        </is>
      </c>
      <c r="S2349" t="n">
        <v>0</v>
      </c>
      <c r="T2349" t="inlineStr">
        <is>
          <t>AUD</t>
        </is>
      </c>
      <c r="U2349" t="n">
        <v>0</v>
      </c>
    </row>
    <row r="2350">
      <c r="A2350" s="5" t="inlineStr">
        <is>
          <t>01a152b9-92e8-756c-a254-49c52fd6a42f</t>
        </is>
      </c>
      <c r="C2350" s="5" t="inlineStr">
        <is>
          <t>01a152b9-6e67-75da-8adb-b03e5d07fd21</t>
        </is>
      </c>
      <c r="D2350" s="4" t="n">
        <v>46314.24601751217</v>
      </c>
      <c r="E2350" s="4" t="n">
        <v>46314.24601751231</v>
      </c>
      <c r="F2350" t="b">
        <v>1</v>
      </c>
      <c r="G2350" t="n">
        <v/>
      </c>
      <c r="H2350" t="inlineStr">
        <is>
          <t>WHFPA</t>
        </is>
      </c>
      <c r="I2350" t="inlineStr">
        <is>
          <t>Whitefield Industrials Ltd</t>
        </is>
      </c>
      <c r="J2350" t="inlineStr">
        <is>
          <t>AUD</t>
        </is>
      </c>
      <c r="K2350" s="5" t="inlineStr">
        <is>
          <t>01a152b9-6ee2-7577-bddd-382bc3853fde</t>
        </is>
      </c>
      <c r="M2350" t="inlineStr">
        <is>
          <t>UNKNOWN</t>
        </is>
      </c>
      <c r="N2350" t="inlineStr">
        <is>
          <t>DEFAULT</t>
        </is>
      </c>
      <c r="Q2350" t="n">
        <v>0</v>
      </c>
      <c r="R2350" t="inlineStr">
        <is>
          <t>AUD</t>
        </is>
      </c>
      <c r="S2350" t="n">
        <v>0</v>
      </c>
      <c r="T2350" t="inlineStr">
        <is>
          <t>AUD</t>
        </is>
      </c>
      <c r="U2350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2" customWidth="1" min="1" max="1"/>
    <col width="11.2" customWidth="1" min="2" max="2"/>
    <col width="38.2" customWidth="1" min="3" max="3"/>
    <col width="28.2" customWidth="1" min="4" max="4"/>
    <col width="28.2" customWidth="1" min="5" max="5"/>
    <col width="11.2" customWidth="1" min="6" max="6"/>
    <col width="26.2" customWidth="1" min="7" max="7"/>
    <col width="58.2" customWidth="1" min="8" max="8"/>
    <col width="18.2" customWidth="1" min="9" max="9"/>
    <col width="12.2" customWidth="1" min="10" max="10"/>
    <col width="11.2" customWidth="1" min="11" max="11"/>
    <col width="21.2" customWidth="1" min="12" max="12"/>
    <col width="12.2" customWidth="1" min="13" max="13"/>
    <col width="26.2" customWidth="1" min="14" max="14"/>
    <col width="17.2" customWidth="1" min="15" max="15"/>
    <col width="6.2" customWidth="1" min="16" max="16"/>
    <col width="30.2" customWidth="1" min="17" max="17"/>
    <col width="47.2" customWidth="1" min="18" max="18"/>
    <col width="38.2" customWidth="1" min="19" max="19"/>
    <col width="46.2" customWidth="1" min="20" max="20"/>
    <col width="37.2" customWidth="1" min="21" max="21"/>
    <col width="42.2" customWidth="1" min="22" max="22"/>
    <col width="33.2" customWidth="1" min="23" max="23"/>
    <col width="19.2" customWidth="1" min="24" max="24"/>
    <col width="82.2" customWidth="1" min="25" max="25"/>
  </cols>
  <sheetData>
    <row r="1" ht="32" customHeight="1">
      <c r="A1" s="1" t="inlineStr">
        <is>
          <t>id</t>
        </is>
      </c>
      <c r="B1" s="1" t="inlineStr">
        <is>
          <t>legacy_id</t>
        </is>
      </c>
      <c r="C1" s="1" t="inlineStr">
        <is>
          <t>account_id</t>
        </is>
      </c>
      <c r="D1" s="1" t="inlineStr">
        <is>
          <t>created_at</t>
        </is>
      </c>
      <c r="E1" s="1" t="inlineStr">
        <is>
          <t>updated_at</t>
        </is>
      </c>
      <c r="F1" s="1" t="inlineStr">
        <is>
          <t>is_active</t>
        </is>
      </c>
      <c r="G1" s="1" t="inlineStr">
        <is>
          <t>notes</t>
        </is>
      </c>
      <c r="H1" s="1" t="inlineStr">
        <is>
          <t>description</t>
        </is>
      </c>
      <c r="I1" s="1" t="inlineStr">
        <is>
          <t>instrument__name</t>
        </is>
      </c>
      <c r="J1" s="1" t="inlineStr">
        <is>
          <t>date</t>
        </is>
      </c>
      <c r="K1" s="1" t="inlineStr">
        <is>
          <t>quantity</t>
        </is>
      </c>
      <c r="L1" s="1" t="inlineStr">
        <is>
          <t>unit_price_currency</t>
        </is>
      </c>
      <c r="M1" s="1" t="inlineStr">
        <is>
          <t>unit_price</t>
        </is>
      </c>
      <c r="N1" s="1" t="inlineStr">
        <is>
          <t>total_brokerage_currency</t>
        </is>
      </c>
      <c r="O1" s="1" t="inlineStr">
        <is>
          <t>total_brokerage</t>
        </is>
      </c>
      <c r="P1" s="1" t="inlineStr">
        <is>
          <t>file</t>
        </is>
      </c>
      <c r="Q1" s="1" t="inlineStr">
        <is>
          <t>calculated_fiscal_year__name</t>
        </is>
      </c>
      <c r="R1" s="1" t="inlineStr">
        <is>
          <t>calculated_total_brokerage_converted_currency</t>
        </is>
      </c>
      <c r="S1" s="1" t="inlineStr">
        <is>
          <t>calculated_total_brokerage_converted</t>
        </is>
      </c>
      <c r="T1" s="1" t="inlineStr">
        <is>
          <t>calculated_unit_brokerage_converted_currency</t>
        </is>
      </c>
      <c r="U1" s="1" t="inlineStr">
        <is>
          <t>calculated_unit_brokerage_converted</t>
        </is>
      </c>
      <c r="V1" s="1" t="inlineStr">
        <is>
          <t>calculated_unit_price_converted_currency</t>
        </is>
      </c>
      <c r="W1" s="1" t="inlineStr">
        <is>
          <t>calculated_unit_price_converted</t>
        </is>
      </c>
      <c r="X1" s="1" t="inlineStr">
        <is>
          <t>_creation_handled</t>
        </is>
      </c>
      <c r="Y1" s="1" t="inlineStr">
        <is>
          <t>calculated_related_parcels</t>
        </is>
      </c>
    </row>
    <row r="2">
      <c r="A2" s="5" t="inlineStr">
        <is>
          <t>01a152b9-930e-76a5-a206-8651f5a88b67</t>
        </is>
      </c>
      <c r="B2" t="inlineStr">
        <is>
          <t>B001</t>
        </is>
      </c>
      <c r="C2" s="5" t="inlineStr">
        <is>
          <t>01a152b9-6e67-75da-8adb-b03e5d07fd21</t>
        </is>
      </c>
      <c r="D2" s="4" t="n">
        <v>46314.24601796194</v>
      </c>
      <c r="E2" s="4" t="n">
        <v>46314.24601796207</v>
      </c>
      <c r="F2" t="b">
        <v>1</v>
      </c>
      <c r="G2" t="inlineStr">
        <is>
          <t>FAKE DATA: made-up trade</t>
        </is>
      </c>
      <c r="H2" t="inlineStr">
        <is>
          <t>2018-03-29 | Buy | VDHG | 121.0000 unit @ A$49.44 / unit</t>
        </is>
      </c>
      <c r="I2" t="inlineStr">
        <is>
          <t>VDHG</t>
        </is>
      </c>
      <c r="J2" s="6" t="n">
        <v>43188</v>
      </c>
      <c r="K2" t="n">
        <v>121</v>
      </c>
      <c r="L2" t="inlineStr">
        <is>
          <t>AUD</t>
        </is>
      </c>
      <c r="M2" t="n">
        <v>49.44</v>
      </c>
      <c r="N2" t="inlineStr">
        <is>
          <t>AUD</t>
        </is>
      </c>
      <c r="O2" t="n">
        <v>9.5</v>
      </c>
      <c r="P2" t="inlineStr"/>
      <c r="Q2" t="inlineStr">
        <is>
          <t>FY2017/18</t>
        </is>
      </c>
      <c r="R2" t="inlineStr">
        <is>
          <t>AUD</t>
        </is>
      </c>
      <c r="S2" t="n">
        <v>9.5</v>
      </c>
      <c r="T2" t="inlineStr">
        <is>
          <t>AUD</t>
        </is>
      </c>
      <c r="U2" t="n">
        <v>0.078512</v>
      </c>
      <c r="V2" t="inlineStr">
        <is>
          <t>AUD</t>
        </is>
      </c>
      <c r="W2" t="n">
        <v>49.44</v>
      </c>
      <c r="X2" t="b">
        <v>1</v>
      </c>
      <c r="Y2" s="3" t="inlineStr">
        <is>
          <t>2018-03-29 | PARCEL |  VDHG | 121.0000 unit @ A$49.44 / unit | Total cost base = A$5,991.74 |</t>
        </is>
      </c>
    </row>
    <row r="3">
      <c r="A3" s="5" t="inlineStr">
        <is>
          <t>01a152b9-932f-71ec-b951-af21325f2f72</t>
        </is>
      </c>
      <c r="B3" t="inlineStr">
        <is>
          <t>B002</t>
        </is>
      </c>
      <c r="C3" s="5" t="inlineStr">
        <is>
          <t>01a152b9-6e67-75da-8adb-b03e5d07fd21</t>
        </is>
      </c>
      <c r="D3" s="4" t="n">
        <v>46314.24601833315</v>
      </c>
      <c r="E3" s="4" t="n">
        <v>46314.24601833324</v>
      </c>
      <c r="F3" t="b">
        <v>1</v>
      </c>
      <c r="G3" t="n">
        <v/>
      </c>
      <c r="H3" t="inlineStr">
        <is>
          <t>2018-04-24 | Buy | VDHG | 209.0000 unit @ A$48.22 / unit</t>
        </is>
      </c>
      <c r="I3" t="inlineStr">
        <is>
          <t>VDHG</t>
        </is>
      </c>
      <c r="J3" s="6" t="n">
        <v>43214</v>
      </c>
      <c r="K3" t="n">
        <v>209</v>
      </c>
      <c r="L3" t="inlineStr">
        <is>
          <t>AUD</t>
        </is>
      </c>
      <c r="M3" t="n">
        <v>48.22</v>
      </c>
      <c r="N3" t="inlineStr">
        <is>
          <t>AUD</t>
        </is>
      </c>
      <c r="O3" t="n">
        <v>9.5</v>
      </c>
      <c r="P3" t="inlineStr"/>
      <c r="Q3" t="inlineStr">
        <is>
          <t>FY2017/18</t>
        </is>
      </c>
      <c r="R3" t="inlineStr">
        <is>
          <t>AUD</t>
        </is>
      </c>
      <c r="S3" t="n">
        <v>9.5</v>
      </c>
      <c r="T3" t="inlineStr">
        <is>
          <t>AUD</t>
        </is>
      </c>
      <c r="U3" t="n">
        <v>0.045455</v>
      </c>
      <c r="V3" t="inlineStr">
        <is>
          <t>AUD</t>
        </is>
      </c>
      <c r="W3" t="n">
        <v>48.22</v>
      </c>
      <c r="X3" t="b">
        <v>1</v>
      </c>
      <c r="Y3" s="3" t="inlineStr">
        <is>
          <t>2018-04-24 | PARCEL |  VDHG | 209.0000 unit @ A$48.22 / unit | Total cost base = A$10,087.48 |</t>
        </is>
      </c>
    </row>
    <row r="4">
      <c r="A4" s="5" t="inlineStr">
        <is>
          <t>01a152b9-9349-71d4-a1a4-446ca10de05b</t>
        </is>
      </c>
      <c r="B4" t="inlineStr">
        <is>
          <t>B003</t>
        </is>
      </c>
      <c r="C4" s="5" t="inlineStr">
        <is>
          <t>01a152b9-6e67-75da-8adb-b03e5d07fd21</t>
        </is>
      </c>
      <c r="D4" s="4" t="n">
        <v>46314.24601864671</v>
      </c>
      <c r="E4" s="4" t="n">
        <v>46314.24601864684</v>
      </c>
      <c r="F4" t="b">
        <v>1</v>
      </c>
      <c r="G4" t="n">
        <v/>
      </c>
      <c r="H4" t="inlineStr">
        <is>
          <t>2019-03-29 | Buy | VDHG | 238.0000 unit @ A$50.80 / unit</t>
        </is>
      </c>
      <c r="I4" t="inlineStr">
        <is>
          <t>VDHG</t>
        </is>
      </c>
      <c r="J4" s="6" t="n">
        <v>43553</v>
      </c>
      <c r="K4" t="n">
        <v>238</v>
      </c>
      <c r="L4" t="inlineStr">
        <is>
          <t>AUD</t>
        </is>
      </c>
      <c r="M4" t="n">
        <v>50.8</v>
      </c>
      <c r="N4" t="inlineStr">
        <is>
          <t>AUD</t>
        </is>
      </c>
      <c r="O4" t="n">
        <v>9.5</v>
      </c>
      <c r="P4" t="inlineStr"/>
      <c r="Q4" t="inlineStr">
        <is>
          <t>FY2018/19</t>
        </is>
      </c>
      <c r="R4" t="inlineStr">
        <is>
          <t>AUD</t>
        </is>
      </c>
      <c r="S4" t="n">
        <v>9.5</v>
      </c>
      <c r="T4" t="inlineStr">
        <is>
          <t>AUD</t>
        </is>
      </c>
      <c r="U4" t="n">
        <v>0.039916</v>
      </c>
      <c r="V4" t="inlineStr">
        <is>
          <t>AUD</t>
        </is>
      </c>
      <c r="W4" t="n">
        <v>50.8</v>
      </c>
      <c r="X4" t="b">
        <v>1</v>
      </c>
      <c r="Y4" s="3" t="inlineStr">
        <is>
          <t>2019-03-29 | PARCEL |  VDHG | 238.0000 unit @ A$50.80 / unit | Total cost base = A$12,099.90 |</t>
        </is>
      </c>
    </row>
    <row r="5">
      <c r="A5" s="5" t="inlineStr">
        <is>
          <t>01a152b9-936a-7333-a2f3-0672697b503f</t>
        </is>
      </c>
      <c r="B5" t="inlineStr">
        <is>
          <t>B004</t>
        </is>
      </c>
      <c r="C5" s="5" t="inlineStr">
        <is>
          <t>01a152b9-6e67-75da-8adb-b03e5d07fd21</t>
        </is>
      </c>
      <c r="D5" s="4" t="n">
        <v>46314.24601902037</v>
      </c>
      <c r="E5" s="4" t="n">
        <v>46314.24601902049</v>
      </c>
      <c r="F5" t="b">
        <v>1</v>
      </c>
      <c r="G5" t="n">
        <v/>
      </c>
      <c r="H5" t="inlineStr">
        <is>
          <t>2019-08-06 | Buy | VDHG | 210.0000 unit @ A$54.86 / unit</t>
        </is>
      </c>
      <c r="I5" t="inlineStr">
        <is>
          <t>VDHG</t>
        </is>
      </c>
      <c r="J5" s="6" t="n">
        <v>43683</v>
      </c>
      <c r="K5" t="n">
        <v>210</v>
      </c>
      <c r="L5" t="inlineStr">
        <is>
          <t>AUD</t>
        </is>
      </c>
      <c r="M5" t="n">
        <v>54.86</v>
      </c>
      <c r="N5" t="inlineStr">
        <is>
          <t>AUD</t>
        </is>
      </c>
      <c r="O5" t="n">
        <v>9.5</v>
      </c>
      <c r="P5" t="inlineStr"/>
      <c r="Q5" t="inlineStr">
        <is>
          <t>FY2019/20</t>
        </is>
      </c>
      <c r="R5" t="inlineStr">
        <is>
          <t>AUD</t>
        </is>
      </c>
      <c r="S5" t="n">
        <v>9.5</v>
      </c>
      <c r="T5" t="inlineStr">
        <is>
          <t>AUD</t>
        </is>
      </c>
      <c r="U5" t="n">
        <v>0.045238</v>
      </c>
      <c r="V5" t="inlineStr">
        <is>
          <t>AUD</t>
        </is>
      </c>
      <c r="W5" t="n">
        <v>54.86</v>
      </c>
      <c r="X5" t="b">
        <v>1</v>
      </c>
      <c r="Y5" s="3" t="inlineStr">
        <is>
          <t>2019-08-06 | PARCEL |  VDHG | 210.0000 unit @ A$54.86 / unit | Total cost base = A$11,530.10 |</t>
        </is>
      </c>
    </row>
    <row r="6">
      <c r="A6" s="5" t="inlineStr">
        <is>
          <t>01a152b9-9385-7669-9dc7-938a9e56f393</t>
        </is>
      </c>
      <c r="B6" t="inlineStr">
        <is>
          <t>B005</t>
        </is>
      </c>
      <c r="C6" s="5" t="inlineStr">
        <is>
          <t>01a152b9-6e67-75da-8adb-b03e5d07fd21</t>
        </is>
      </c>
      <c r="D6" s="4" t="n">
        <v>46314.24601933055</v>
      </c>
      <c r="E6" s="4" t="n">
        <v>46314.24601933063</v>
      </c>
      <c r="F6" t="b">
        <v>1</v>
      </c>
      <c r="G6" t="n">
        <v/>
      </c>
      <c r="H6" t="inlineStr">
        <is>
          <t>2019-09-30 | Buy | VDHG | 344.0000 unit @ A$54.82 / unit</t>
        </is>
      </c>
      <c r="I6" t="inlineStr">
        <is>
          <t>VDHG</t>
        </is>
      </c>
      <c r="J6" s="6" t="n">
        <v>43738</v>
      </c>
      <c r="K6" t="n">
        <v>344</v>
      </c>
      <c r="L6" t="inlineStr">
        <is>
          <t>AUD</t>
        </is>
      </c>
      <c r="M6" t="n">
        <v>54.82</v>
      </c>
      <c r="N6" t="inlineStr">
        <is>
          <t>AUD</t>
        </is>
      </c>
      <c r="O6" t="n">
        <v>9.5</v>
      </c>
      <c r="P6" t="inlineStr"/>
      <c r="Q6" t="inlineStr">
        <is>
          <t>FY2019/20</t>
        </is>
      </c>
      <c r="R6" t="inlineStr">
        <is>
          <t>AUD</t>
        </is>
      </c>
      <c r="S6" t="n">
        <v>9.5</v>
      </c>
      <c r="T6" t="inlineStr">
        <is>
          <t>AUD</t>
        </is>
      </c>
      <c r="U6" t="n">
        <v>0.027616</v>
      </c>
      <c r="V6" t="inlineStr">
        <is>
          <t>AUD</t>
        </is>
      </c>
      <c r="W6" t="n">
        <v>54.82</v>
      </c>
      <c r="X6" t="b">
        <v>1</v>
      </c>
      <c r="Y6" s="3" t="inlineStr">
        <is>
          <t>2019-09-30 | PARCEL |  VDHG | 344.0000 unit @ A$54.82 / unit | Total cost base = A$18,867.58 |</t>
        </is>
      </c>
    </row>
    <row r="7">
      <c r="A7" s="5" t="inlineStr">
        <is>
          <t>01a152b9-939f-70b9-b79f-99c79cb22c94</t>
        </is>
      </c>
      <c r="B7" t="inlineStr">
        <is>
          <t>B006</t>
        </is>
      </c>
      <c r="C7" s="5" t="inlineStr">
        <is>
          <t>01a152b9-6e67-75da-8adb-b03e5d07fd21</t>
        </is>
      </c>
      <c r="D7" s="4" t="n">
        <v>46314.2460196285</v>
      </c>
      <c r="E7" s="4" t="n">
        <v>46314.24601962863</v>
      </c>
      <c r="F7" t="b">
        <v>1</v>
      </c>
      <c r="G7" t="n">
        <v/>
      </c>
      <c r="H7" t="inlineStr">
        <is>
          <t>2019-10-21 | Buy | VDHG | 257.0000 unit @ A$56.78 / unit</t>
        </is>
      </c>
      <c r="I7" t="inlineStr">
        <is>
          <t>VDHG</t>
        </is>
      </c>
      <c r="J7" s="6" t="n">
        <v>43759</v>
      </c>
      <c r="K7" t="n">
        <v>257</v>
      </c>
      <c r="L7" t="inlineStr">
        <is>
          <t>AUD</t>
        </is>
      </c>
      <c r="M7" t="n">
        <v>56.78</v>
      </c>
      <c r="N7" t="inlineStr">
        <is>
          <t>AUD</t>
        </is>
      </c>
      <c r="O7" t="n">
        <v>9.5</v>
      </c>
      <c r="P7" t="inlineStr"/>
      <c r="Q7" t="inlineStr">
        <is>
          <t>FY2019/20</t>
        </is>
      </c>
      <c r="R7" t="inlineStr">
        <is>
          <t>AUD</t>
        </is>
      </c>
      <c r="S7" t="n">
        <v>9.5</v>
      </c>
      <c r="T7" t="inlineStr">
        <is>
          <t>AUD</t>
        </is>
      </c>
      <c r="U7" t="n">
        <v>0.036965</v>
      </c>
      <c r="V7" t="inlineStr">
        <is>
          <t>AUD</t>
        </is>
      </c>
      <c r="W7" t="n">
        <v>56.78</v>
      </c>
      <c r="X7" t="b">
        <v>1</v>
      </c>
      <c r="Y7" s="3" t="inlineStr">
        <is>
          <t>2019-10-21 | PARCEL |  VDHG | 257.0000 unit @ A$56.78 / unit | Total cost base = A$14,601.96 |</t>
        </is>
      </c>
    </row>
    <row r="8">
      <c r="A8" s="5" t="inlineStr">
        <is>
          <t>01a152b9-93b9-717c-8479-12853d9d78ff</t>
        </is>
      </c>
      <c r="B8" t="inlineStr">
        <is>
          <t>B007</t>
        </is>
      </c>
      <c r="C8" s="5" t="inlineStr">
        <is>
          <t>01a152b9-6e67-75da-8adb-b03e5d07fd21</t>
        </is>
      </c>
      <c r="D8" s="4" t="n">
        <v>46314.24601993512</v>
      </c>
      <c r="E8" s="4" t="n">
        <v>46314.24601993521</v>
      </c>
      <c r="F8" t="b">
        <v>1</v>
      </c>
      <c r="G8" t="n">
        <v/>
      </c>
      <c r="H8" t="inlineStr">
        <is>
          <t>2020-04-02 | Buy | VDHG | 291.0000 unit @ A$40.80 / unit</t>
        </is>
      </c>
      <c r="I8" t="inlineStr">
        <is>
          <t>VDHG</t>
        </is>
      </c>
      <c r="J8" s="6" t="n">
        <v>43923</v>
      </c>
      <c r="K8" t="n">
        <v>291</v>
      </c>
      <c r="L8" t="inlineStr">
        <is>
          <t>AUD</t>
        </is>
      </c>
      <c r="M8" t="n">
        <v>40.8</v>
      </c>
      <c r="N8" t="inlineStr">
        <is>
          <t>AUD</t>
        </is>
      </c>
      <c r="O8" t="n">
        <v>9.5</v>
      </c>
      <c r="P8" t="inlineStr"/>
      <c r="Q8" t="inlineStr">
        <is>
          <t>FY2019/20</t>
        </is>
      </c>
      <c r="R8" t="inlineStr">
        <is>
          <t>AUD</t>
        </is>
      </c>
      <c r="S8" t="n">
        <v>9.5</v>
      </c>
      <c r="T8" t="inlineStr">
        <is>
          <t>AUD</t>
        </is>
      </c>
      <c r="U8" t="n">
        <v>0.032646</v>
      </c>
      <c r="V8" t="inlineStr">
        <is>
          <t>AUD</t>
        </is>
      </c>
      <c r="W8" t="n">
        <v>40.8</v>
      </c>
      <c r="X8" t="b">
        <v>1</v>
      </c>
      <c r="Y8" s="3" t="inlineStr">
        <is>
          <t>2020-04-02 | PARCEL |  VDHG | 291.0000 unit @ A$40.80 / unit | Total cost base = A$11,882.30 |</t>
        </is>
      </c>
    </row>
    <row r="9">
      <c r="A9" s="5" t="inlineStr">
        <is>
          <t>01a152b9-93d7-7607-b7c6-0685cb21a90b</t>
        </is>
      </c>
      <c r="B9" t="inlineStr">
        <is>
          <t>B008</t>
        </is>
      </c>
      <c r="C9" s="5" t="inlineStr">
        <is>
          <t>01a152b9-6e67-75da-8adb-b03e5d07fd21</t>
        </is>
      </c>
      <c r="D9" s="4" t="n">
        <v>46314.24602027829</v>
      </c>
      <c r="E9" s="4" t="n">
        <v>46314.24602027841</v>
      </c>
      <c r="F9" t="b">
        <v>1</v>
      </c>
      <c r="G9" t="n">
        <v/>
      </c>
      <c r="H9" t="inlineStr">
        <is>
          <t>2020-05-05 | Buy | VDHG | 233.0000 unit @ A$47.68 / unit</t>
        </is>
      </c>
      <c r="I9" t="inlineStr">
        <is>
          <t>VDHG</t>
        </is>
      </c>
      <c r="J9" s="6" t="n">
        <v>43956</v>
      </c>
      <c r="K9" t="n">
        <v>233</v>
      </c>
      <c r="L9" t="inlineStr">
        <is>
          <t>AUD</t>
        </is>
      </c>
      <c r="M9" t="n">
        <v>47.68</v>
      </c>
      <c r="N9" t="inlineStr">
        <is>
          <t>AUD</t>
        </is>
      </c>
      <c r="O9" t="n">
        <v>9.5</v>
      </c>
      <c r="P9" t="inlineStr"/>
      <c r="Q9" t="inlineStr">
        <is>
          <t>FY2019/20</t>
        </is>
      </c>
      <c r="R9" t="inlineStr">
        <is>
          <t>AUD</t>
        </is>
      </c>
      <c r="S9" t="n">
        <v>9.5</v>
      </c>
      <c r="T9" t="inlineStr">
        <is>
          <t>AUD</t>
        </is>
      </c>
      <c r="U9" t="n">
        <v>0.040773</v>
      </c>
      <c r="V9" t="inlineStr">
        <is>
          <t>AUD</t>
        </is>
      </c>
      <c r="W9" t="n">
        <v>47.68</v>
      </c>
      <c r="X9" t="b">
        <v>1</v>
      </c>
      <c r="Y9" s="3" t="inlineStr">
        <is>
          <t>2020-05-05 | PARCEL |  VDHG | 233.0000 unit @ A$47.68 / unit | Total cost base = A$11,118.94 |</t>
        </is>
      </c>
    </row>
    <row r="10">
      <c r="A10" s="5" t="inlineStr">
        <is>
          <t>01a152b9-942d-721c-89d5-7d0f8660454c</t>
        </is>
      </c>
      <c r="B10" t="inlineStr">
        <is>
          <t>B009</t>
        </is>
      </c>
      <c r="C10" s="5" t="inlineStr">
        <is>
          <t>01a152b9-6e67-75da-8adb-b03e5d07fd21</t>
        </is>
      </c>
      <c r="D10" s="4" t="n">
        <v>46314.24602127399</v>
      </c>
      <c r="E10" s="4" t="n">
        <v>46314.24602127408</v>
      </c>
      <c r="F10" t="b">
        <v>1</v>
      </c>
      <c r="G10" t="n">
        <v/>
      </c>
      <c r="H10" t="inlineStr">
        <is>
          <t>2020-06-08 | Buy | VDHG | 400.0000 unit @ A$53.04 / unit</t>
        </is>
      </c>
      <c r="I10" t="inlineStr">
        <is>
          <t>VDHG</t>
        </is>
      </c>
      <c r="J10" s="6" t="n">
        <v>43990</v>
      </c>
      <c r="K10" t="n">
        <v>400</v>
      </c>
      <c r="L10" t="inlineStr">
        <is>
          <t>AUD</t>
        </is>
      </c>
      <c r="M10" t="n">
        <v>53.04</v>
      </c>
      <c r="N10" t="inlineStr">
        <is>
          <t>AUD</t>
        </is>
      </c>
      <c r="O10" t="n">
        <v>9.5</v>
      </c>
      <c r="P10" t="inlineStr"/>
      <c r="Q10" t="inlineStr">
        <is>
          <t>FY2019/20</t>
        </is>
      </c>
      <c r="R10" t="inlineStr">
        <is>
          <t>AUD</t>
        </is>
      </c>
      <c r="S10" t="n">
        <v>9.5</v>
      </c>
      <c r="T10" t="inlineStr">
        <is>
          <t>AUD</t>
        </is>
      </c>
      <c r="U10" t="n">
        <v>0.02375</v>
      </c>
      <c r="V10" t="inlineStr">
        <is>
          <t>AUD</t>
        </is>
      </c>
      <c r="W10" t="n">
        <v>53.04</v>
      </c>
      <c r="X10" t="b">
        <v>1</v>
      </c>
      <c r="Y10" s="3" t="inlineStr">
        <is>
          <t>2020-06-08 | PARCEL |  VDHG | 400.0000 unit @ A$53.04 / unit | Total cost base = A$21,225.50 |</t>
        </is>
      </c>
    </row>
    <row r="11">
      <c r="A11" s="5" t="inlineStr">
        <is>
          <t>01a152b9-944d-7661-9576-87d9b8a34bc7</t>
        </is>
      </c>
      <c r="B11" t="inlineStr">
        <is>
          <t>B010</t>
        </is>
      </c>
      <c r="C11" s="5" t="inlineStr">
        <is>
          <t>01a152b9-6e67-75da-8adb-b03e5d07fd21</t>
        </is>
      </c>
      <c r="D11" s="4" t="n">
        <v>46314.24602164836</v>
      </c>
      <c r="E11" s="4" t="n">
        <v>46314.24602164852</v>
      </c>
      <c r="F11" t="b">
        <v>1</v>
      </c>
      <c r="G11" t="n">
        <v/>
      </c>
      <c r="H11" t="inlineStr">
        <is>
          <t>2020-06-26 | Buy | VDHG | 154.0000 unit @ A$52.41 / unit</t>
        </is>
      </c>
      <c r="I11" t="inlineStr">
        <is>
          <t>VDHG</t>
        </is>
      </c>
      <c r="J11" s="6" t="n">
        <v>44008</v>
      </c>
      <c r="K11" t="n">
        <v>154</v>
      </c>
      <c r="L11" t="inlineStr">
        <is>
          <t>AUD</t>
        </is>
      </c>
      <c r="M11" t="n">
        <v>52.41</v>
      </c>
      <c r="N11" t="inlineStr">
        <is>
          <t>AUD</t>
        </is>
      </c>
      <c r="O11" t="n">
        <v>9.5</v>
      </c>
      <c r="P11" t="inlineStr"/>
      <c r="Q11" t="inlineStr">
        <is>
          <t>FY2019/20</t>
        </is>
      </c>
      <c r="R11" t="inlineStr">
        <is>
          <t>AUD</t>
        </is>
      </c>
      <c r="S11" t="n">
        <v>9.5</v>
      </c>
      <c r="T11" t="inlineStr">
        <is>
          <t>AUD</t>
        </is>
      </c>
      <c r="U11" t="n">
        <v>0.061688</v>
      </c>
      <c r="V11" t="inlineStr">
        <is>
          <t>AUD</t>
        </is>
      </c>
      <c r="W11" t="n">
        <v>52.41</v>
      </c>
      <c r="X11" t="b">
        <v>1</v>
      </c>
      <c r="Y11" s="3" t="inlineStr">
        <is>
          <t>2020-06-26 | PARCEL |  VDHG | 154.0000 unit @ A$52.41 / unit | Total cost base = A$8,080.64 |</t>
        </is>
      </c>
    </row>
    <row r="12">
      <c r="A12" s="5" t="inlineStr">
        <is>
          <t>01a152b9-946a-7245-b3fc-7eea66412f83</t>
        </is>
      </c>
      <c r="B12" t="inlineStr">
        <is>
          <t>B011</t>
        </is>
      </c>
      <c r="C12" s="5" t="inlineStr">
        <is>
          <t>01a152b9-6e67-75da-8adb-b03e5d07fd21</t>
        </is>
      </c>
      <c r="D12" s="4" t="n">
        <v>46314.24602199046</v>
      </c>
      <c r="E12" s="4" t="n">
        <v>46314.24602199058</v>
      </c>
      <c r="F12" t="b">
        <v>1</v>
      </c>
      <c r="G12" t="n">
        <v/>
      </c>
      <c r="H12" t="inlineStr">
        <is>
          <t>2021-01-01 | Buy | AFI | 4000.0000 unit @ A$7.30 / unit</t>
        </is>
      </c>
      <c r="I12" t="inlineStr">
        <is>
          <t>AFI</t>
        </is>
      </c>
      <c r="J12" s="6" t="n">
        <v>44197</v>
      </c>
      <c r="K12" t="n">
        <v>4000</v>
      </c>
      <c r="L12" t="inlineStr">
        <is>
          <t>AUD</t>
        </is>
      </c>
      <c r="M12" t="n">
        <v>7.3</v>
      </c>
      <c r="N12" t="inlineStr">
        <is>
          <t>AUD</t>
        </is>
      </c>
      <c r="O12" t="n">
        <v>9.5</v>
      </c>
      <c r="P12" t="inlineStr"/>
      <c r="Q12" t="inlineStr">
        <is>
          <t>FY2020/21</t>
        </is>
      </c>
      <c r="R12" t="inlineStr">
        <is>
          <t>AUD</t>
        </is>
      </c>
      <c r="S12" t="n">
        <v>9.5</v>
      </c>
      <c r="T12" t="inlineStr">
        <is>
          <t>AUD</t>
        </is>
      </c>
      <c r="U12" t="n">
        <v>0.002375</v>
      </c>
      <c r="V12" t="inlineStr">
        <is>
          <t>AUD</t>
        </is>
      </c>
      <c r="W12" t="n">
        <v>7.3</v>
      </c>
      <c r="X12" t="b">
        <v>1</v>
      </c>
      <c r="Y12" s="3" t="inlineStr">
        <is>
          <t>2021-01-01 | PARCEL |  AFI | 4000.0000 unit @ A$7.30 / unit | Total cost base = A$29,209.50 |</t>
        </is>
      </c>
    </row>
    <row r="13">
      <c r="A13" s="5" t="inlineStr">
        <is>
          <t>01a152b9-9487-76d3-acf6-eb1cbdd08af9</t>
        </is>
      </c>
      <c r="B13" t="inlineStr">
        <is>
          <t>B012</t>
        </is>
      </c>
      <c r="C13" s="5" t="inlineStr">
        <is>
          <t>01a152b9-6e67-75da-8adb-b03e5d07fd21</t>
        </is>
      </c>
      <c r="D13" s="4" t="n">
        <v>46314.24602232483</v>
      </c>
      <c r="E13" s="4" t="n">
        <v>46314.24602232491</v>
      </c>
      <c r="F13" t="b">
        <v>1</v>
      </c>
      <c r="G13" t="n">
        <v/>
      </c>
      <c r="H13" t="inlineStr">
        <is>
          <t>2015-05-04 | Buy | VGS | 250.0000 unit @ A$57.81 / unit</t>
        </is>
      </c>
      <c r="I13" t="inlineStr">
        <is>
          <t>VGS</t>
        </is>
      </c>
      <c r="J13" s="6" t="n">
        <v>42128</v>
      </c>
      <c r="K13" t="n">
        <v>250</v>
      </c>
      <c r="L13" t="inlineStr">
        <is>
          <t>AUD</t>
        </is>
      </c>
      <c r="M13" t="n">
        <v>57.81</v>
      </c>
      <c r="N13" t="inlineStr">
        <is>
          <t>AUD</t>
        </is>
      </c>
      <c r="O13" t="n">
        <v>9.5</v>
      </c>
      <c r="P13" t="inlineStr"/>
      <c r="Q13" t="inlineStr">
        <is>
          <t>FY2014/15</t>
        </is>
      </c>
      <c r="R13" t="inlineStr">
        <is>
          <t>AUD</t>
        </is>
      </c>
      <c r="S13" t="n">
        <v>9.5</v>
      </c>
      <c r="T13" t="inlineStr">
        <is>
          <t>AUD</t>
        </is>
      </c>
      <c r="U13" t="n">
        <v>0.038</v>
      </c>
      <c r="V13" t="inlineStr">
        <is>
          <t>AUD</t>
        </is>
      </c>
      <c r="W13" t="n">
        <v>57.81</v>
      </c>
      <c r="X13" t="b">
        <v>1</v>
      </c>
      <c r="Y13" s="3" t="inlineStr">
        <is>
          <t>2015-05-04 | PARCEL |  VGS | 250.0000 unit @ A$57.81 / unit | Total cost base = A$14,462.00 |</t>
        </is>
      </c>
    </row>
    <row r="14">
      <c r="A14" s="5" t="inlineStr">
        <is>
          <t>01a152b9-94a5-722a-8081-52b1b872d035</t>
        </is>
      </c>
      <c r="B14" t="inlineStr">
        <is>
          <t>B013</t>
        </is>
      </c>
      <c r="C14" s="5" t="inlineStr">
        <is>
          <t>01a152b9-6e67-75da-8adb-b03e5d07fd21</t>
        </is>
      </c>
      <c r="D14" s="4" t="n">
        <v>46314.24602267244</v>
      </c>
      <c r="E14" s="4" t="n">
        <v>46314.24602267256</v>
      </c>
      <c r="F14" t="b">
        <v>1</v>
      </c>
      <c r="G14" t="n">
        <v/>
      </c>
      <c r="H14" t="inlineStr">
        <is>
          <t>2015-06-25 | Buy | VGS | 250.0000 unit @ A$59.32 / unit</t>
        </is>
      </c>
      <c r="I14" t="inlineStr">
        <is>
          <t>VGS</t>
        </is>
      </c>
      <c r="J14" s="6" t="n">
        <v>42180</v>
      </c>
      <c r="K14" t="n">
        <v>250</v>
      </c>
      <c r="L14" t="inlineStr">
        <is>
          <t>AUD</t>
        </is>
      </c>
      <c r="M14" t="n">
        <v>59.3156</v>
      </c>
      <c r="N14" t="inlineStr">
        <is>
          <t>AUD</t>
        </is>
      </c>
      <c r="O14" t="n">
        <v>9.5</v>
      </c>
      <c r="P14" t="inlineStr"/>
      <c r="Q14" t="inlineStr">
        <is>
          <t>FY2014/15</t>
        </is>
      </c>
      <c r="R14" t="inlineStr">
        <is>
          <t>AUD</t>
        </is>
      </c>
      <c r="S14" t="n">
        <v>9.5</v>
      </c>
      <c r="T14" t="inlineStr">
        <is>
          <t>AUD</t>
        </is>
      </c>
      <c r="U14" t="n">
        <v>0.038</v>
      </c>
      <c r="V14" t="inlineStr">
        <is>
          <t>AUD</t>
        </is>
      </c>
      <c r="W14" t="n">
        <v>59.3156</v>
      </c>
      <c r="X14" t="b">
        <v>1</v>
      </c>
      <c r="Y14" s="3" t="inlineStr">
        <is>
          <t>2015-06-25 | PARCEL |  VGS | 250.0000 unit @ A$59.32 / unit | Total cost base = A$14,838.40 |</t>
        </is>
      </c>
    </row>
    <row r="15">
      <c r="A15" s="5" t="inlineStr">
        <is>
          <t>01a152b9-94c6-72af-b5ef-759a7b4f26bd</t>
        </is>
      </c>
      <c r="B15" t="inlineStr">
        <is>
          <t>B014</t>
        </is>
      </c>
      <c r="C15" s="5" t="inlineStr">
        <is>
          <t>01a152b9-6e67-75da-8adb-b03e5d07fd21</t>
        </is>
      </c>
      <c r="D15" s="4" t="n">
        <v>46314.2460230558</v>
      </c>
      <c r="E15" s="4" t="n">
        <v>46314.2460230559</v>
      </c>
      <c r="F15" t="b">
        <v>1</v>
      </c>
      <c r="G15" t="n">
        <v/>
      </c>
      <c r="H15" t="inlineStr">
        <is>
          <t>2015-07-29 | Buy | VGS | 250.0000 unit @ A$60.70 / unit</t>
        </is>
      </c>
      <c r="I15" t="inlineStr">
        <is>
          <t>VGS</t>
        </is>
      </c>
      <c r="J15" s="6" t="n">
        <v>42214</v>
      </c>
      <c r="K15" t="n">
        <v>250</v>
      </c>
      <c r="L15" t="inlineStr">
        <is>
          <t>AUD</t>
        </is>
      </c>
      <c r="M15" t="n">
        <v>60.7</v>
      </c>
      <c r="N15" t="inlineStr">
        <is>
          <t>AUD</t>
        </is>
      </c>
      <c r="O15" t="n">
        <v>9.5</v>
      </c>
      <c r="P15" t="inlineStr"/>
      <c r="Q15" t="inlineStr">
        <is>
          <t>FY2015/16</t>
        </is>
      </c>
      <c r="R15" t="inlineStr">
        <is>
          <t>AUD</t>
        </is>
      </c>
      <c r="S15" t="n">
        <v>9.5</v>
      </c>
      <c r="T15" t="inlineStr">
        <is>
          <t>AUD</t>
        </is>
      </c>
      <c r="U15" t="n">
        <v>0.038</v>
      </c>
      <c r="V15" t="inlineStr">
        <is>
          <t>AUD</t>
        </is>
      </c>
      <c r="W15" t="n">
        <v>60.7</v>
      </c>
      <c r="X15" t="b">
        <v>1</v>
      </c>
      <c r="Y15" s="3" t="inlineStr">
        <is>
          <t>2015-07-29 | PARCEL |  VGS | 250.0000 unit @ A$60.70 / unit | Total cost base = A$15,184.50 |</t>
        </is>
      </c>
    </row>
    <row r="16">
      <c r="A16" s="5" t="inlineStr">
        <is>
          <t>01a152b9-94e3-70b9-9cef-9921a651dd7f</t>
        </is>
      </c>
      <c r="B16" t="inlineStr">
        <is>
          <t>B015</t>
        </is>
      </c>
      <c r="C16" s="5" t="inlineStr">
        <is>
          <t>01a152b9-6e67-75da-8adb-b03e5d07fd21</t>
        </is>
      </c>
      <c r="D16" s="4" t="n">
        <v>46314.24602339307</v>
      </c>
      <c r="E16" s="4" t="n">
        <v>46314.24602339317</v>
      </c>
      <c r="F16" t="b">
        <v>1</v>
      </c>
      <c r="G16" t="n">
        <v/>
      </c>
      <c r="H16" t="inlineStr">
        <is>
          <t>2015-08-12 | Buy | VGS | 100.0000 unit @ A$59.74 / unit</t>
        </is>
      </c>
      <c r="I16" t="inlineStr">
        <is>
          <t>VGS</t>
        </is>
      </c>
      <c r="J16" s="6" t="n">
        <v>42228</v>
      </c>
      <c r="K16" t="n">
        <v>100</v>
      </c>
      <c r="L16" t="inlineStr">
        <is>
          <t>AUD</t>
        </is>
      </c>
      <c r="M16" t="n">
        <v>59.74</v>
      </c>
      <c r="N16" t="inlineStr">
        <is>
          <t>AUD</t>
        </is>
      </c>
      <c r="O16" t="n">
        <v>9.5</v>
      </c>
      <c r="P16" t="inlineStr"/>
      <c r="Q16" t="inlineStr">
        <is>
          <t>FY2015/16</t>
        </is>
      </c>
      <c r="R16" t="inlineStr">
        <is>
          <t>AUD</t>
        </is>
      </c>
      <c r="S16" t="n">
        <v>9.5</v>
      </c>
      <c r="T16" t="inlineStr">
        <is>
          <t>AUD</t>
        </is>
      </c>
      <c r="U16" t="n">
        <v>0.095</v>
      </c>
      <c r="V16" t="inlineStr">
        <is>
          <t>AUD</t>
        </is>
      </c>
      <c r="W16" t="n">
        <v>59.74</v>
      </c>
      <c r="X16" t="b">
        <v>1</v>
      </c>
      <c r="Y16" s="3" t="inlineStr">
        <is>
          <t>2015-08-12 | PARCEL |  VGS | 100.0000 unit @ A$59.74 / unit | Total cost base = A$5,983.50 |</t>
        </is>
      </c>
    </row>
    <row r="17">
      <c r="A17" s="5" t="inlineStr">
        <is>
          <t>01a152b9-94ff-72e6-a5d9-adda51c892f3</t>
        </is>
      </c>
      <c r="B17" t="inlineStr">
        <is>
          <t>B016</t>
        </is>
      </c>
      <c r="C17" s="5" t="inlineStr">
        <is>
          <t>01a152b9-6e67-75da-8adb-b03e5d07fd21</t>
        </is>
      </c>
      <c r="D17" s="4" t="n">
        <v>46314.24602371194</v>
      </c>
      <c r="E17" s="4" t="n">
        <v>46314.24602371205</v>
      </c>
      <c r="F17" t="b">
        <v>1</v>
      </c>
      <c r="G17" t="n">
        <v/>
      </c>
      <c r="H17" t="inlineStr">
        <is>
          <t>2016-03-07 | Buy | VGS | 200.0000 unit @ A$54.34 / unit</t>
        </is>
      </c>
      <c r="I17" t="inlineStr">
        <is>
          <t>VGS</t>
        </is>
      </c>
      <c r="J17" s="6" t="n">
        <v>42436</v>
      </c>
      <c r="K17" t="n">
        <v>200</v>
      </c>
      <c r="L17" t="inlineStr">
        <is>
          <t>AUD</t>
        </is>
      </c>
      <c r="M17" t="n">
        <v>54.34</v>
      </c>
      <c r="N17" t="inlineStr">
        <is>
          <t>AUD</t>
        </is>
      </c>
      <c r="O17" t="n">
        <v>9.5</v>
      </c>
      <c r="P17" t="inlineStr"/>
      <c r="Q17" t="inlineStr">
        <is>
          <t>FY2015/16</t>
        </is>
      </c>
      <c r="R17" t="inlineStr">
        <is>
          <t>AUD</t>
        </is>
      </c>
      <c r="S17" t="n">
        <v>9.5</v>
      </c>
      <c r="T17" t="inlineStr">
        <is>
          <t>AUD</t>
        </is>
      </c>
      <c r="U17" t="n">
        <v>0.0475</v>
      </c>
      <c r="V17" t="inlineStr">
        <is>
          <t>AUD</t>
        </is>
      </c>
      <c r="W17" t="n">
        <v>54.34</v>
      </c>
      <c r="X17" t="b">
        <v>1</v>
      </c>
      <c r="Y17" s="3" t="inlineStr">
        <is>
          <t>2016-03-07 | PARCEL |  VGS | 200.0000 unit @ A$54.34 / unit | Total cost base = A$10,877.50 |</t>
        </is>
      </c>
    </row>
    <row r="18">
      <c r="A18" s="5" t="inlineStr">
        <is>
          <t>01a152b9-951b-744f-b443-9c44d3b5477a</t>
        </is>
      </c>
      <c r="B18" t="inlineStr">
        <is>
          <t>B017</t>
        </is>
      </c>
      <c r="C18" s="5" t="inlineStr">
        <is>
          <t>01a152b9-6e67-75da-8adb-b03e5d07fd21</t>
        </is>
      </c>
      <c r="D18" s="4" t="n">
        <v>46314.24602403695</v>
      </c>
      <c r="E18" s="4" t="n">
        <v>46314.24602403707</v>
      </c>
      <c r="F18" t="b">
        <v>1</v>
      </c>
      <c r="G18" t="n">
        <v/>
      </c>
      <c r="H18" t="inlineStr">
        <is>
          <t>2016-06-23 | Buy | VGS | 200.0000 unit @ A$56.12 / unit</t>
        </is>
      </c>
      <c r="I18" t="inlineStr">
        <is>
          <t>VGS</t>
        </is>
      </c>
      <c r="J18" s="6" t="n">
        <v>42544</v>
      </c>
      <c r="K18" t="n">
        <v>200</v>
      </c>
      <c r="L18" t="inlineStr">
        <is>
          <t>AUD</t>
        </is>
      </c>
      <c r="M18" t="n">
        <v>56.12</v>
      </c>
      <c r="N18" t="inlineStr">
        <is>
          <t>AUD</t>
        </is>
      </c>
      <c r="O18" t="n">
        <v>9.5</v>
      </c>
      <c r="P18" t="inlineStr"/>
      <c r="Q18" t="inlineStr">
        <is>
          <t>FY2015/16</t>
        </is>
      </c>
      <c r="R18" t="inlineStr">
        <is>
          <t>AUD</t>
        </is>
      </c>
      <c r="S18" t="n">
        <v>9.5</v>
      </c>
      <c r="T18" t="inlineStr">
        <is>
          <t>AUD</t>
        </is>
      </c>
      <c r="U18" t="n">
        <v>0.0475</v>
      </c>
      <c r="V18" t="inlineStr">
        <is>
          <t>AUD</t>
        </is>
      </c>
      <c r="W18" t="n">
        <v>56.12</v>
      </c>
      <c r="X18" t="b">
        <v>1</v>
      </c>
      <c r="Y18" s="3" t="inlineStr">
        <is>
          <t>2016-06-23 | PARCEL |  VGS | 200.0000 unit @ A$56.12 / unit | Total cost base = A$11,233.50 |</t>
        </is>
      </c>
    </row>
    <row r="19">
      <c r="A19" s="5" t="inlineStr">
        <is>
          <t>01a152b9-9539-7109-962e-2ba3016ff567</t>
        </is>
      </c>
      <c r="B19" t="inlineStr">
        <is>
          <t>B018</t>
        </is>
      </c>
      <c r="C19" s="5" t="inlineStr">
        <is>
          <t>01a152b9-6e67-75da-8adb-b03e5d07fd21</t>
        </is>
      </c>
      <c r="D19" s="4" t="n">
        <v>46314.24602437911</v>
      </c>
      <c r="E19" s="4" t="n">
        <v>46314.24602437922</v>
      </c>
      <c r="F19" t="b">
        <v>1</v>
      </c>
      <c r="G19" t="n">
        <v/>
      </c>
      <c r="H19" t="inlineStr">
        <is>
          <t>2016-09-21 | Buy | VGS | 200.0000 unit @ A$56.08 / unit</t>
        </is>
      </c>
      <c r="I19" t="inlineStr">
        <is>
          <t>VGS</t>
        </is>
      </c>
      <c r="J19" s="6" t="n">
        <v>42634</v>
      </c>
      <c r="K19" t="n">
        <v>200</v>
      </c>
      <c r="L19" t="inlineStr">
        <is>
          <t>AUD</t>
        </is>
      </c>
      <c r="M19" t="n">
        <v>56.08</v>
      </c>
      <c r="N19" t="inlineStr">
        <is>
          <t>AUD</t>
        </is>
      </c>
      <c r="O19" t="n">
        <v>9.5</v>
      </c>
      <c r="P19" t="inlineStr"/>
      <c r="Q19" t="inlineStr">
        <is>
          <t>FY2016/17</t>
        </is>
      </c>
      <c r="R19" t="inlineStr">
        <is>
          <t>AUD</t>
        </is>
      </c>
      <c r="S19" t="n">
        <v>9.5</v>
      </c>
      <c r="T19" t="inlineStr">
        <is>
          <t>AUD</t>
        </is>
      </c>
      <c r="U19" t="n">
        <v>0.0475</v>
      </c>
      <c r="V19" t="inlineStr">
        <is>
          <t>AUD</t>
        </is>
      </c>
      <c r="W19" t="n">
        <v>56.08</v>
      </c>
      <c r="X19" t="b">
        <v>1</v>
      </c>
      <c r="Y19" s="3" t="inlineStr">
        <is>
          <t>2016-09-21 | PARCEL |  VGS | 200.0000 unit @ A$56.08 / unit | Total cost base = A$11,225.50 |</t>
        </is>
      </c>
    </row>
    <row r="20">
      <c r="A20" s="5" t="inlineStr">
        <is>
          <t>01a152b9-9556-7569-a7c9-0559dd1594aa</t>
        </is>
      </c>
      <c r="B20" t="inlineStr">
        <is>
          <t>B019</t>
        </is>
      </c>
      <c r="C20" s="5" t="inlineStr">
        <is>
          <t>01a152b9-6e67-75da-8adb-b03e5d07fd21</t>
        </is>
      </c>
      <c r="D20" s="4" t="n">
        <v>46314.24602471451</v>
      </c>
      <c r="E20" s="4" t="n">
        <v>46314.24602471463</v>
      </c>
      <c r="F20" t="b">
        <v>1</v>
      </c>
      <c r="G20" t="n">
        <v/>
      </c>
      <c r="H20" t="inlineStr">
        <is>
          <t>2016-11-06 | Buy | VGS | 200.0000 unit @ A$54.17 / unit</t>
        </is>
      </c>
      <c r="I20" t="inlineStr">
        <is>
          <t>VGS</t>
        </is>
      </c>
      <c r="J20" s="6" t="n">
        <v>42680</v>
      </c>
      <c r="K20" t="n">
        <v>200</v>
      </c>
      <c r="L20" t="inlineStr">
        <is>
          <t>AUD</t>
        </is>
      </c>
      <c r="M20" t="n">
        <v>54.17</v>
      </c>
      <c r="N20" t="inlineStr">
        <is>
          <t>AUD</t>
        </is>
      </c>
      <c r="O20" t="n">
        <v>9.5</v>
      </c>
      <c r="P20" t="inlineStr"/>
      <c r="Q20" t="inlineStr">
        <is>
          <t>FY2016/17</t>
        </is>
      </c>
      <c r="R20" t="inlineStr">
        <is>
          <t>AUD</t>
        </is>
      </c>
      <c r="S20" t="n">
        <v>9.5</v>
      </c>
      <c r="T20" t="inlineStr">
        <is>
          <t>AUD</t>
        </is>
      </c>
      <c r="U20" t="n">
        <v>0.0475</v>
      </c>
      <c r="V20" t="inlineStr">
        <is>
          <t>AUD</t>
        </is>
      </c>
      <c r="W20" t="n">
        <v>54.17</v>
      </c>
      <c r="X20" t="b">
        <v>1</v>
      </c>
      <c r="Y20" s="3" t="inlineStr">
        <is>
          <t>2016-11-06 | PARCEL |  VGS | 200.0000 unit @ A$54.17 / unit | Total cost base = A$10,843.50 |</t>
        </is>
      </c>
    </row>
    <row r="21">
      <c r="A21" s="5" t="inlineStr">
        <is>
          <t>01a152b9-9573-73fd-aab4-11ede9abf37e</t>
        </is>
      </c>
      <c r="B21" t="inlineStr">
        <is>
          <t>B020</t>
        </is>
      </c>
      <c r="C21" s="5" t="inlineStr">
        <is>
          <t>01a152b9-6e67-75da-8adb-b03e5d07fd21</t>
        </is>
      </c>
      <c r="D21" s="4" t="n">
        <v>46314.2460250556</v>
      </c>
      <c r="E21" s="4" t="n">
        <v>46314.24602505571</v>
      </c>
      <c r="F21" t="b">
        <v>1</v>
      </c>
      <c r="G21" t="n">
        <v/>
      </c>
      <c r="H21" t="inlineStr">
        <is>
          <t>2018-05-20 | Buy | VGS | 180.0000 unit @ A$69.57 / unit</t>
        </is>
      </c>
      <c r="I21" t="inlineStr">
        <is>
          <t>VGS</t>
        </is>
      </c>
      <c r="J21" s="6" t="n">
        <v>43240</v>
      </c>
      <c r="K21" t="n">
        <v>180</v>
      </c>
      <c r="L21" t="inlineStr">
        <is>
          <t>AUD</t>
        </is>
      </c>
      <c r="M21" t="n">
        <v>69.56999999999999</v>
      </c>
      <c r="N21" t="inlineStr">
        <is>
          <t>AUD</t>
        </is>
      </c>
      <c r="O21" t="n">
        <v>9.5</v>
      </c>
      <c r="P21" t="inlineStr"/>
      <c r="Q21" t="inlineStr">
        <is>
          <t>FY2017/18</t>
        </is>
      </c>
      <c r="R21" t="inlineStr">
        <is>
          <t>AUD</t>
        </is>
      </c>
      <c r="S21" t="n">
        <v>9.5</v>
      </c>
      <c r="T21" t="inlineStr">
        <is>
          <t>AUD</t>
        </is>
      </c>
      <c r="U21" t="n">
        <v>0.052778</v>
      </c>
      <c r="V21" t="inlineStr">
        <is>
          <t>AUD</t>
        </is>
      </c>
      <c r="W21" t="n">
        <v>69.56999999999999</v>
      </c>
      <c r="X21" t="b">
        <v>1</v>
      </c>
      <c r="Y21" s="3" t="inlineStr">
        <is>
          <t>2018-05-20 | PARCEL |  VGS | 180.0000 unit @ A$69.57 / unit | Total cost base = A$12,532.10 |</t>
        </is>
      </c>
    </row>
    <row r="22">
      <c r="A22" s="5" t="inlineStr">
        <is>
          <t>01a152b9-958e-76b7-a92e-a1da43f86603</t>
        </is>
      </c>
      <c r="B22" t="inlineStr">
        <is>
          <t>B021</t>
        </is>
      </c>
      <c r="C22" s="5" t="inlineStr">
        <is>
          <t>01a152b9-6e67-75da-8adb-b03e5d07fd21</t>
        </is>
      </c>
      <c r="D22" s="4" t="n">
        <v>46314.2460253657</v>
      </c>
      <c r="E22" s="4" t="n">
        <v>46314.24602536581</v>
      </c>
      <c r="F22" t="b">
        <v>1</v>
      </c>
      <c r="G22" t="n">
        <v/>
      </c>
      <c r="H22" t="inlineStr">
        <is>
          <t>2018-06-18 | Buy | VGS | 200.0000 unit @ A$70.36 / unit</t>
        </is>
      </c>
      <c r="I22" t="inlineStr">
        <is>
          <t>VGS</t>
        </is>
      </c>
      <c r="J22" s="6" t="n">
        <v>43269</v>
      </c>
      <c r="K22" t="n">
        <v>200</v>
      </c>
      <c r="L22" t="inlineStr">
        <is>
          <t>AUD</t>
        </is>
      </c>
      <c r="M22" t="n">
        <v>70.36</v>
      </c>
      <c r="N22" t="inlineStr">
        <is>
          <t>AUD</t>
        </is>
      </c>
      <c r="O22" t="n">
        <v>9.5</v>
      </c>
      <c r="P22" t="inlineStr"/>
      <c r="Q22" t="inlineStr">
        <is>
          <t>FY2017/18</t>
        </is>
      </c>
      <c r="R22" t="inlineStr">
        <is>
          <t>AUD</t>
        </is>
      </c>
      <c r="S22" t="n">
        <v>9.5</v>
      </c>
      <c r="T22" t="inlineStr">
        <is>
          <t>AUD</t>
        </is>
      </c>
      <c r="U22" t="n">
        <v>0.0475</v>
      </c>
      <c r="V22" t="inlineStr">
        <is>
          <t>AUD</t>
        </is>
      </c>
      <c r="W22" t="n">
        <v>70.36</v>
      </c>
      <c r="X22" t="b">
        <v>1</v>
      </c>
      <c r="Y22" s="3" t="inlineStr">
        <is>
          <t>2018-06-18 | PARCEL |  VGS | 200.0000 unit @ A$70.36 / unit | Total cost base = A$14,081.50 |</t>
        </is>
      </c>
    </row>
    <row r="23">
      <c r="A23" s="5" t="inlineStr">
        <is>
          <t>01a152b9-95ab-7299-9035-b3b8d080dc37</t>
        </is>
      </c>
      <c r="B23" t="inlineStr">
        <is>
          <t>B022</t>
        </is>
      </c>
      <c r="C23" s="5" t="inlineStr">
        <is>
          <t>01a152b9-6e67-75da-8adb-b03e5d07fd21</t>
        </is>
      </c>
      <c r="D23" s="4" t="n">
        <v>46314.246025695</v>
      </c>
      <c r="E23" s="4" t="n">
        <v>46314.24602569509</v>
      </c>
      <c r="F23" t="b">
        <v>1</v>
      </c>
      <c r="G23" t="n">
        <v/>
      </c>
      <c r="H23" t="inlineStr">
        <is>
          <t>2018-07-16 | Buy | VGS | 100.0000 unit @ A$69.86 / unit</t>
        </is>
      </c>
      <c r="I23" t="inlineStr">
        <is>
          <t>VGS</t>
        </is>
      </c>
      <c r="J23" s="6" t="n">
        <v>43297</v>
      </c>
      <c r="K23" t="n">
        <v>100</v>
      </c>
      <c r="L23" t="inlineStr">
        <is>
          <t>AUD</t>
        </is>
      </c>
      <c r="M23" t="n">
        <v>69.86</v>
      </c>
      <c r="N23" t="inlineStr">
        <is>
          <t>AUD</t>
        </is>
      </c>
      <c r="O23" t="n">
        <v>9.5</v>
      </c>
      <c r="P23" t="inlineStr"/>
      <c r="Q23" t="inlineStr">
        <is>
          <t>FY2018/19</t>
        </is>
      </c>
      <c r="R23" t="inlineStr">
        <is>
          <t>AUD</t>
        </is>
      </c>
      <c r="S23" t="n">
        <v>9.5</v>
      </c>
      <c r="T23" t="inlineStr">
        <is>
          <t>AUD</t>
        </is>
      </c>
      <c r="U23" t="n">
        <v>0.095</v>
      </c>
      <c r="V23" t="inlineStr">
        <is>
          <t>AUD</t>
        </is>
      </c>
      <c r="W23" t="n">
        <v>69.86</v>
      </c>
      <c r="X23" t="b">
        <v>1</v>
      </c>
      <c r="Y23" s="3" t="inlineStr">
        <is>
          <t>2018-07-16 | PARCEL |  VGS | 100.0000 unit @ A$69.86 / unit | Total cost base = A$6,995.50 |</t>
        </is>
      </c>
    </row>
    <row r="24">
      <c r="A24" s="5" t="inlineStr">
        <is>
          <t>01a152b9-95c5-7072-9cbd-78a9ba35778c</t>
        </is>
      </c>
      <c r="B24" t="inlineStr">
        <is>
          <t>B023</t>
        </is>
      </c>
      <c r="C24" s="5" t="inlineStr">
        <is>
          <t>01a152b9-6e67-75da-8adb-b03e5d07fd21</t>
        </is>
      </c>
      <c r="D24" s="4" t="n">
        <v>46314.24602600126</v>
      </c>
      <c r="E24" s="4" t="n">
        <v>46314.2460260014</v>
      </c>
      <c r="F24" t="b">
        <v>1</v>
      </c>
      <c r="G24" t="n">
        <v/>
      </c>
      <c r="H24" t="inlineStr">
        <is>
          <t>2018-09-05 | Buy | VGS | 100.0000 unit @ A$72.86 / unit</t>
        </is>
      </c>
      <c r="I24" t="inlineStr">
        <is>
          <t>VGS</t>
        </is>
      </c>
      <c r="J24" s="6" t="n">
        <v>43348</v>
      </c>
      <c r="K24" t="n">
        <v>100</v>
      </c>
      <c r="L24" t="inlineStr">
        <is>
          <t>AUD</t>
        </is>
      </c>
      <c r="M24" t="n">
        <v>72.86</v>
      </c>
      <c r="N24" t="inlineStr">
        <is>
          <t>AUD</t>
        </is>
      </c>
      <c r="O24" t="n">
        <v>9.5</v>
      </c>
      <c r="P24" t="inlineStr"/>
      <c r="Q24" t="inlineStr">
        <is>
          <t>FY2018/19</t>
        </is>
      </c>
      <c r="R24" t="inlineStr">
        <is>
          <t>AUD</t>
        </is>
      </c>
      <c r="S24" t="n">
        <v>9.5</v>
      </c>
      <c r="T24" t="inlineStr">
        <is>
          <t>AUD</t>
        </is>
      </c>
      <c r="U24" t="n">
        <v>0.095</v>
      </c>
      <c r="V24" t="inlineStr">
        <is>
          <t>AUD</t>
        </is>
      </c>
      <c r="W24" t="n">
        <v>72.86</v>
      </c>
      <c r="X24" t="b">
        <v>1</v>
      </c>
      <c r="Y24" s="3" t="inlineStr">
        <is>
          <t>2018-09-05 | PARCEL |  VGS | 100.0000 unit @ A$72.86 / unit | Total cost base = A$7,295.50 |</t>
        </is>
      </c>
    </row>
    <row r="25">
      <c r="A25" s="5" t="inlineStr">
        <is>
          <t>01a152b9-95e0-7373-b141-f18a4acc1726</t>
        </is>
      </c>
      <c r="B25" t="inlineStr">
        <is>
          <t>B024</t>
        </is>
      </c>
      <c r="C25" s="5" t="inlineStr">
        <is>
          <t>01a152b9-6e67-75da-8adb-b03e5d07fd21</t>
        </is>
      </c>
      <c r="D25" s="4" t="n">
        <v>46314.24602630947</v>
      </c>
      <c r="E25" s="4" t="n">
        <v>46314.24602630955</v>
      </c>
      <c r="F25" t="b">
        <v>1</v>
      </c>
      <c r="G25" t="n">
        <v/>
      </c>
      <c r="H25" t="inlineStr">
        <is>
          <t>2019-01-23 | Buy | VGS | 50.0000 unit @ A$67.17 / unit</t>
        </is>
      </c>
      <c r="I25" t="inlineStr">
        <is>
          <t>VGS</t>
        </is>
      </c>
      <c r="J25" s="6" t="n">
        <v>43488</v>
      </c>
      <c r="K25" t="n">
        <v>50</v>
      </c>
      <c r="L25" t="inlineStr">
        <is>
          <t>AUD</t>
        </is>
      </c>
      <c r="M25" t="n">
        <v>67.17</v>
      </c>
      <c r="N25" t="inlineStr">
        <is>
          <t>AUD</t>
        </is>
      </c>
      <c r="O25" t="n">
        <v>9.5</v>
      </c>
      <c r="P25" t="inlineStr"/>
      <c r="Q25" t="inlineStr">
        <is>
          <t>FY2018/19</t>
        </is>
      </c>
      <c r="R25" t="inlineStr">
        <is>
          <t>AUD</t>
        </is>
      </c>
      <c r="S25" t="n">
        <v>9.5</v>
      </c>
      <c r="T25" t="inlineStr">
        <is>
          <t>AUD</t>
        </is>
      </c>
      <c r="U25" t="n">
        <v>0.19</v>
      </c>
      <c r="V25" t="inlineStr">
        <is>
          <t>AUD</t>
        </is>
      </c>
      <c r="W25" t="n">
        <v>67.17</v>
      </c>
      <c r="X25" t="b">
        <v>1</v>
      </c>
      <c r="Y25" s="3" t="inlineStr">
        <is>
          <t>2019-01-23 | PARCEL |  VGS | 50.0000 unit @ A$67.17 / unit | Total cost base = A$3,368.00 |</t>
        </is>
      </c>
    </row>
    <row r="26">
      <c r="A26" s="5" t="inlineStr">
        <is>
          <t>01a152b9-95f9-70e6-aa29-d8dff7458a41</t>
        </is>
      </c>
      <c r="B26" t="inlineStr">
        <is>
          <t>B025</t>
        </is>
      </c>
      <c r="C26" s="5" t="inlineStr">
        <is>
          <t>01a152b9-6e67-75da-8adb-b03e5d07fd21</t>
        </is>
      </c>
      <c r="D26" s="4" t="n">
        <v>46314.2460266074</v>
      </c>
      <c r="E26" s="4" t="n">
        <v>46314.2460266075</v>
      </c>
      <c r="F26" t="b">
        <v>1</v>
      </c>
      <c r="G26" t="n">
        <v/>
      </c>
      <c r="H26" t="inlineStr">
        <is>
          <t>2019-03-18 | Buy | VGS | 100.0000 unit @ A$72.64 / unit</t>
        </is>
      </c>
      <c r="I26" t="inlineStr">
        <is>
          <t>VGS</t>
        </is>
      </c>
      <c r="J26" s="6" t="n">
        <v>43542</v>
      </c>
      <c r="K26" t="n">
        <v>100</v>
      </c>
      <c r="L26" t="inlineStr">
        <is>
          <t>AUD</t>
        </is>
      </c>
      <c r="M26" t="n">
        <v>72.64</v>
      </c>
      <c r="N26" t="inlineStr">
        <is>
          <t>AUD</t>
        </is>
      </c>
      <c r="O26" t="n">
        <v>9.5</v>
      </c>
      <c r="P26" t="inlineStr"/>
      <c r="Q26" t="inlineStr">
        <is>
          <t>FY2018/19</t>
        </is>
      </c>
      <c r="R26" t="inlineStr">
        <is>
          <t>AUD</t>
        </is>
      </c>
      <c r="S26" t="n">
        <v>9.5</v>
      </c>
      <c r="T26" t="inlineStr">
        <is>
          <t>AUD</t>
        </is>
      </c>
      <c r="U26" t="n">
        <v>0.095</v>
      </c>
      <c r="V26" t="inlineStr">
        <is>
          <t>AUD</t>
        </is>
      </c>
      <c r="W26" t="n">
        <v>72.64</v>
      </c>
      <c r="X26" t="b">
        <v>1</v>
      </c>
      <c r="Y26" s="3" t="inlineStr">
        <is>
          <t>2019-03-18 | PARCEL |  VGS | 100.0000 unit @ A$72.64 / unit | Total cost base = A$7,273.50 |</t>
        </is>
      </c>
    </row>
    <row r="27">
      <c r="A27" s="5" t="inlineStr">
        <is>
          <t>01a152b9-9614-7140-8722-6c2ab1dddbca</t>
        </is>
      </c>
      <c r="B27" t="inlineStr">
        <is>
          <t>B026</t>
        </is>
      </c>
      <c r="C27" s="5" t="inlineStr">
        <is>
          <t>01a152b9-6e67-75da-8adb-b03e5d07fd21</t>
        </is>
      </c>
      <c r="D27" s="4" t="n">
        <v>46314.24602691581</v>
      </c>
      <c r="E27" s="4" t="n">
        <v>46314.24602691588</v>
      </c>
      <c r="F27" t="b">
        <v>1</v>
      </c>
      <c r="G27" t="n">
        <v/>
      </c>
      <c r="H27" t="inlineStr">
        <is>
          <t>2019-05-06 | Buy | VGS | 100.0000 unit @ A$74.84 / unit</t>
        </is>
      </c>
      <c r="I27" t="inlineStr">
        <is>
          <t>VGS</t>
        </is>
      </c>
      <c r="J27" s="6" t="n">
        <v>43591</v>
      </c>
      <c r="K27" t="n">
        <v>100</v>
      </c>
      <c r="L27" t="inlineStr">
        <is>
          <t>AUD</t>
        </is>
      </c>
      <c r="M27" t="n">
        <v>74.84</v>
      </c>
      <c r="N27" t="inlineStr">
        <is>
          <t>AUD</t>
        </is>
      </c>
      <c r="O27" t="n">
        <v>9.5</v>
      </c>
      <c r="P27" t="inlineStr"/>
      <c r="Q27" t="inlineStr">
        <is>
          <t>FY2018/19</t>
        </is>
      </c>
      <c r="R27" t="inlineStr">
        <is>
          <t>AUD</t>
        </is>
      </c>
      <c r="S27" t="n">
        <v>9.5</v>
      </c>
      <c r="T27" t="inlineStr">
        <is>
          <t>AUD</t>
        </is>
      </c>
      <c r="U27" t="n">
        <v>0.095</v>
      </c>
      <c r="V27" t="inlineStr">
        <is>
          <t>AUD</t>
        </is>
      </c>
      <c r="W27" t="n">
        <v>74.84</v>
      </c>
      <c r="X27" t="b">
        <v>1</v>
      </c>
      <c r="Y27" s="3" t="inlineStr">
        <is>
          <t>2019-05-06 | PARCEL |  VGS | 100.0000 unit @ A$74.84 / unit | Total cost base = A$7,493.50 |</t>
        </is>
      </c>
    </row>
    <row r="28">
      <c r="A28" s="5" t="inlineStr">
        <is>
          <t>01a152b9-962e-738d-a89e-a017256f728f</t>
        </is>
      </c>
      <c r="B28" t="inlineStr">
        <is>
          <t>B027</t>
        </is>
      </c>
      <c r="C28" s="5" t="inlineStr">
        <is>
          <t>01a152b9-6e67-75da-8adb-b03e5d07fd21</t>
        </is>
      </c>
      <c r="D28" s="4" t="n">
        <v>46314.24602721343</v>
      </c>
      <c r="E28" s="4" t="n">
        <v>46314.24602721352</v>
      </c>
      <c r="F28" t="b">
        <v>1</v>
      </c>
      <c r="G28" t="n">
        <v/>
      </c>
      <c r="H28" t="inlineStr">
        <is>
          <t>2019-05-15 | Buy | VGS | 80.0000 unit @ A$73.82 / unit</t>
        </is>
      </c>
      <c r="I28" t="inlineStr">
        <is>
          <t>VGS</t>
        </is>
      </c>
      <c r="J28" s="6" t="n">
        <v>43600</v>
      </c>
      <c r="K28" t="n">
        <v>80</v>
      </c>
      <c r="L28" t="inlineStr">
        <is>
          <t>AUD</t>
        </is>
      </c>
      <c r="M28" t="n">
        <v>73.81999999999999</v>
      </c>
      <c r="N28" t="inlineStr">
        <is>
          <t>AUD</t>
        </is>
      </c>
      <c r="O28" t="n">
        <v>9.5</v>
      </c>
      <c r="P28" t="inlineStr"/>
      <c r="Q28" t="inlineStr">
        <is>
          <t>FY2018/19</t>
        </is>
      </c>
      <c r="R28" t="inlineStr">
        <is>
          <t>AUD</t>
        </is>
      </c>
      <c r="S28" t="n">
        <v>9.5</v>
      </c>
      <c r="T28" t="inlineStr">
        <is>
          <t>AUD</t>
        </is>
      </c>
      <c r="U28" t="n">
        <v>0.11875</v>
      </c>
      <c r="V28" t="inlineStr">
        <is>
          <t>AUD</t>
        </is>
      </c>
      <c r="W28" t="n">
        <v>73.81999999999999</v>
      </c>
      <c r="X28" t="b">
        <v>1</v>
      </c>
      <c r="Y28" s="3" t="inlineStr">
        <is>
          <t>2019-05-15 | PARCEL |  VGS | 80.0000 unit @ A$73.82 / unit | Total cost base = A$5,915.10 |</t>
        </is>
      </c>
    </row>
    <row r="29">
      <c r="A29" s="5" t="inlineStr">
        <is>
          <t>01a152b9-964b-7195-92ec-4ddecb433882</t>
        </is>
      </c>
      <c r="B29" t="inlineStr">
        <is>
          <t>B028</t>
        </is>
      </c>
      <c r="C29" s="5" t="inlineStr">
        <is>
          <t>01a152b9-6e67-75da-8adb-b03e5d07fd21</t>
        </is>
      </c>
      <c r="D29" s="4" t="n">
        <v>46314.24602755257</v>
      </c>
      <c r="E29" s="4" t="n">
        <v>46314.24602755268</v>
      </c>
      <c r="F29" t="b">
        <v>1</v>
      </c>
      <c r="G29" t="n">
        <v/>
      </c>
      <c r="H29" t="inlineStr">
        <is>
          <t>2019-11-14 | Buy | VGS | 100.0000 unit @ A$80.88 / unit</t>
        </is>
      </c>
      <c r="I29" t="inlineStr">
        <is>
          <t>VGS</t>
        </is>
      </c>
      <c r="J29" s="6" t="n">
        <v>43783</v>
      </c>
      <c r="K29" t="n">
        <v>100</v>
      </c>
      <c r="L29" t="inlineStr">
        <is>
          <t>AUD</t>
        </is>
      </c>
      <c r="M29" t="n">
        <v>80.88</v>
      </c>
      <c r="N29" t="inlineStr">
        <is>
          <t>AUD</t>
        </is>
      </c>
      <c r="O29" t="n">
        <v>9.5</v>
      </c>
      <c r="P29" t="inlineStr"/>
      <c r="Q29" t="inlineStr">
        <is>
          <t>FY2019/20</t>
        </is>
      </c>
      <c r="R29" t="inlineStr">
        <is>
          <t>AUD</t>
        </is>
      </c>
      <c r="S29" t="n">
        <v>9.5</v>
      </c>
      <c r="T29" t="inlineStr">
        <is>
          <t>AUD</t>
        </is>
      </c>
      <c r="U29" t="n">
        <v>0.095</v>
      </c>
      <c r="V29" t="inlineStr">
        <is>
          <t>AUD</t>
        </is>
      </c>
      <c r="W29" t="n">
        <v>80.88</v>
      </c>
      <c r="X29" t="b">
        <v>1</v>
      </c>
      <c r="Y29" s="3" t="inlineStr">
        <is>
          <t>2019-11-14 | PARCEL |  VGS | 100.0000 unit @ A$80.88 / unit | Total cost base = A$8,097.50 |</t>
        </is>
      </c>
    </row>
    <row r="30">
      <c r="A30" s="5" t="inlineStr">
        <is>
          <t>01a152b9-966b-7174-9dcf-24955b43fe31</t>
        </is>
      </c>
      <c r="B30" t="inlineStr">
        <is>
          <t>B029</t>
        </is>
      </c>
      <c r="C30" s="5" t="inlineStr">
        <is>
          <t>01a152b9-6e67-75da-8adb-b03e5d07fd21</t>
        </is>
      </c>
      <c r="D30" s="4" t="n">
        <v>46314.24602792945</v>
      </c>
      <c r="E30" s="4" t="n">
        <v>46314.24602792957</v>
      </c>
      <c r="F30" t="b">
        <v>1</v>
      </c>
      <c r="G30" t="n">
        <v/>
      </c>
      <c r="H30" t="inlineStr">
        <is>
          <t>2019-12-16 | Buy | VGS | 100.0000 unit @ A$82.30 / unit</t>
        </is>
      </c>
      <c r="I30" t="inlineStr">
        <is>
          <t>VGS</t>
        </is>
      </c>
      <c r="J30" s="6" t="n">
        <v>43815</v>
      </c>
      <c r="K30" t="n">
        <v>100</v>
      </c>
      <c r="L30" t="inlineStr">
        <is>
          <t>AUD</t>
        </is>
      </c>
      <c r="M30" t="n">
        <v>82.3</v>
      </c>
      <c r="N30" t="inlineStr">
        <is>
          <t>AUD</t>
        </is>
      </c>
      <c r="O30" t="n">
        <v>9.5</v>
      </c>
      <c r="P30" t="inlineStr"/>
      <c r="Q30" t="inlineStr">
        <is>
          <t>FY2019/20</t>
        </is>
      </c>
      <c r="R30" t="inlineStr">
        <is>
          <t>AUD</t>
        </is>
      </c>
      <c r="S30" t="n">
        <v>9.5</v>
      </c>
      <c r="T30" t="inlineStr">
        <is>
          <t>AUD</t>
        </is>
      </c>
      <c r="U30" t="n">
        <v>0.095</v>
      </c>
      <c r="V30" t="inlineStr">
        <is>
          <t>AUD</t>
        </is>
      </c>
      <c r="W30" t="n">
        <v>82.3</v>
      </c>
      <c r="X30" t="b">
        <v>1</v>
      </c>
      <c r="Y30" s="3" t="inlineStr">
        <is>
          <t>2019-12-16 | PARCEL |  VGS | 100.0000 unit @ A$82.30 / unit | Total cost base = A$8,239.50 |</t>
        </is>
      </c>
    </row>
    <row r="31">
      <c r="A31" s="5" t="inlineStr">
        <is>
          <t>01a152b9-968a-7080-8500-c78aec71465d</t>
        </is>
      </c>
      <c r="B31" t="inlineStr">
        <is>
          <t>B030</t>
        </is>
      </c>
      <c r="C31" s="5" t="inlineStr">
        <is>
          <t>01a152b9-6e67-75da-8adb-b03e5d07fd21</t>
        </is>
      </c>
      <c r="D31" s="4" t="n">
        <v>46314.24602828022</v>
      </c>
      <c r="E31" s="4" t="n">
        <v>46314.2460282803</v>
      </c>
      <c r="F31" t="b">
        <v>1</v>
      </c>
      <c r="G31" t="n">
        <v/>
      </c>
      <c r="H31" t="inlineStr">
        <is>
          <t>2020-02-25 | Buy | VGS | 50.0000 unit @ A$83.14 / unit</t>
        </is>
      </c>
      <c r="I31" t="inlineStr">
        <is>
          <t>VGS</t>
        </is>
      </c>
      <c r="J31" s="6" t="n">
        <v>43886</v>
      </c>
      <c r="K31" t="n">
        <v>50</v>
      </c>
      <c r="L31" t="inlineStr">
        <is>
          <t>AUD</t>
        </is>
      </c>
      <c r="M31" t="n">
        <v>83.14</v>
      </c>
      <c r="N31" t="inlineStr">
        <is>
          <t>AUD</t>
        </is>
      </c>
      <c r="O31" t="n">
        <v>9.5</v>
      </c>
      <c r="P31" t="inlineStr"/>
      <c r="Q31" t="inlineStr">
        <is>
          <t>FY2019/20</t>
        </is>
      </c>
      <c r="R31" t="inlineStr">
        <is>
          <t>AUD</t>
        </is>
      </c>
      <c r="S31" t="n">
        <v>9.5</v>
      </c>
      <c r="T31" t="inlineStr">
        <is>
          <t>AUD</t>
        </is>
      </c>
      <c r="U31" t="n">
        <v>0.19</v>
      </c>
      <c r="V31" t="inlineStr">
        <is>
          <t>AUD</t>
        </is>
      </c>
      <c r="W31" t="n">
        <v>83.14</v>
      </c>
      <c r="X31" t="b">
        <v>1</v>
      </c>
      <c r="Y31" s="3" t="inlineStr">
        <is>
          <t>2020-02-25 | PARCEL |  VGS | 50.0000 unit @ A$83.14 / unit | Total cost base = A$4,166.50 |</t>
        </is>
      </c>
    </row>
    <row r="32">
      <c r="A32" s="5" t="inlineStr">
        <is>
          <t>01a152b9-96a4-72f2-a037-ffb1253ef998</t>
        </is>
      </c>
      <c r="B32" t="inlineStr">
        <is>
          <t>B031</t>
        </is>
      </c>
      <c r="C32" s="5" t="inlineStr">
        <is>
          <t>01a152b9-6e67-75da-8adb-b03e5d07fd21</t>
        </is>
      </c>
      <c r="D32" s="4" t="n">
        <v>46314.24602857629</v>
      </c>
      <c r="E32" s="4" t="n">
        <v>46314.24602857635</v>
      </c>
      <c r="F32" t="b">
        <v>1</v>
      </c>
      <c r="G32" t="n">
        <v/>
      </c>
      <c r="H32" t="inlineStr">
        <is>
          <t>2020-07-16 | Buy | VGS | 100.0000 unit @ A$78.80 / unit</t>
        </is>
      </c>
      <c r="I32" t="inlineStr">
        <is>
          <t>VGS</t>
        </is>
      </c>
      <c r="J32" s="6" t="n">
        <v>44028</v>
      </c>
      <c r="K32" t="n">
        <v>100</v>
      </c>
      <c r="L32" t="inlineStr">
        <is>
          <t>AUD</t>
        </is>
      </c>
      <c r="M32" t="n">
        <v>78.8</v>
      </c>
      <c r="N32" t="inlineStr">
        <is>
          <t>AUD</t>
        </is>
      </c>
      <c r="O32" t="n">
        <v>9.5</v>
      </c>
      <c r="P32" t="inlineStr"/>
      <c r="Q32" t="inlineStr">
        <is>
          <t>FY2020/21</t>
        </is>
      </c>
      <c r="R32" t="inlineStr">
        <is>
          <t>AUD</t>
        </is>
      </c>
      <c r="S32" t="n">
        <v>9.5</v>
      </c>
      <c r="T32" t="inlineStr">
        <is>
          <t>AUD</t>
        </is>
      </c>
      <c r="U32" t="n">
        <v>0.095</v>
      </c>
      <c r="V32" t="inlineStr">
        <is>
          <t>AUD</t>
        </is>
      </c>
      <c r="W32" t="n">
        <v>78.8</v>
      </c>
      <c r="X32" t="b">
        <v>1</v>
      </c>
      <c r="Y32" s="3" t="inlineStr">
        <is>
          <t>2020-07-16 | PARCEL |  VGS | 100.0000 unit @ A$78.80 / unit | Total cost base = A$7,889.50 |</t>
        </is>
      </c>
    </row>
    <row r="33">
      <c r="A33" s="5" t="inlineStr">
        <is>
          <t>01a152b9-96c5-77d7-868c-dad3cbd67608</t>
        </is>
      </c>
      <c r="B33" t="inlineStr">
        <is>
          <t>B032</t>
        </is>
      </c>
      <c r="C33" s="5" t="inlineStr">
        <is>
          <t>01a152b9-6e67-75da-8adb-b03e5d07fd21</t>
        </is>
      </c>
      <c r="D33" s="4" t="n">
        <v>46314.24602897467</v>
      </c>
      <c r="E33" s="4" t="n">
        <v>46314.24602897484</v>
      </c>
      <c r="F33" t="b">
        <v>1</v>
      </c>
      <c r="G33" t="n">
        <v/>
      </c>
      <c r="H33" t="inlineStr">
        <is>
          <t>2020-09-06 | Buy | VGS | 100.0000 unit @ A$79.41 / unit</t>
        </is>
      </c>
      <c r="I33" t="inlineStr">
        <is>
          <t>VGS</t>
        </is>
      </c>
      <c r="J33" s="6" t="n">
        <v>44080</v>
      </c>
      <c r="K33" t="n">
        <v>100</v>
      </c>
      <c r="L33" t="inlineStr">
        <is>
          <t>AUD</t>
        </is>
      </c>
      <c r="M33" t="n">
        <v>79.41</v>
      </c>
      <c r="N33" t="inlineStr">
        <is>
          <t>AUD</t>
        </is>
      </c>
      <c r="O33" t="n">
        <v>9.5</v>
      </c>
      <c r="P33" t="inlineStr"/>
      <c r="Q33" t="inlineStr">
        <is>
          <t>FY2020/21</t>
        </is>
      </c>
      <c r="R33" t="inlineStr">
        <is>
          <t>AUD</t>
        </is>
      </c>
      <c r="S33" t="n">
        <v>9.5</v>
      </c>
      <c r="T33" t="inlineStr">
        <is>
          <t>AUD</t>
        </is>
      </c>
      <c r="U33" t="n">
        <v>0.095</v>
      </c>
      <c r="V33" t="inlineStr">
        <is>
          <t>AUD</t>
        </is>
      </c>
      <c r="W33" t="n">
        <v>79.41</v>
      </c>
      <c r="X33" t="b">
        <v>1</v>
      </c>
      <c r="Y33" s="3" t="inlineStr">
        <is>
          <t>2020-09-06 | PARCEL |  VGS | 100.0000 unit @ A$79.41 / unit | Total cost base = A$7,950.50 |</t>
        </is>
      </c>
    </row>
    <row r="34">
      <c r="A34" s="5" t="inlineStr">
        <is>
          <t>01a152b9-96e5-7209-9dae-00db9c85b40c</t>
        </is>
      </c>
      <c r="B34" t="inlineStr">
        <is>
          <t>B033</t>
        </is>
      </c>
      <c r="C34" s="5" t="inlineStr">
        <is>
          <t>01a152b9-6e67-75da-8adb-b03e5d07fd21</t>
        </is>
      </c>
      <c r="D34" s="4" t="n">
        <v>46314.24602933457</v>
      </c>
      <c r="E34" s="4" t="n">
        <v>46314.24602933472</v>
      </c>
      <c r="F34" t="b">
        <v>1</v>
      </c>
      <c r="G34" t="n">
        <v/>
      </c>
      <c r="H34" t="inlineStr">
        <is>
          <t>2020-10-19 | Buy | VGS | 50.0000 unit @ A$82.82 / unit</t>
        </is>
      </c>
      <c r="I34" t="inlineStr">
        <is>
          <t>VGS</t>
        </is>
      </c>
      <c r="J34" s="6" t="n">
        <v>44123</v>
      </c>
      <c r="K34" t="n">
        <v>50</v>
      </c>
      <c r="L34" t="inlineStr">
        <is>
          <t>AUD</t>
        </is>
      </c>
      <c r="M34" t="n">
        <v>82.81999999999999</v>
      </c>
      <c r="N34" t="inlineStr">
        <is>
          <t>AUD</t>
        </is>
      </c>
      <c r="O34" t="n">
        <v>9.5</v>
      </c>
      <c r="P34" t="inlineStr"/>
      <c r="Q34" t="inlineStr">
        <is>
          <t>FY2020/21</t>
        </is>
      </c>
      <c r="R34" t="inlineStr">
        <is>
          <t>AUD</t>
        </is>
      </c>
      <c r="S34" t="n">
        <v>9.5</v>
      </c>
      <c r="T34" t="inlineStr">
        <is>
          <t>AUD</t>
        </is>
      </c>
      <c r="U34" t="n">
        <v>0.19</v>
      </c>
      <c r="V34" t="inlineStr">
        <is>
          <t>AUD</t>
        </is>
      </c>
      <c r="W34" t="n">
        <v>82.81999999999999</v>
      </c>
      <c r="X34" t="b">
        <v>1</v>
      </c>
      <c r="Y34" s="3" t="inlineStr">
        <is>
          <t>2020-10-19 | PARCEL |  VGS | 50.0000 unit @ A$82.82 / unit | Total cost base = A$4,150.50 |</t>
        </is>
      </c>
    </row>
    <row r="35">
      <c r="A35" s="5" t="inlineStr">
        <is>
          <t>01a152b9-9704-7326-b433-3e4b91d1afd1</t>
        </is>
      </c>
      <c r="B35" t="inlineStr">
        <is>
          <t>B034</t>
        </is>
      </c>
      <c r="C35" s="5" t="inlineStr">
        <is>
          <t>01a152b9-6e67-75da-8adb-b03e5d07fd21</t>
        </is>
      </c>
      <c r="D35" s="4" t="n">
        <v>46314.24602969459</v>
      </c>
      <c r="E35" s="4" t="n">
        <v>46314.2460296947</v>
      </c>
      <c r="F35" t="b">
        <v>1</v>
      </c>
      <c r="G35" t="n">
        <v/>
      </c>
      <c r="H35" t="inlineStr">
        <is>
          <t>2020-11-17 | Buy | VGS | 50.0000 unit @ A$84.40 / unit</t>
        </is>
      </c>
      <c r="I35" t="inlineStr">
        <is>
          <t>VGS</t>
        </is>
      </c>
      <c r="J35" s="6" t="n">
        <v>44152</v>
      </c>
      <c r="K35" t="n">
        <v>50</v>
      </c>
      <c r="L35" t="inlineStr">
        <is>
          <t>AUD</t>
        </is>
      </c>
      <c r="M35" t="n">
        <v>84.40000000000001</v>
      </c>
      <c r="N35" t="inlineStr">
        <is>
          <t>AUD</t>
        </is>
      </c>
      <c r="O35" t="n">
        <v>9.5</v>
      </c>
      <c r="P35" t="inlineStr"/>
      <c r="Q35" t="inlineStr">
        <is>
          <t>FY2020/21</t>
        </is>
      </c>
      <c r="R35" t="inlineStr">
        <is>
          <t>AUD</t>
        </is>
      </c>
      <c r="S35" t="n">
        <v>9.5</v>
      </c>
      <c r="T35" t="inlineStr">
        <is>
          <t>AUD</t>
        </is>
      </c>
      <c r="U35" t="n">
        <v>0.19</v>
      </c>
      <c r="V35" t="inlineStr">
        <is>
          <t>AUD</t>
        </is>
      </c>
      <c r="W35" t="n">
        <v>84.40000000000001</v>
      </c>
      <c r="X35" t="b">
        <v>1</v>
      </c>
      <c r="Y35" s="3" t="inlineStr">
        <is>
          <t>2020-11-17 | PARCEL |  VGS | 50.0000 unit @ A$84.40 / unit | Total cost base = A$4,229.50 |</t>
        </is>
      </c>
    </row>
    <row r="36">
      <c r="A36" s="5" t="inlineStr">
        <is>
          <t>01a152b9-9721-7083-a635-a243a6c8b797</t>
        </is>
      </c>
      <c r="B36" t="inlineStr">
        <is>
          <t>B035</t>
        </is>
      </c>
      <c r="C36" s="5" t="inlineStr">
        <is>
          <t>01a152b9-6e67-75da-8adb-b03e5d07fd21</t>
        </is>
      </c>
      <c r="D36" s="4" t="n">
        <v>46314.24603002934</v>
      </c>
      <c r="E36" s="4" t="n">
        <v>46314.24603002945</v>
      </c>
      <c r="F36" t="b">
        <v>1</v>
      </c>
      <c r="G36" t="n">
        <v/>
      </c>
      <c r="H36" t="inlineStr">
        <is>
          <t>2020-12-15 | Buy | VGS | 50.0000 unit @ A$84.30 / unit</t>
        </is>
      </c>
      <c r="I36" t="inlineStr">
        <is>
          <t>VGS</t>
        </is>
      </c>
      <c r="J36" s="6" t="n">
        <v>44180</v>
      </c>
      <c r="K36" t="n">
        <v>50</v>
      </c>
      <c r="L36" t="inlineStr">
        <is>
          <t>AUD</t>
        </is>
      </c>
      <c r="M36" t="n">
        <v>84.3</v>
      </c>
      <c r="N36" t="inlineStr">
        <is>
          <t>AUD</t>
        </is>
      </c>
      <c r="O36" t="n">
        <v>9.5</v>
      </c>
      <c r="P36" t="inlineStr"/>
      <c r="Q36" t="inlineStr">
        <is>
          <t>FY2020/21</t>
        </is>
      </c>
      <c r="R36" t="inlineStr">
        <is>
          <t>AUD</t>
        </is>
      </c>
      <c r="S36" t="n">
        <v>9.5</v>
      </c>
      <c r="T36" t="inlineStr">
        <is>
          <t>AUD</t>
        </is>
      </c>
      <c r="U36" t="n">
        <v>0.19</v>
      </c>
      <c r="V36" t="inlineStr">
        <is>
          <t>AUD</t>
        </is>
      </c>
      <c r="W36" t="n">
        <v>84.3</v>
      </c>
      <c r="X36" t="b">
        <v>1</v>
      </c>
      <c r="Y36" s="3" t="inlineStr">
        <is>
          <t>2020-12-15 | PARCEL |  VGS | 50.0000 unit @ A$84.30 / unit | Total cost base = A$4,224.50 |</t>
        </is>
      </c>
    </row>
    <row r="37">
      <c r="A37" s="5" t="inlineStr">
        <is>
          <t>01a152b9-973e-77bd-bd51-189d2114d78a</t>
        </is>
      </c>
      <c r="B37" t="inlineStr">
        <is>
          <t>B036</t>
        </is>
      </c>
      <c r="C37" s="5" t="inlineStr">
        <is>
          <t>01a152b9-6e67-75da-8adb-b03e5d07fd21</t>
        </is>
      </c>
      <c r="D37" s="4" t="n">
        <v>46314.24603036212</v>
      </c>
      <c r="E37" s="4" t="n">
        <v>46314.2460303622</v>
      </c>
      <c r="F37" t="b">
        <v>1</v>
      </c>
      <c r="G37" t="n">
        <v/>
      </c>
      <c r="H37" t="inlineStr">
        <is>
          <t>2021-01-18 | Buy | VGS | 50.0000 unit @ A$84.94 / unit</t>
        </is>
      </c>
      <c r="I37" t="inlineStr">
        <is>
          <t>VGS</t>
        </is>
      </c>
      <c r="J37" s="6" t="n">
        <v>44214</v>
      </c>
      <c r="K37" t="n">
        <v>50</v>
      </c>
      <c r="L37" t="inlineStr">
        <is>
          <t>AUD</t>
        </is>
      </c>
      <c r="M37" t="n">
        <v>84.94</v>
      </c>
      <c r="N37" t="inlineStr">
        <is>
          <t>AUD</t>
        </is>
      </c>
      <c r="O37" t="n">
        <v>9.5</v>
      </c>
      <c r="P37" t="inlineStr"/>
      <c r="Q37" t="inlineStr">
        <is>
          <t>FY2020/21</t>
        </is>
      </c>
      <c r="R37" t="inlineStr">
        <is>
          <t>AUD</t>
        </is>
      </c>
      <c r="S37" t="n">
        <v>9.5</v>
      </c>
      <c r="T37" t="inlineStr">
        <is>
          <t>AUD</t>
        </is>
      </c>
      <c r="U37" t="n">
        <v>0.19</v>
      </c>
      <c r="V37" t="inlineStr">
        <is>
          <t>AUD</t>
        </is>
      </c>
      <c r="W37" t="n">
        <v>84.94</v>
      </c>
      <c r="X37" t="b">
        <v>1</v>
      </c>
      <c r="Y37" s="3" t="inlineStr">
        <is>
          <t>2021-01-18 | PARCEL |  VGS | 50.0000 unit @ A$84.94 / unit | Total cost base = A$4,256.50 |</t>
        </is>
      </c>
    </row>
    <row r="38">
      <c r="A38" s="5" t="inlineStr">
        <is>
          <t>01a152b9-975b-73f2-b819-d7d72c988c82</t>
        </is>
      </c>
      <c r="B38" t="inlineStr">
        <is>
          <t>B037</t>
        </is>
      </c>
      <c r="C38" s="5" t="inlineStr">
        <is>
          <t>01a152b9-6e67-75da-8adb-b03e5d07fd21</t>
        </is>
      </c>
      <c r="D38" s="4" t="n">
        <v>46314.24603069767</v>
      </c>
      <c r="E38" s="4" t="n">
        <v>46314.24603069777</v>
      </c>
      <c r="F38" t="b">
        <v>1</v>
      </c>
      <c r="G38" t="n">
        <v/>
      </c>
      <c r="H38" t="inlineStr">
        <is>
          <t>2021-03-15 | Buy | VGS | 50.0000 unit @ A$87.66 / unit</t>
        </is>
      </c>
      <c r="I38" t="inlineStr">
        <is>
          <t>VGS</t>
        </is>
      </c>
      <c r="J38" s="6" t="n">
        <v>44270</v>
      </c>
      <c r="K38" t="n">
        <v>50</v>
      </c>
      <c r="L38" t="inlineStr">
        <is>
          <t>AUD</t>
        </is>
      </c>
      <c r="M38" t="n">
        <v>87.66</v>
      </c>
      <c r="N38" t="inlineStr">
        <is>
          <t>AUD</t>
        </is>
      </c>
      <c r="O38" t="n">
        <v>9.5</v>
      </c>
      <c r="P38" t="inlineStr"/>
      <c r="Q38" t="inlineStr">
        <is>
          <t>FY2020/21</t>
        </is>
      </c>
      <c r="R38" t="inlineStr">
        <is>
          <t>AUD</t>
        </is>
      </c>
      <c r="S38" t="n">
        <v>9.5</v>
      </c>
      <c r="T38" t="inlineStr">
        <is>
          <t>AUD</t>
        </is>
      </c>
      <c r="U38" t="n">
        <v>0.19</v>
      </c>
      <c r="V38" t="inlineStr">
        <is>
          <t>AUD</t>
        </is>
      </c>
      <c r="W38" t="n">
        <v>87.66</v>
      </c>
      <c r="X38" t="b">
        <v>1</v>
      </c>
      <c r="Y38" s="3" t="inlineStr">
        <is>
          <t>2021-03-15 | PARCEL |  VGS | 50.0000 unit @ A$87.66 / unit | Total cost base = A$4,392.50 |</t>
        </is>
      </c>
    </row>
    <row r="39">
      <c r="A39" s="5" t="inlineStr">
        <is>
          <t>01a152b9-9775-711a-9439-91e920af9200</t>
        </is>
      </c>
      <c r="B39" t="inlineStr">
        <is>
          <t>B038</t>
        </is>
      </c>
      <c r="C39" s="5" t="inlineStr">
        <is>
          <t>01a152b9-6e67-75da-8adb-b03e5d07fd21</t>
        </is>
      </c>
      <c r="D39" s="4" t="n">
        <v>46314.24603100252</v>
      </c>
      <c r="E39" s="4" t="n">
        <v>46314.24603100261</v>
      </c>
      <c r="F39" t="b">
        <v>1</v>
      </c>
      <c r="G39" t="n">
        <v/>
      </c>
      <c r="H39" t="inlineStr">
        <is>
          <t>2021-03-29 | Buy | VGS | 100.0000 unit @ A$88.52 / unit</t>
        </is>
      </c>
      <c r="I39" t="inlineStr">
        <is>
          <t>VGS</t>
        </is>
      </c>
      <c r="J39" s="6" t="n">
        <v>44284</v>
      </c>
      <c r="K39" t="n">
        <v>100</v>
      </c>
      <c r="L39" t="inlineStr">
        <is>
          <t>AUD</t>
        </is>
      </c>
      <c r="M39" t="n">
        <v>88.52</v>
      </c>
      <c r="N39" t="inlineStr">
        <is>
          <t>AUD</t>
        </is>
      </c>
      <c r="O39" t="n">
        <v>9.5</v>
      </c>
      <c r="P39" t="inlineStr"/>
      <c r="Q39" t="inlineStr">
        <is>
          <t>FY2020/21</t>
        </is>
      </c>
      <c r="R39" t="inlineStr">
        <is>
          <t>AUD</t>
        </is>
      </c>
      <c r="S39" t="n">
        <v>9.5</v>
      </c>
      <c r="T39" t="inlineStr">
        <is>
          <t>AUD</t>
        </is>
      </c>
      <c r="U39" t="n">
        <v>0.095</v>
      </c>
      <c r="V39" t="inlineStr">
        <is>
          <t>AUD</t>
        </is>
      </c>
      <c r="W39" t="n">
        <v>88.52</v>
      </c>
      <c r="X39" t="b">
        <v>1</v>
      </c>
      <c r="Y39" s="3" t="inlineStr">
        <is>
          <t>2021-03-29 | PARCEL |  VGS | 100.0000 unit @ A$88.52 / unit | Total cost base = A$8,861.50 |</t>
        </is>
      </c>
    </row>
    <row r="40">
      <c r="A40" s="5" t="inlineStr">
        <is>
          <t>01a152b9-978e-7243-8b9a-de80c6c95c34</t>
        </is>
      </c>
      <c r="B40" t="inlineStr">
        <is>
          <t>B039</t>
        </is>
      </c>
      <c r="C40" s="5" t="inlineStr">
        <is>
          <t>01a152b9-6e67-75da-8adb-b03e5d07fd21</t>
        </is>
      </c>
      <c r="D40" s="4" t="n">
        <v>46314.24603128865</v>
      </c>
      <c r="E40" s="4" t="n">
        <v>46314.24603128875</v>
      </c>
      <c r="F40" t="b">
        <v>1</v>
      </c>
      <c r="G40" t="n">
        <v/>
      </c>
      <c r="H40" t="inlineStr">
        <is>
          <t>2021-04-21 | Buy | VGS | 50.0000 unit @ A$90.95 / unit</t>
        </is>
      </c>
      <c r="I40" t="inlineStr">
        <is>
          <t>VGS</t>
        </is>
      </c>
      <c r="J40" s="6" t="n">
        <v>44307</v>
      </c>
      <c r="K40" t="n">
        <v>50</v>
      </c>
      <c r="L40" t="inlineStr">
        <is>
          <t>AUD</t>
        </is>
      </c>
      <c r="M40" t="n">
        <v>90.95</v>
      </c>
      <c r="N40" t="inlineStr">
        <is>
          <t>AUD</t>
        </is>
      </c>
      <c r="O40" t="n">
        <v>9.5</v>
      </c>
      <c r="P40" t="inlineStr"/>
      <c r="Q40" t="inlineStr">
        <is>
          <t>FY2020/21</t>
        </is>
      </c>
      <c r="R40" t="inlineStr">
        <is>
          <t>AUD</t>
        </is>
      </c>
      <c r="S40" t="n">
        <v>9.5</v>
      </c>
      <c r="T40" t="inlineStr">
        <is>
          <t>AUD</t>
        </is>
      </c>
      <c r="U40" t="n">
        <v>0.19</v>
      </c>
      <c r="V40" t="inlineStr">
        <is>
          <t>AUD</t>
        </is>
      </c>
      <c r="W40" t="n">
        <v>90.95</v>
      </c>
      <c r="X40" t="b">
        <v>1</v>
      </c>
      <c r="Y40" s="3" t="inlineStr">
        <is>
          <t>2021-04-21 | PARCEL |  VGS | 50.0000 unit @ A$90.95 / unit | Total cost base = A$4,557.00 |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2" customWidth="1" min="1" max="1"/>
    <col width="11.2" customWidth="1" min="2" max="2"/>
    <col width="38.2" customWidth="1" min="3" max="3"/>
    <col width="28.2" customWidth="1" min="4" max="4"/>
    <col width="28.2" customWidth="1" min="5" max="5"/>
    <col width="11.2" customWidth="1" min="6" max="6"/>
    <col width="7.2" customWidth="1" min="7" max="7"/>
    <col width="60.2" customWidth="1" min="8" max="8"/>
    <col width="18.2" customWidth="1" min="9" max="9"/>
    <col width="12.2" customWidth="1" min="10" max="10"/>
    <col width="11.2" customWidth="1" min="11" max="11"/>
    <col width="21.2" customWidth="1" min="12" max="12"/>
    <col width="12.2" customWidth="1" min="13" max="13"/>
    <col width="26.2" customWidth="1" min="14" max="14"/>
    <col width="17.2" customWidth="1" min="15" max="15"/>
    <col width="6.2" customWidth="1" min="16" max="16"/>
    <col width="30.2" customWidth="1" min="17" max="17"/>
    <col width="47.2" customWidth="1" min="18" max="18"/>
    <col width="38.2" customWidth="1" min="19" max="19"/>
    <col width="46.2" customWidth="1" min="20" max="20"/>
    <col width="37.2" customWidth="1" min="21" max="21"/>
    <col width="42.2" customWidth="1" min="22" max="22"/>
    <col width="33.2" customWidth="1" min="23" max="23"/>
    <col width="19.2" customWidth="1" min="24" max="24"/>
    <col width="10.2" customWidth="1" min="25" max="25"/>
    <col width="30.2" customWidth="1" min="26" max="26"/>
    <col width="21.2" customWidth="1" min="27" max="27"/>
    <col width="35.2" customWidth="1" min="28" max="28"/>
    <col width="26.2" customWidth="1" min="29" max="29"/>
    <col width="33.2" customWidth="1" min="30" max="30"/>
  </cols>
  <sheetData>
    <row r="1" ht="32" customHeight="1">
      <c r="A1" s="1" t="inlineStr">
        <is>
          <t>id</t>
        </is>
      </c>
      <c r="B1" s="1" t="inlineStr">
        <is>
          <t>legacy_id</t>
        </is>
      </c>
      <c r="C1" s="1" t="inlineStr">
        <is>
          <t>account_id</t>
        </is>
      </c>
      <c r="D1" s="1" t="inlineStr">
        <is>
          <t>created_at</t>
        </is>
      </c>
      <c r="E1" s="1" t="inlineStr">
        <is>
          <t>updated_at</t>
        </is>
      </c>
      <c r="F1" s="1" t="inlineStr">
        <is>
          <t>is_active</t>
        </is>
      </c>
      <c r="G1" s="1" t="inlineStr">
        <is>
          <t>notes</t>
        </is>
      </c>
      <c r="H1" s="1" t="inlineStr">
        <is>
          <t>description</t>
        </is>
      </c>
      <c r="I1" s="1" t="inlineStr">
        <is>
          <t>instrument__name</t>
        </is>
      </c>
      <c r="J1" s="1" t="inlineStr">
        <is>
          <t>date</t>
        </is>
      </c>
      <c r="K1" s="1" t="inlineStr">
        <is>
          <t>quantity</t>
        </is>
      </c>
      <c r="L1" s="1" t="inlineStr">
        <is>
          <t>unit_price_currency</t>
        </is>
      </c>
      <c r="M1" s="1" t="inlineStr">
        <is>
          <t>unit_price</t>
        </is>
      </c>
      <c r="N1" s="1" t="inlineStr">
        <is>
          <t>total_brokerage_currency</t>
        </is>
      </c>
      <c r="O1" s="1" t="inlineStr">
        <is>
          <t>total_brokerage</t>
        </is>
      </c>
      <c r="P1" s="1" t="inlineStr">
        <is>
          <t>file</t>
        </is>
      </c>
      <c r="Q1" s="1" t="inlineStr">
        <is>
          <t>calculated_fiscal_year__name</t>
        </is>
      </c>
      <c r="R1" s="1" t="inlineStr">
        <is>
          <t>calculated_total_brokerage_converted_currency</t>
        </is>
      </c>
      <c r="S1" s="1" t="inlineStr">
        <is>
          <t>calculated_total_brokerage_converted</t>
        </is>
      </c>
      <c r="T1" s="1" t="inlineStr">
        <is>
          <t>calculated_unit_brokerage_converted_currency</t>
        </is>
      </c>
      <c r="U1" s="1" t="inlineStr">
        <is>
          <t>calculated_unit_brokerage_converted</t>
        </is>
      </c>
      <c r="V1" s="1" t="inlineStr">
        <is>
          <t>calculated_unit_price_converted_currency</t>
        </is>
      </c>
      <c r="W1" s="1" t="inlineStr">
        <is>
          <t>calculated_unit_price_converted</t>
        </is>
      </c>
      <c r="X1" s="1" t="inlineStr">
        <is>
          <t>_creation_handled</t>
        </is>
      </c>
      <c r="Y1" s="1" t="inlineStr">
        <is>
          <t>strategy</t>
        </is>
      </c>
      <c r="Z1" s="1" t="inlineStr">
        <is>
          <t>calculated_proceeds_currency</t>
        </is>
      </c>
      <c r="AA1" s="1" t="inlineStr">
        <is>
          <t>calculated_proceeds</t>
        </is>
      </c>
      <c r="AB1" s="1" t="inlineStr">
        <is>
          <t>calculated_unit_proceeds_currency</t>
        </is>
      </c>
      <c r="AC1" s="1" t="inlineStr">
        <is>
          <t>calculated_unit_proceeds</t>
        </is>
      </c>
      <c r="AD1" s="1" t="inlineStr">
        <is>
          <t>calculated_unallocated_quantity</t>
        </is>
      </c>
    </row>
    <row r="2">
      <c r="A2" s="5" t="inlineStr">
        <is>
          <t>01a152b9-9dd9-7425-a1d1-cb0364de5dbd</t>
        </is>
      </c>
      <c r="B2" t="inlineStr">
        <is>
          <t>S001</t>
        </is>
      </c>
      <c r="C2" s="5" t="inlineStr">
        <is>
          <t>01a152b9-6e67-75da-8adb-b03e5d07fd21</t>
        </is>
      </c>
      <c r="D2" s="4" t="n">
        <v>46314.24604994117</v>
      </c>
      <c r="E2" s="4" t="n">
        <v>46314.24605195835</v>
      </c>
      <c r="F2" t="b">
        <v>1</v>
      </c>
      <c r="H2" t="inlineStr">
        <is>
          <t>2022-06-30 | Sell | VDHG | 843.0000 unit @ A$54.74 / unit</t>
        </is>
      </c>
      <c r="I2" t="inlineStr">
        <is>
          <t>VDHG</t>
        </is>
      </c>
      <c r="J2" s="6" t="n">
        <v>44742</v>
      </c>
      <c r="K2" t="n">
        <v>843</v>
      </c>
      <c r="L2" t="inlineStr">
        <is>
          <t>AUD</t>
        </is>
      </c>
      <c r="M2" t="n">
        <v>54.74</v>
      </c>
      <c r="N2" t="inlineStr">
        <is>
          <t>AUD</t>
        </is>
      </c>
      <c r="O2" t="n">
        <v>9.5</v>
      </c>
      <c r="P2" t="inlineStr"/>
      <c r="Q2" t="inlineStr">
        <is>
          <t>FY2021/22</t>
        </is>
      </c>
      <c r="R2" t="inlineStr">
        <is>
          <t>AUD</t>
        </is>
      </c>
      <c r="S2" t="n">
        <v>9.5</v>
      </c>
      <c r="T2" t="inlineStr">
        <is>
          <t>AUD</t>
        </is>
      </c>
      <c r="U2" t="n">
        <v>0.011269</v>
      </c>
      <c r="V2" t="inlineStr">
        <is>
          <t>AUD</t>
        </is>
      </c>
      <c r="W2" t="n">
        <v>54.74</v>
      </c>
      <c r="X2" t="b">
        <v>1</v>
      </c>
      <c r="Y2" t="inlineStr">
        <is>
          <t>FIFO</t>
        </is>
      </c>
      <c r="Z2" t="inlineStr">
        <is>
          <t>AUD</t>
        </is>
      </c>
      <c r="AA2" t="n">
        <v>46136.32</v>
      </c>
      <c r="AB2" t="inlineStr">
        <is>
          <t>AUD</t>
        </is>
      </c>
      <c r="AC2" t="n">
        <v>54.7287</v>
      </c>
      <c r="AD2" t="n">
        <v>0</v>
      </c>
    </row>
    <row r="3">
      <c r="A3" s="5" t="inlineStr">
        <is>
          <t>01a152b9-a0d1-7675-a126-6ddbd81a1037</t>
        </is>
      </c>
      <c r="B3" t="inlineStr">
        <is>
          <t>S002</t>
        </is>
      </c>
      <c r="C3" s="5" t="inlineStr">
        <is>
          <t>01a152b9-6e67-75da-8adb-b03e5d07fd21</t>
        </is>
      </c>
      <c r="D3" s="4" t="n">
        <v>46314.24605872885</v>
      </c>
      <c r="E3" s="4" t="n">
        <v>46314.24606062503</v>
      </c>
      <c r="F3" t="b">
        <v>1</v>
      </c>
      <c r="H3" t="inlineStr">
        <is>
          <t>2022-07-05 | Sell | VDHG | 614.0000 unit @ A$55.20 / unit</t>
        </is>
      </c>
      <c r="I3" t="inlineStr">
        <is>
          <t>VDHG</t>
        </is>
      </c>
      <c r="J3" s="6" t="n">
        <v>44747</v>
      </c>
      <c r="K3" t="n">
        <v>614</v>
      </c>
      <c r="L3" t="inlineStr">
        <is>
          <t>AUD</t>
        </is>
      </c>
      <c r="M3" t="n">
        <v>55.2</v>
      </c>
      <c r="N3" t="inlineStr">
        <is>
          <t>AUD</t>
        </is>
      </c>
      <c r="O3" t="n">
        <v>9.5</v>
      </c>
      <c r="P3" t="inlineStr"/>
      <c r="Q3" t="inlineStr">
        <is>
          <t>FY2022/23</t>
        </is>
      </c>
      <c r="R3" t="inlineStr">
        <is>
          <t>AUD</t>
        </is>
      </c>
      <c r="S3" t="n">
        <v>9.5</v>
      </c>
      <c r="T3" t="inlineStr">
        <is>
          <t>AUD</t>
        </is>
      </c>
      <c r="U3" t="n">
        <v>0.015472</v>
      </c>
      <c r="V3" t="inlineStr">
        <is>
          <t>AUD</t>
        </is>
      </c>
      <c r="W3" t="n">
        <v>55.2</v>
      </c>
      <c r="X3" t="b">
        <v>1</v>
      </c>
      <c r="Y3" t="inlineStr">
        <is>
          <t>FIFO</t>
        </is>
      </c>
      <c r="Z3" t="inlineStr">
        <is>
          <t>AUD</t>
        </is>
      </c>
      <c r="AA3" t="n">
        <v>33883.3</v>
      </c>
      <c r="AB3" t="inlineStr">
        <is>
          <t>AUD</t>
        </is>
      </c>
      <c r="AC3" t="n">
        <v>55.1845</v>
      </c>
      <c r="AD3" t="n">
        <v>0</v>
      </c>
    </row>
    <row r="4">
      <c r="A4" s="5" t="inlineStr">
        <is>
          <t>01a152b9-a190-713f-aedd-ef36ed5a01a0</t>
        </is>
      </c>
      <c r="B4" t="inlineStr">
        <is>
          <t>S003</t>
        </is>
      </c>
      <c r="C4" s="5" t="inlineStr">
        <is>
          <t>01a152b9-6e67-75da-8adb-b03e5d07fd21</t>
        </is>
      </c>
      <c r="D4" s="4" t="n">
        <v>46314.24606094496</v>
      </c>
      <c r="E4" s="4" t="n">
        <v>46314.24606187078</v>
      </c>
      <c r="F4" t="b">
        <v>1</v>
      </c>
      <c r="H4" t="inlineStr">
        <is>
          <t>2022-07-07 | Sell | VDHG | 1000.0000 unit @ A$52.95 / unit</t>
        </is>
      </c>
      <c r="I4" t="inlineStr">
        <is>
          <t>VDHG</t>
        </is>
      </c>
      <c r="J4" s="6" t="n">
        <v>44749</v>
      </c>
      <c r="K4" t="n">
        <v>1000</v>
      </c>
      <c r="L4" t="inlineStr">
        <is>
          <t>AUD</t>
        </is>
      </c>
      <c r="M4" t="n">
        <v>52.95</v>
      </c>
      <c r="N4" t="inlineStr">
        <is>
          <t>AUD</t>
        </is>
      </c>
      <c r="O4" t="n">
        <v>9.5</v>
      </c>
      <c r="P4" t="inlineStr"/>
      <c r="Q4" t="inlineStr">
        <is>
          <t>FY2022/23</t>
        </is>
      </c>
      <c r="R4" t="inlineStr">
        <is>
          <t>AUD</t>
        </is>
      </c>
      <c r="S4" t="n">
        <v>9.5</v>
      </c>
      <c r="T4" t="inlineStr">
        <is>
          <t>AUD</t>
        </is>
      </c>
      <c r="U4" t="n">
        <v>0.0095</v>
      </c>
      <c r="V4" t="inlineStr">
        <is>
          <t>AUD</t>
        </is>
      </c>
      <c r="W4" t="n">
        <v>52.95</v>
      </c>
      <c r="X4" t="b">
        <v>1</v>
      </c>
      <c r="Y4" t="inlineStr">
        <is>
          <t>FIFO</t>
        </is>
      </c>
      <c r="Z4" t="inlineStr">
        <is>
          <t>AUD</t>
        </is>
      </c>
      <c r="AA4" t="n">
        <v>52940.5</v>
      </c>
      <c r="AB4" t="inlineStr">
        <is>
          <t>AUD</t>
        </is>
      </c>
      <c r="AC4" t="n">
        <v>52.9405</v>
      </c>
      <c r="AD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2" customWidth="1" min="1" max="1"/>
    <col width="11.2" customWidth="1" min="2" max="2"/>
    <col width="38.2" customWidth="1" min="3" max="3"/>
    <col width="28.2" customWidth="1" min="4" max="4"/>
    <col width="28.2" customWidth="1" min="5" max="5"/>
    <col width="11.2" customWidth="1" min="6" max="6"/>
    <col width="7.2" customWidth="1" min="7" max="7"/>
    <col width="45.2" customWidth="1" min="8" max="8"/>
    <col width="38.2" customWidth="1" min="9" max="9"/>
    <col width="17.2" customWidth="1" min="10" max="10"/>
    <col width="29.2" customWidth="1" min="11" max="11"/>
    <col width="17.2" customWidth="1" min="12" max="12"/>
    <col width="19.2" customWidth="1" min="13" max="13"/>
    <col width="12.2" customWidth="1" min="14" max="14"/>
    <col width="28.2" customWidth="1" min="15" max="15"/>
    <col width="31.2" customWidth="1" min="16" max="16"/>
    <col width="20.2" customWidth="1" min="17" max="17"/>
    <col width="45.2" customWidth="1" min="18" max="18"/>
    <col width="36.2" customWidth="1" min="19" max="19"/>
    <col width="37.2" customWidth="1" min="20" max="20"/>
    <col width="28.2" customWidth="1" min="21" max="21"/>
    <col width="36.2" customWidth="1" min="22" max="22"/>
    <col width="27.2" customWidth="1" min="23" max="23"/>
    <col width="38.2" customWidth="1" min="24" max="24"/>
  </cols>
  <sheetData>
    <row r="1" ht="32" customHeight="1">
      <c r="A1" s="1" t="inlineStr">
        <is>
          <t>id</t>
        </is>
      </c>
      <c r="B1" s="1" t="inlineStr">
        <is>
          <t>legacy_id</t>
        </is>
      </c>
      <c r="C1" s="1" t="inlineStr">
        <is>
          <t>account_id</t>
        </is>
      </c>
      <c r="D1" s="1" t="inlineStr">
        <is>
          <t>created_at</t>
        </is>
      </c>
      <c r="E1" s="1" t="inlineStr">
        <is>
          <t>updated_at</t>
        </is>
      </c>
      <c r="F1" s="1" t="inlineStr">
        <is>
          <t>is_active</t>
        </is>
      </c>
      <c r="G1" s="1" t="inlineStr">
        <is>
          <t>notes</t>
        </is>
      </c>
      <c r="H1" s="1" t="inlineStr">
        <is>
          <t>description</t>
        </is>
      </c>
      <c r="I1" s="1" t="inlineStr">
        <is>
          <t>buy_id</t>
        </is>
      </c>
      <c r="J1" s="1" t="inlineStr">
        <is>
          <t>parcel_quantity</t>
        </is>
      </c>
      <c r="K1" s="1" t="inlineStr">
        <is>
          <t>cumulative_split_multiplier</t>
        </is>
      </c>
      <c r="L1" s="1" t="inlineStr">
        <is>
          <t>activation_date</t>
        </is>
      </c>
      <c r="M1" s="1" t="inlineStr">
        <is>
          <t>deactivation_date</t>
        </is>
      </c>
      <c r="N1" s="1" t="inlineStr">
        <is>
          <t>sale_date</t>
        </is>
      </c>
      <c r="O1" s="1" t="inlineStr">
        <is>
          <t>calculated_instrument_name</t>
        </is>
      </c>
      <c r="P1" s="1" t="inlineStr">
        <is>
          <t>calculated_remaining_quantity</t>
        </is>
      </c>
      <c r="Q1" s="1" t="inlineStr">
        <is>
          <t>calculated_is_sold</t>
        </is>
      </c>
      <c r="R1" s="1" t="inlineStr">
        <is>
          <t>calculated_adjusted_unit_brokerage_currency</t>
        </is>
      </c>
      <c r="S1" s="1" t="inlineStr">
        <is>
          <t>calculated_adjusted_unit_brokerage</t>
        </is>
      </c>
      <c r="T1" s="1" t="inlineStr">
        <is>
          <t>calculated_total_cost_base_currency</t>
        </is>
      </c>
      <c r="U1" s="1" t="inlineStr">
        <is>
          <t>calculated_total_cost_base</t>
        </is>
      </c>
      <c r="V1" s="1" t="inlineStr">
        <is>
          <t>calculated_unit_cost_base_currency</t>
        </is>
      </c>
      <c r="W1" s="1" t="inlineStr">
        <is>
          <t>calculated_unit_cost_base</t>
        </is>
      </c>
      <c r="X1" s="1" t="inlineStr">
        <is>
          <t>parent_parcel_id</t>
        </is>
      </c>
    </row>
    <row r="2">
      <c r="A2" s="5" t="inlineStr">
        <is>
          <t>01a152b9-9310-73e5-9fb3-d0a2d881b358</t>
        </is>
      </c>
      <c r="C2" s="5" t="inlineStr">
        <is>
          <t>01a152b9-6e67-75da-8adb-b03e5d07fd21</t>
        </is>
      </c>
      <c r="D2" s="4" t="n">
        <v>46314.24601796941</v>
      </c>
      <c r="E2" s="4" t="n">
        <v>46314.24605360811</v>
      </c>
      <c r="F2" t="b">
        <v>1</v>
      </c>
      <c r="H2" t="inlineStr">
        <is>
          <t>2018-03-29 | PARCEL |  VDHG | 121.0000 unit</t>
        </is>
      </c>
      <c r="I2" s="5" t="inlineStr">
        <is>
          <t>01a152b9-930e-76a5-a206-8651f5a88b67</t>
        </is>
      </c>
      <c r="J2" t="n">
        <v>121</v>
      </c>
      <c r="K2" t="n">
        <v>1</v>
      </c>
      <c r="L2" s="6" t="n">
        <v>43188</v>
      </c>
      <c r="N2" s="6" t="n">
        <v>44742</v>
      </c>
      <c r="O2" t="inlineStr">
        <is>
          <t>VDHG</t>
        </is>
      </c>
      <c r="P2" t="n">
        <v>0</v>
      </c>
      <c r="Q2" t="b">
        <v>1</v>
      </c>
      <c r="R2" t="inlineStr">
        <is>
          <t>AUD</t>
        </is>
      </c>
      <c r="S2" t="n">
        <v>0.078512</v>
      </c>
      <c r="T2" t="inlineStr">
        <is>
          <t>AUD</t>
        </is>
      </c>
      <c r="U2" t="n">
        <v>6269.8866</v>
      </c>
      <c r="V2" t="inlineStr">
        <is>
          <t>AUD</t>
        </is>
      </c>
      <c r="W2" t="n">
        <v>51.817245</v>
      </c>
      <c r="X2" t="n">
        <v/>
      </c>
    </row>
    <row r="3">
      <c r="A3" s="5" t="inlineStr">
        <is>
          <t>01a152b9-9330-70a0-a8f8-e4bd1c0a37d1</t>
        </is>
      </c>
      <c r="C3" s="5" t="inlineStr">
        <is>
          <t>01a152b9-6e67-75da-8adb-b03e5d07fd21</t>
        </is>
      </c>
      <c r="D3" s="4" t="n">
        <v>46314.24601833638</v>
      </c>
      <c r="E3" s="4" t="n">
        <v>46314.24605400964</v>
      </c>
      <c r="F3" t="b">
        <v>1</v>
      </c>
      <c r="H3" t="inlineStr">
        <is>
          <t>2018-04-24 | PARCEL |  VDHG | 209.0000 unit</t>
        </is>
      </c>
      <c r="I3" s="5" t="inlineStr">
        <is>
          <t>01a152b9-932f-71ec-b951-af21325f2f72</t>
        </is>
      </c>
      <c r="J3" t="n">
        <v>209</v>
      </c>
      <c r="K3" t="n">
        <v>1</v>
      </c>
      <c r="L3" s="6" t="n">
        <v>43214</v>
      </c>
      <c r="N3" s="6" t="n">
        <v>44742</v>
      </c>
      <c r="O3" t="inlineStr">
        <is>
          <t>VDHG</t>
        </is>
      </c>
      <c r="P3" t="n">
        <v>0</v>
      </c>
      <c r="Q3" t="b">
        <v>1</v>
      </c>
      <c r="R3" t="inlineStr">
        <is>
          <t>AUD</t>
        </is>
      </c>
      <c r="S3" t="n">
        <v>0.045455</v>
      </c>
      <c r="T3" t="inlineStr">
        <is>
          <t>AUD</t>
        </is>
      </c>
      <c r="U3" t="n">
        <v>10570.8842</v>
      </c>
      <c r="V3" t="inlineStr">
        <is>
          <t>AUD</t>
        </is>
      </c>
      <c r="W3" t="n">
        <v>50.578393</v>
      </c>
      <c r="X3" t="n">
        <v/>
      </c>
    </row>
    <row r="4">
      <c r="A4" s="5" t="inlineStr">
        <is>
          <t>01a152b9-934b-7247-b088-6dad534183ec</t>
        </is>
      </c>
      <c r="C4" s="5" t="inlineStr">
        <is>
          <t>01a152b9-6e67-75da-8adb-b03e5d07fd21</t>
        </is>
      </c>
      <c r="D4" s="4" t="n">
        <v>46314.24601865057</v>
      </c>
      <c r="E4" s="4" t="n">
        <v>46314.24605372099</v>
      </c>
      <c r="F4" t="b">
        <v>1</v>
      </c>
      <c r="H4" t="inlineStr">
        <is>
          <t>2019-03-29 | PARCEL |  VDHG | 238.0000 unit</t>
        </is>
      </c>
      <c r="I4" s="5" t="inlineStr">
        <is>
          <t>01a152b9-9349-71d4-a1a4-446ca10de05b</t>
        </is>
      </c>
      <c r="J4" t="n">
        <v>238</v>
      </c>
      <c r="K4" t="n">
        <v>1</v>
      </c>
      <c r="L4" s="6" t="n">
        <v>43553</v>
      </c>
      <c r="N4" s="6" t="n">
        <v>44742</v>
      </c>
      <c r="O4" t="inlineStr">
        <is>
          <t>VDHG</t>
        </is>
      </c>
      <c r="P4" t="n">
        <v>0</v>
      </c>
      <c r="Q4" t="b">
        <v>1</v>
      </c>
      <c r="R4" t="inlineStr">
        <is>
          <t>AUD</t>
        </is>
      </c>
      <c r="S4" t="n">
        <v>0.039916</v>
      </c>
      <c r="T4" t="inlineStr">
        <is>
          <t>AUD</t>
        </is>
      </c>
      <c r="U4" t="n">
        <v>12586.2623</v>
      </c>
      <c r="V4" t="inlineStr">
        <is>
          <t>AUD</t>
        </is>
      </c>
      <c r="W4" t="n">
        <v>52.883455</v>
      </c>
      <c r="X4" t="n">
        <v/>
      </c>
    </row>
    <row r="5">
      <c r="A5" s="5" t="inlineStr">
        <is>
          <t>01a152b9-936b-763f-b2ea-0377d064edc9</t>
        </is>
      </c>
      <c r="C5" s="5" t="inlineStr">
        <is>
          <t>01a152b9-6e67-75da-8adb-b03e5d07fd21</t>
        </is>
      </c>
      <c r="D5" s="4" t="n">
        <v>46314.24601902514</v>
      </c>
      <c r="E5" s="4" t="n">
        <v>46314.24605366995</v>
      </c>
      <c r="F5" t="b">
        <v>1</v>
      </c>
      <c r="H5" t="inlineStr">
        <is>
          <t>2019-08-06 | PARCEL |  VDHG | 210.0000 unit</t>
        </is>
      </c>
      <c r="I5" s="5" t="inlineStr">
        <is>
          <t>01a152b9-936a-7333-a2f3-0672697b503f</t>
        </is>
      </c>
      <c r="J5" t="n">
        <v>210</v>
      </c>
      <c r="K5" t="n">
        <v>1</v>
      </c>
      <c r="L5" s="6" t="n">
        <v>43683</v>
      </c>
      <c r="N5" s="6" t="n">
        <v>44742</v>
      </c>
      <c r="O5" t="inlineStr">
        <is>
          <t>VDHG</t>
        </is>
      </c>
      <c r="P5" t="n">
        <v>0</v>
      </c>
      <c r="Q5" t="b">
        <v>1</v>
      </c>
      <c r="R5" t="inlineStr">
        <is>
          <t>AUD</t>
        </is>
      </c>
      <c r="S5" t="n">
        <v>0.045238</v>
      </c>
      <c r="T5" t="inlineStr">
        <is>
          <t>AUD</t>
        </is>
      </c>
      <c r="U5" t="n">
        <v>11914.496</v>
      </c>
      <c r="V5" t="inlineStr">
        <is>
          <t>AUD</t>
        </is>
      </c>
      <c r="W5" t="n">
        <v>56.735695</v>
      </c>
      <c r="X5" t="n">
        <v/>
      </c>
    </row>
    <row r="6">
      <c r="A6" s="5" t="inlineStr">
        <is>
          <t>01a152b9-9386-7582-9aa2-0771b5a4639a</t>
        </is>
      </c>
      <c r="C6" s="5" t="inlineStr">
        <is>
          <t>01a152b9-6e67-75da-8adb-b03e5d07fd21</t>
        </is>
      </c>
      <c r="D6" s="4" t="n">
        <v>46314.24601933364</v>
      </c>
      <c r="E6" s="4" t="n">
        <v>46314.24605175883</v>
      </c>
      <c r="F6" t="b">
        <v>0</v>
      </c>
      <c r="H6" t="inlineStr">
        <is>
          <t>2019-09-30 | PARCEL |  VDHG | 344.0000 unit</t>
        </is>
      </c>
      <c r="I6" s="5" t="inlineStr">
        <is>
          <t>01a152b9-9385-7669-9dc7-938a9e56f393</t>
        </is>
      </c>
      <c r="J6" t="n">
        <v>344</v>
      </c>
      <c r="K6" t="n">
        <v>1</v>
      </c>
      <c r="L6" s="6" t="n">
        <v>43738</v>
      </c>
      <c r="M6" s="6" t="n">
        <v>44742</v>
      </c>
      <c r="O6" t="inlineStr">
        <is>
          <t>VDHG</t>
        </is>
      </c>
      <c r="P6" t="n">
        <v>0</v>
      </c>
      <c r="Q6" t="b">
        <v>1</v>
      </c>
      <c r="R6" t="inlineStr">
        <is>
          <t>AUD</t>
        </is>
      </c>
      <c r="S6" t="n">
        <v>0</v>
      </c>
      <c r="T6" t="inlineStr">
        <is>
          <t>AUD</t>
        </is>
      </c>
      <c r="U6" t="n">
        <v>0</v>
      </c>
      <c r="V6" t="inlineStr">
        <is>
          <t>AUD</t>
        </is>
      </c>
      <c r="W6" t="n">
        <v>0</v>
      </c>
      <c r="X6" t="n">
        <v/>
      </c>
    </row>
    <row r="7">
      <c r="A7" s="5" t="inlineStr">
        <is>
          <t>01a152b9-93a0-7020-914d-afff81d3a029</t>
        </is>
      </c>
      <c r="C7" s="5" t="inlineStr">
        <is>
          <t>01a152b9-6e67-75da-8adb-b03e5d07fd21</t>
        </is>
      </c>
      <c r="D7" s="4" t="n">
        <v>46314.2460196322</v>
      </c>
      <c r="E7" s="4" t="n">
        <v>46314.24605917245</v>
      </c>
      <c r="F7" t="b">
        <v>1</v>
      </c>
      <c r="H7" t="inlineStr">
        <is>
          <t>2019-10-21 | PARCEL |  VDHG | 257.0000 unit</t>
        </is>
      </c>
      <c r="I7" s="5" t="inlineStr">
        <is>
          <t>01a152b9-939f-70b9-b79f-99c79cb22c94</t>
        </is>
      </c>
      <c r="J7" t="n">
        <v>257</v>
      </c>
      <c r="K7" t="n">
        <v>1</v>
      </c>
      <c r="L7" s="6" t="n">
        <v>43759</v>
      </c>
      <c r="N7" s="6" t="n">
        <v>44747</v>
      </c>
      <c r="O7" t="inlineStr">
        <is>
          <t>VDHG</t>
        </is>
      </c>
      <c r="P7" t="n">
        <v>0</v>
      </c>
      <c r="Q7" t="b">
        <v>1</v>
      </c>
      <c r="R7" t="inlineStr">
        <is>
          <t>AUD</t>
        </is>
      </c>
      <c r="S7" t="n">
        <v>0.036965</v>
      </c>
      <c r="T7" t="inlineStr">
        <is>
          <t>AUD</t>
        </is>
      </c>
      <c r="U7" t="n">
        <v>15014.47</v>
      </c>
      <c r="V7" t="inlineStr">
        <is>
          <t>AUD</t>
        </is>
      </c>
      <c r="W7" t="n">
        <v>58.422062</v>
      </c>
      <c r="X7" t="n">
        <v/>
      </c>
    </row>
    <row r="8">
      <c r="A8" s="5" t="inlineStr">
        <is>
          <t>01a152b9-93ba-7162-b94e-4a96e2f43e27</t>
        </is>
      </c>
      <c r="C8" s="5" t="inlineStr">
        <is>
          <t>01a152b9-6e67-75da-8adb-b03e5d07fd21</t>
        </is>
      </c>
      <c r="D8" s="4" t="n">
        <v>46314.24601993876</v>
      </c>
      <c r="E8" s="4" t="n">
        <v>46314.24606041646</v>
      </c>
      <c r="F8" t="b">
        <v>0</v>
      </c>
      <c r="H8" t="inlineStr">
        <is>
          <t>2020-04-02 | PARCEL |  VDHG | 291.0000 unit</t>
        </is>
      </c>
      <c r="I8" s="5" t="inlineStr">
        <is>
          <t>01a152b9-93b9-717c-8479-12853d9d78ff</t>
        </is>
      </c>
      <c r="J8" t="n">
        <v>291</v>
      </c>
      <c r="K8" t="n">
        <v>1</v>
      </c>
      <c r="L8" s="6" t="n">
        <v>43923</v>
      </c>
      <c r="M8" s="6" t="n">
        <v>44747</v>
      </c>
      <c r="O8" t="inlineStr">
        <is>
          <t>VDHG</t>
        </is>
      </c>
      <c r="P8" t="n">
        <v>0</v>
      </c>
      <c r="Q8" t="b">
        <v>1</v>
      </c>
      <c r="R8" t="inlineStr">
        <is>
          <t>AUD</t>
        </is>
      </c>
      <c r="S8" t="n">
        <v>0</v>
      </c>
      <c r="T8" t="inlineStr">
        <is>
          <t>AUD</t>
        </is>
      </c>
      <c r="U8" t="n">
        <v>0</v>
      </c>
      <c r="V8" t="inlineStr">
        <is>
          <t>AUD</t>
        </is>
      </c>
      <c r="W8" t="n">
        <v>0</v>
      </c>
      <c r="X8" t="n">
        <v/>
      </c>
    </row>
    <row r="9">
      <c r="A9" s="5" t="inlineStr">
        <is>
          <t>01a152b9-93d8-741c-b03f-96b816de68cf</t>
        </is>
      </c>
      <c r="C9" s="5" t="inlineStr">
        <is>
          <t>01a152b9-6e67-75da-8adb-b03e5d07fd21</t>
        </is>
      </c>
      <c r="D9" s="4" t="n">
        <v>46314.24602028257</v>
      </c>
      <c r="E9" s="4" t="n">
        <v>46314.24606132878</v>
      </c>
      <c r="F9" t="b">
        <v>1</v>
      </c>
      <c r="H9" t="inlineStr">
        <is>
          <t>2020-05-05 | PARCEL |  VDHG | 233.0000 unit</t>
        </is>
      </c>
      <c r="I9" s="5" t="inlineStr">
        <is>
          <t>01a152b9-93d7-7607-b7c6-0685cb21a90b</t>
        </is>
      </c>
      <c r="J9" t="n">
        <v>233</v>
      </c>
      <c r="K9" t="n">
        <v>1</v>
      </c>
      <c r="L9" s="6" t="n">
        <v>43956</v>
      </c>
      <c r="N9" s="6" t="n">
        <v>44749</v>
      </c>
      <c r="O9" t="inlineStr">
        <is>
          <t>VDHG</t>
        </is>
      </c>
      <c r="P9" t="n">
        <v>0</v>
      </c>
      <c r="Q9" t="b">
        <v>1</v>
      </c>
      <c r="R9" t="inlineStr">
        <is>
          <t>AUD</t>
        </is>
      </c>
      <c r="S9" t="n">
        <v>0.040773</v>
      </c>
      <c r="T9" t="inlineStr">
        <is>
          <t>AUD</t>
        </is>
      </c>
      <c r="U9" t="n">
        <v>11356.8192</v>
      </c>
      <c r="V9" t="inlineStr">
        <is>
          <t>AUD</t>
        </is>
      </c>
      <c r="W9" t="n">
        <v>48.741713</v>
      </c>
      <c r="X9" t="n">
        <v/>
      </c>
    </row>
    <row r="10">
      <c r="A10" s="5" t="inlineStr">
        <is>
          <t>01a152b9-942e-76dc-a2de-ceec571c1474</t>
        </is>
      </c>
      <c r="C10" s="5" t="inlineStr">
        <is>
          <t>01a152b9-6e67-75da-8adb-b03e5d07fd21</t>
        </is>
      </c>
      <c r="D10" s="4" t="n">
        <v>46314.24602127736</v>
      </c>
      <c r="E10" s="4" t="n">
        <v>46314.24606157117</v>
      </c>
      <c r="F10" t="b">
        <v>1</v>
      </c>
      <c r="H10" t="inlineStr">
        <is>
          <t>2020-06-08 | PARCEL |  VDHG | 400.0000 unit</t>
        </is>
      </c>
      <c r="I10" s="5" t="inlineStr">
        <is>
          <t>01a152b9-942d-721c-89d5-7d0f8660454c</t>
        </is>
      </c>
      <c r="J10" t="n">
        <v>400</v>
      </c>
      <c r="K10" t="n">
        <v>1</v>
      </c>
      <c r="L10" s="6" t="n">
        <v>43990</v>
      </c>
      <c r="N10" s="6" t="n">
        <v>44749</v>
      </c>
      <c r="O10" t="inlineStr">
        <is>
          <t>VDHG</t>
        </is>
      </c>
      <c r="P10" t="n">
        <v>0</v>
      </c>
      <c r="Q10" t="b">
        <v>1</v>
      </c>
      <c r="R10" t="inlineStr">
        <is>
          <t>AUD</t>
        </is>
      </c>
      <c r="S10" t="n">
        <v>0.02375</v>
      </c>
      <c r="T10" t="inlineStr">
        <is>
          <t>AUD</t>
        </is>
      </c>
      <c r="U10" t="n">
        <v>21593.5489</v>
      </c>
      <c r="V10" t="inlineStr">
        <is>
          <t>AUD</t>
        </is>
      </c>
      <c r="W10" t="n">
        <v>53.983872</v>
      </c>
      <c r="X10" t="n">
        <v/>
      </c>
    </row>
    <row r="11">
      <c r="A11" s="5" t="inlineStr">
        <is>
          <t>01a152b9-944e-753e-b691-b12012b84d66</t>
        </is>
      </c>
      <c r="C11" s="5" t="inlineStr">
        <is>
          <t>01a152b9-6e67-75da-8adb-b03e5d07fd21</t>
        </is>
      </c>
      <c r="D11" s="4" t="n">
        <v>46314.2460216523</v>
      </c>
      <c r="E11" s="4" t="n">
        <v>46314.24606179893</v>
      </c>
      <c r="F11" t="b">
        <v>1</v>
      </c>
      <c r="H11" t="inlineStr">
        <is>
          <t>2020-06-26 | PARCEL |  VDHG | 154.0000 unit</t>
        </is>
      </c>
      <c r="I11" s="5" t="inlineStr">
        <is>
          <t>01a152b9-944d-7661-9576-87d9b8a34bc7</t>
        </is>
      </c>
      <c r="J11" t="n">
        <v>154</v>
      </c>
      <c r="K11" t="n">
        <v>1</v>
      </c>
      <c r="L11" s="6" t="n">
        <v>44008</v>
      </c>
      <c r="N11" s="6" t="n">
        <v>44749</v>
      </c>
      <c r="O11" t="inlineStr">
        <is>
          <t>VDHG</t>
        </is>
      </c>
      <c r="P11" t="n">
        <v>0</v>
      </c>
      <c r="Q11" t="b">
        <v>1</v>
      </c>
      <c r="R11" t="inlineStr">
        <is>
          <t>AUD</t>
        </is>
      </c>
      <c r="S11" t="n">
        <v>0.061688</v>
      </c>
      <c r="T11" t="inlineStr">
        <is>
          <t>AUD</t>
        </is>
      </c>
      <c r="U11" t="n">
        <v>8214.1191</v>
      </c>
      <c r="V11" t="inlineStr">
        <is>
          <t>AUD</t>
        </is>
      </c>
      <c r="W11" t="n">
        <v>53.338436</v>
      </c>
      <c r="X11" t="n">
        <v/>
      </c>
    </row>
    <row r="12">
      <c r="A12" s="5" t="inlineStr">
        <is>
          <t>01a152b9-946c-70e4-830b-02b4052686b6</t>
        </is>
      </c>
      <c r="C12" s="5" t="inlineStr">
        <is>
          <t>01a152b9-6e67-75da-8adb-b03e5d07fd21</t>
        </is>
      </c>
      <c r="D12" s="4" t="n">
        <v>46314.24602199411</v>
      </c>
      <c r="E12" s="4" t="n">
        <v>46314.24602199418</v>
      </c>
      <c r="F12" t="b">
        <v>1</v>
      </c>
      <c r="H12" t="inlineStr">
        <is>
          <t>2021-01-01 | PARCEL |  AFI | 4000.0000 unit</t>
        </is>
      </c>
      <c r="I12" s="5" t="inlineStr">
        <is>
          <t>01a152b9-946a-7245-b3fc-7eea66412f83</t>
        </is>
      </c>
      <c r="J12" t="n">
        <v>4000</v>
      </c>
      <c r="K12" t="n">
        <v>1</v>
      </c>
      <c r="L12" s="6" t="n">
        <v>44197</v>
      </c>
      <c r="O12" t="inlineStr">
        <is>
          <t>AFI</t>
        </is>
      </c>
      <c r="P12" t="n">
        <v>4000</v>
      </c>
      <c r="Q12" t="b">
        <v>0</v>
      </c>
      <c r="R12" t="inlineStr">
        <is>
          <t>AUD</t>
        </is>
      </c>
      <c r="S12" t="n">
        <v>0.002375</v>
      </c>
      <c r="T12" t="inlineStr">
        <is>
          <t>AUD</t>
        </is>
      </c>
      <c r="U12" t="n">
        <v>29209.5</v>
      </c>
      <c r="V12" t="inlineStr">
        <is>
          <t>AUD</t>
        </is>
      </c>
      <c r="W12" t="n">
        <v>7.302375</v>
      </c>
      <c r="X12" t="n">
        <v/>
      </c>
    </row>
    <row r="13">
      <c r="A13" s="5" t="inlineStr">
        <is>
          <t>01a152b9-9489-75d9-9632-6da6174dc905</t>
        </is>
      </c>
      <c r="C13" s="5" t="inlineStr">
        <is>
          <t>01a152b9-6e67-75da-8adb-b03e5d07fd21</t>
        </is>
      </c>
      <c r="D13" s="4" t="n">
        <v>46314.24602232816</v>
      </c>
      <c r="E13" s="4" t="n">
        <v>46314.24607041776</v>
      </c>
      <c r="F13" t="b">
        <v>1</v>
      </c>
      <c r="H13" t="inlineStr">
        <is>
          <t>2015-05-04 | PARCEL |  VGS | 250.0000 unit</t>
        </is>
      </c>
      <c r="I13" s="5" t="inlineStr">
        <is>
          <t>01a152b9-9487-76d3-acf6-eb1cbdd08af9</t>
        </is>
      </c>
      <c r="J13" t="n">
        <v>250</v>
      </c>
      <c r="K13" t="n">
        <v>1</v>
      </c>
      <c r="L13" s="6" t="n">
        <v>42128</v>
      </c>
      <c r="O13" t="inlineStr">
        <is>
          <t>VGS</t>
        </is>
      </c>
      <c r="P13" t="n">
        <v>250</v>
      </c>
      <c r="Q13" t="b">
        <v>0</v>
      </c>
      <c r="R13" t="inlineStr">
        <is>
          <t>AUD</t>
        </is>
      </c>
      <c r="S13" t="n">
        <v>0.038</v>
      </c>
      <c r="T13" t="inlineStr">
        <is>
          <t>AUD</t>
        </is>
      </c>
      <c r="U13" t="n">
        <v>15027.8313</v>
      </c>
      <c r="V13" t="inlineStr">
        <is>
          <t>AUD</t>
        </is>
      </c>
      <c r="W13" t="n">
        <v>60.111325</v>
      </c>
      <c r="X13" t="n">
        <v/>
      </c>
    </row>
    <row r="14">
      <c r="A14" s="5" t="inlineStr">
        <is>
          <t>01a152b9-94a7-731e-bcf5-1459d6c541b5</t>
        </is>
      </c>
      <c r="C14" s="5" t="inlineStr">
        <is>
          <t>01a152b9-6e67-75da-8adb-b03e5d07fd21</t>
        </is>
      </c>
      <c r="D14" s="4" t="n">
        <v>46314.24602268464</v>
      </c>
      <c r="E14" s="4" t="n">
        <v>46314.24606995851</v>
      </c>
      <c r="F14" t="b">
        <v>1</v>
      </c>
      <c r="H14" t="inlineStr">
        <is>
          <t>2015-06-25 | PARCEL |  VGS | 250.0000 unit</t>
        </is>
      </c>
      <c r="I14" s="5" t="inlineStr">
        <is>
          <t>01a152b9-94a5-722a-8081-52b1b872d035</t>
        </is>
      </c>
      <c r="J14" t="n">
        <v>250</v>
      </c>
      <c r="K14" t="n">
        <v>1</v>
      </c>
      <c r="L14" s="6" t="n">
        <v>42180</v>
      </c>
      <c r="O14" t="inlineStr">
        <is>
          <t>VGS</t>
        </is>
      </c>
      <c r="P14" t="n">
        <v>250</v>
      </c>
      <c r="Q14" t="b">
        <v>0</v>
      </c>
      <c r="R14" t="inlineStr">
        <is>
          <t>AUD</t>
        </is>
      </c>
      <c r="S14" t="n">
        <v>0.038</v>
      </c>
      <c r="T14" t="inlineStr">
        <is>
          <t>AUD</t>
        </is>
      </c>
      <c r="U14" t="n">
        <v>15404.2313</v>
      </c>
      <c r="V14" t="inlineStr">
        <is>
          <t>AUD</t>
        </is>
      </c>
      <c r="W14" t="n">
        <v>61.616925</v>
      </c>
      <c r="X14" t="n">
        <v/>
      </c>
    </row>
    <row r="15">
      <c r="A15" s="5" t="inlineStr">
        <is>
          <t>01a152b9-94c8-7073-9619-9f770f6e7fc2</t>
        </is>
      </c>
      <c r="C15" s="5" t="inlineStr">
        <is>
          <t>01a152b9-6e67-75da-8adb-b03e5d07fd21</t>
        </is>
      </c>
      <c r="D15" s="4" t="n">
        <v>46314.24602306007</v>
      </c>
      <c r="E15" s="4" t="n">
        <v>46314.24607052239</v>
      </c>
      <c r="F15" t="b">
        <v>1</v>
      </c>
      <c r="H15" t="inlineStr">
        <is>
          <t>2015-07-29 | PARCEL |  VGS | 250.0000 unit</t>
        </is>
      </c>
      <c r="I15" s="5" t="inlineStr">
        <is>
          <t>01a152b9-94c6-72af-b5ef-759a7b4f26bd</t>
        </is>
      </c>
      <c r="J15" t="n">
        <v>250</v>
      </c>
      <c r="K15" t="n">
        <v>1</v>
      </c>
      <c r="L15" s="6" t="n">
        <v>42214</v>
      </c>
      <c r="O15" t="inlineStr">
        <is>
          <t>VGS</t>
        </is>
      </c>
      <c r="P15" t="n">
        <v>250</v>
      </c>
      <c r="Q15" t="b">
        <v>0</v>
      </c>
      <c r="R15" t="inlineStr">
        <is>
          <t>AUD</t>
        </is>
      </c>
      <c r="S15" t="n">
        <v>0.038</v>
      </c>
      <c r="T15" t="inlineStr">
        <is>
          <t>AUD</t>
        </is>
      </c>
      <c r="U15" t="n">
        <v>15750.3312</v>
      </c>
      <c r="V15" t="inlineStr">
        <is>
          <t>AUD</t>
        </is>
      </c>
      <c r="W15" t="n">
        <v>63.001325</v>
      </c>
      <c r="X15" t="n">
        <v/>
      </c>
    </row>
    <row r="16">
      <c r="A16" s="5" t="inlineStr">
        <is>
          <t>01a152b9-94e5-7643-9595-d903ba15e5b7</t>
        </is>
      </c>
      <c r="C16" s="5" t="inlineStr">
        <is>
          <t>01a152b9-6e67-75da-8adb-b03e5d07fd21</t>
        </is>
      </c>
      <c r="D16" s="4" t="n">
        <v>46314.24602339656</v>
      </c>
      <c r="E16" s="4" t="n">
        <v>46314.24607047066</v>
      </c>
      <c r="F16" t="b">
        <v>1</v>
      </c>
      <c r="H16" t="inlineStr">
        <is>
          <t>2015-08-12 | PARCEL |  VGS | 100.0000 unit</t>
        </is>
      </c>
      <c r="I16" s="5" t="inlineStr">
        <is>
          <t>01a152b9-94e3-70b9-9cef-9921a651dd7f</t>
        </is>
      </c>
      <c r="J16" t="n">
        <v>100</v>
      </c>
      <c r="K16" t="n">
        <v>1</v>
      </c>
      <c r="L16" s="6" t="n">
        <v>42228</v>
      </c>
      <c r="O16" t="inlineStr">
        <is>
          <t>VGS</t>
        </is>
      </c>
      <c r="P16" t="n">
        <v>100</v>
      </c>
      <c r="Q16" t="b">
        <v>0</v>
      </c>
      <c r="R16" t="inlineStr">
        <is>
          <t>AUD</t>
        </is>
      </c>
      <c r="S16" t="n">
        <v>0.095</v>
      </c>
      <c r="T16" t="inlineStr">
        <is>
          <t>AUD</t>
        </is>
      </c>
      <c r="U16" t="n">
        <v>6209.8326</v>
      </c>
      <c r="V16" t="inlineStr">
        <is>
          <t>AUD</t>
        </is>
      </c>
      <c r="W16" t="n">
        <v>62.098326</v>
      </c>
      <c r="X16" t="n">
        <v/>
      </c>
    </row>
    <row r="17">
      <c r="A17" s="5" t="inlineStr">
        <is>
          <t>01a152b9-9500-709e-8410-7a936bd089c9</t>
        </is>
      </c>
      <c r="C17" s="5" t="inlineStr">
        <is>
          <t>01a152b9-6e67-75da-8adb-b03e5d07fd21</t>
        </is>
      </c>
      <c r="D17" s="4" t="n">
        <v>46314.2460237159</v>
      </c>
      <c r="E17" s="4" t="n">
        <v>46314.2460701645</v>
      </c>
      <c r="F17" t="b">
        <v>1</v>
      </c>
      <c r="H17" t="inlineStr">
        <is>
          <t>2016-03-07 | PARCEL |  VGS | 200.0000 unit</t>
        </is>
      </c>
      <c r="I17" s="5" t="inlineStr">
        <is>
          <t>01a152b9-94ff-72e6-a5d9-adda51c892f3</t>
        </is>
      </c>
      <c r="J17" t="n">
        <v>200</v>
      </c>
      <c r="K17" t="n">
        <v>1</v>
      </c>
      <c r="L17" s="6" t="n">
        <v>42436</v>
      </c>
      <c r="O17" t="inlineStr">
        <is>
          <t>VGS</t>
        </is>
      </c>
      <c r="P17" t="n">
        <v>200</v>
      </c>
      <c r="Q17" t="b">
        <v>0</v>
      </c>
      <c r="R17" t="inlineStr">
        <is>
          <t>AUD</t>
        </is>
      </c>
      <c r="S17" t="n">
        <v>0.0475</v>
      </c>
      <c r="T17" t="inlineStr">
        <is>
          <t>AUD</t>
        </is>
      </c>
      <c r="U17" t="n">
        <v>11330.1652</v>
      </c>
      <c r="V17" t="inlineStr">
        <is>
          <t>AUD</t>
        </is>
      </c>
      <c r="W17" t="n">
        <v>56.650826</v>
      </c>
      <c r="X17" t="n">
        <v/>
      </c>
    </row>
    <row r="18">
      <c r="A18" s="5" t="inlineStr">
        <is>
          <t>01a152b9-951c-75db-abc6-3b68329be7a6</t>
        </is>
      </c>
      <c r="C18" s="5" t="inlineStr">
        <is>
          <t>01a152b9-6e67-75da-8adb-b03e5d07fd21</t>
        </is>
      </c>
      <c r="D18" s="4" t="n">
        <v>46314.24602404074</v>
      </c>
      <c r="E18" s="4" t="n">
        <v>46314.24606932424</v>
      </c>
      <c r="F18" t="b">
        <v>1</v>
      </c>
      <c r="H18" t="inlineStr">
        <is>
          <t>2016-06-23 | PARCEL |  VGS | 200.0000 unit</t>
        </is>
      </c>
      <c r="I18" s="5" t="inlineStr">
        <is>
          <t>01a152b9-951b-744f-b443-9c44d3b5477a</t>
        </is>
      </c>
      <c r="J18" t="n">
        <v>200</v>
      </c>
      <c r="K18" t="n">
        <v>1</v>
      </c>
      <c r="L18" s="6" t="n">
        <v>42544</v>
      </c>
      <c r="O18" t="inlineStr">
        <is>
          <t>VGS</t>
        </is>
      </c>
      <c r="P18" t="n">
        <v>200</v>
      </c>
      <c r="Q18" t="b">
        <v>0</v>
      </c>
      <c r="R18" t="inlineStr">
        <is>
          <t>AUD</t>
        </is>
      </c>
      <c r="S18" t="n">
        <v>0.0475</v>
      </c>
      <c r="T18" t="inlineStr">
        <is>
          <t>AUD</t>
        </is>
      </c>
      <c r="U18" t="n">
        <v>11686.1652</v>
      </c>
      <c r="V18" t="inlineStr">
        <is>
          <t>AUD</t>
        </is>
      </c>
      <c r="W18" t="n">
        <v>58.430826</v>
      </c>
      <c r="X18" t="n">
        <v/>
      </c>
    </row>
    <row r="19">
      <c r="A19" s="5" t="inlineStr">
        <is>
          <t>01a152b9-953a-77b8-8f2e-2d4feaabe9bc</t>
        </is>
      </c>
      <c r="C19" s="5" t="inlineStr">
        <is>
          <t>01a152b9-6e67-75da-8adb-b03e5d07fd21</t>
        </is>
      </c>
      <c r="D19" s="4" t="n">
        <v>46314.24602438353</v>
      </c>
      <c r="E19" s="4" t="n">
        <v>46314.24606927449</v>
      </c>
      <c r="F19" t="b">
        <v>1</v>
      </c>
      <c r="H19" t="inlineStr">
        <is>
          <t>2016-09-21 | PARCEL |  VGS | 200.0000 unit</t>
        </is>
      </c>
      <c r="I19" s="5" t="inlineStr">
        <is>
          <t>01a152b9-9539-7109-962e-2ba3016ff567</t>
        </is>
      </c>
      <c r="J19" t="n">
        <v>200</v>
      </c>
      <c r="K19" t="n">
        <v>1</v>
      </c>
      <c r="L19" s="6" t="n">
        <v>42634</v>
      </c>
      <c r="O19" t="inlineStr">
        <is>
          <t>VGS</t>
        </is>
      </c>
      <c r="P19" t="n">
        <v>200</v>
      </c>
      <c r="Q19" t="b">
        <v>0</v>
      </c>
      <c r="R19" t="inlineStr">
        <is>
          <t>AUD</t>
        </is>
      </c>
      <c r="S19" t="n">
        <v>0.0475</v>
      </c>
      <c r="T19" t="inlineStr">
        <is>
          <t>AUD</t>
        </is>
      </c>
      <c r="U19" t="n">
        <v>11678.1652</v>
      </c>
      <c r="V19" t="inlineStr">
        <is>
          <t>AUD</t>
        </is>
      </c>
      <c r="W19" t="n">
        <v>58.390826</v>
      </c>
      <c r="X19" t="n">
        <v/>
      </c>
    </row>
    <row r="20">
      <c r="A20" s="5" t="inlineStr">
        <is>
          <t>01a152b9-9557-73d7-96a4-1c9494e1cc27</t>
        </is>
      </c>
      <c r="C20" s="5" t="inlineStr">
        <is>
          <t>01a152b9-6e67-75da-8adb-b03e5d07fd21</t>
        </is>
      </c>
      <c r="D20" s="4" t="n">
        <v>46314.24602471921</v>
      </c>
      <c r="E20" s="4" t="n">
        <v>46314.24607109007</v>
      </c>
      <c r="F20" t="b">
        <v>1</v>
      </c>
      <c r="H20" t="inlineStr">
        <is>
          <t>2016-11-06 | PARCEL |  VGS | 200.0000 unit</t>
        </is>
      </c>
      <c r="I20" s="5" t="inlineStr">
        <is>
          <t>01a152b9-9556-7569-a7c9-0559dd1594aa</t>
        </is>
      </c>
      <c r="J20" t="n">
        <v>200</v>
      </c>
      <c r="K20" t="n">
        <v>1</v>
      </c>
      <c r="L20" s="6" t="n">
        <v>42680</v>
      </c>
      <c r="O20" t="inlineStr">
        <is>
          <t>VGS</t>
        </is>
      </c>
      <c r="P20" t="n">
        <v>200</v>
      </c>
      <c r="Q20" t="b">
        <v>0</v>
      </c>
      <c r="R20" t="inlineStr">
        <is>
          <t>AUD</t>
        </is>
      </c>
      <c r="S20" t="n">
        <v>0.0475</v>
      </c>
      <c r="T20" t="inlineStr">
        <is>
          <t>AUD</t>
        </is>
      </c>
      <c r="U20" t="n">
        <v>11296.1652</v>
      </c>
      <c r="V20" t="inlineStr">
        <is>
          <t>AUD</t>
        </is>
      </c>
      <c r="W20" t="n">
        <v>56.480826</v>
      </c>
      <c r="X20" t="n">
        <v/>
      </c>
    </row>
    <row r="21">
      <c r="A21" s="5" t="inlineStr">
        <is>
          <t>01a152b9-9574-7264-bf24-1c4e0839a2c8</t>
        </is>
      </c>
      <c r="C21" s="5" t="inlineStr">
        <is>
          <t>01a152b9-6e67-75da-8adb-b03e5d07fd21</t>
        </is>
      </c>
      <c r="D21" s="4" t="n">
        <v>46314.24602505921</v>
      </c>
      <c r="E21" s="4" t="n">
        <v>46314.24607113742</v>
      </c>
      <c r="F21" t="b">
        <v>1</v>
      </c>
      <c r="H21" t="inlineStr">
        <is>
          <t>2018-05-20 | PARCEL |  VGS | 180.0000 unit</t>
        </is>
      </c>
      <c r="I21" s="5" t="inlineStr">
        <is>
          <t>01a152b9-9573-73fd-aab4-11ede9abf37e</t>
        </is>
      </c>
      <c r="J21" t="n">
        <v>180</v>
      </c>
      <c r="K21" t="n">
        <v>1</v>
      </c>
      <c r="L21" s="6" t="n">
        <v>43240</v>
      </c>
      <c r="O21" t="inlineStr">
        <is>
          <t>VGS</t>
        </is>
      </c>
      <c r="P21" t="n">
        <v>180</v>
      </c>
      <c r="Q21" t="b">
        <v>0</v>
      </c>
      <c r="R21" t="inlineStr">
        <is>
          <t>AUD</t>
        </is>
      </c>
      <c r="S21" t="n">
        <v>0.052778</v>
      </c>
      <c r="T21" t="inlineStr">
        <is>
          <t>AUD</t>
        </is>
      </c>
      <c r="U21" t="n">
        <v>12918.6125</v>
      </c>
      <c r="V21" t="inlineStr">
        <is>
          <t>AUD</t>
        </is>
      </c>
      <c r="W21" t="n">
        <v>71.77006900000001</v>
      </c>
      <c r="X21" t="n">
        <v/>
      </c>
    </row>
    <row r="22">
      <c r="A22" s="5" t="inlineStr">
        <is>
          <t>01a152b9-958f-7703-a5c4-c31e1306711f</t>
        </is>
      </c>
      <c r="C22" s="5" t="inlineStr">
        <is>
          <t>01a152b9-6e67-75da-8adb-b03e5d07fd21</t>
        </is>
      </c>
      <c r="D22" s="4" t="n">
        <v>46314.24602537073</v>
      </c>
      <c r="E22" s="4" t="n">
        <v>46314.24607011258</v>
      </c>
      <c r="F22" t="b">
        <v>1</v>
      </c>
      <c r="H22" t="inlineStr">
        <is>
          <t>2018-06-18 | PARCEL |  VGS | 200.0000 unit</t>
        </is>
      </c>
      <c r="I22" s="5" t="inlineStr">
        <is>
          <t>01a152b9-958e-76b7-a92e-a1da43f86603</t>
        </is>
      </c>
      <c r="J22" t="n">
        <v>200</v>
      </c>
      <c r="K22" t="n">
        <v>1</v>
      </c>
      <c r="L22" s="6" t="n">
        <v>43269</v>
      </c>
      <c r="O22" t="inlineStr">
        <is>
          <t>VGS</t>
        </is>
      </c>
      <c r="P22" t="n">
        <v>200</v>
      </c>
      <c r="Q22" t="b">
        <v>0</v>
      </c>
      <c r="R22" t="inlineStr">
        <is>
          <t>AUD</t>
        </is>
      </c>
      <c r="S22" t="n">
        <v>0.0475</v>
      </c>
      <c r="T22" t="inlineStr">
        <is>
          <t>AUD</t>
        </is>
      </c>
      <c r="U22" t="n">
        <v>14508.8749</v>
      </c>
      <c r="V22" t="inlineStr">
        <is>
          <t>AUD</t>
        </is>
      </c>
      <c r="W22" t="n">
        <v>72.544374</v>
      </c>
      <c r="X22" t="n">
        <v/>
      </c>
    </row>
    <row r="23">
      <c r="A23" s="5" t="inlineStr">
        <is>
          <t>01a152b9-95ac-746c-9a8c-b4eb3f58a5a6</t>
        </is>
      </c>
      <c r="C23" s="5" t="inlineStr">
        <is>
          <t>01a152b9-6e67-75da-8adb-b03e5d07fd21</t>
        </is>
      </c>
      <c r="D23" s="4" t="n">
        <v>46314.24602569889</v>
      </c>
      <c r="E23" s="4" t="n">
        <v>46314.24606948593</v>
      </c>
      <c r="F23" t="b">
        <v>1</v>
      </c>
      <c r="H23" t="inlineStr">
        <is>
          <t>2018-07-16 | PARCEL |  VGS | 100.0000 unit</t>
        </is>
      </c>
      <c r="I23" s="5" t="inlineStr">
        <is>
          <t>01a152b9-95ab-7299-9035-b3b8d080dc37</t>
        </is>
      </c>
      <c r="J23" t="n">
        <v>100</v>
      </c>
      <c r="K23" t="n">
        <v>1</v>
      </c>
      <c r="L23" s="6" t="n">
        <v>43297</v>
      </c>
      <c r="O23" t="inlineStr">
        <is>
          <t>VGS</t>
        </is>
      </c>
      <c r="P23" t="n">
        <v>100</v>
      </c>
      <c r="Q23" t="b">
        <v>0</v>
      </c>
      <c r="R23" t="inlineStr">
        <is>
          <t>AUD</t>
        </is>
      </c>
      <c r="S23" t="n">
        <v>0.095</v>
      </c>
      <c r="T23" t="inlineStr">
        <is>
          <t>AUD</t>
        </is>
      </c>
      <c r="U23" t="n">
        <v>7208.5406</v>
      </c>
      <c r="V23" t="inlineStr">
        <is>
          <t>AUD</t>
        </is>
      </c>
      <c r="W23" t="n">
        <v>72.08540600000001</v>
      </c>
      <c r="X23" t="n">
        <v/>
      </c>
    </row>
    <row r="24">
      <c r="A24" s="5" t="inlineStr">
        <is>
          <t>01a152b9-95c6-742f-9e96-a37e19627f89</t>
        </is>
      </c>
      <c r="C24" s="5" t="inlineStr">
        <is>
          <t>01a152b9-6e67-75da-8adb-b03e5d07fd21</t>
        </is>
      </c>
      <c r="D24" s="4" t="n">
        <v>46314.24602600544</v>
      </c>
      <c r="E24" s="4" t="n">
        <v>46314.2460693756</v>
      </c>
      <c r="F24" t="b">
        <v>1</v>
      </c>
      <c r="H24" t="inlineStr">
        <is>
          <t>2018-09-05 | PARCEL |  VGS | 100.0000 unit</t>
        </is>
      </c>
      <c r="I24" s="5" t="inlineStr">
        <is>
          <t>01a152b9-95c5-7072-9cbd-78a9ba35778c</t>
        </is>
      </c>
      <c r="J24" t="n">
        <v>100</v>
      </c>
      <c r="K24" t="n">
        <v>1</v>
      </c>
      <c r="L24" s="6" t="n">
        <v>43348</v>
      </c>
      <c r="O24" t="inlineStr">
        <is>
          <t>VGS</t>
        </is>
      </c>
      <c r="P24" t="n">
        <v>100</v>
      </c>
      <c r="Q24" t="b">
        <v>0</v>
      </c>
      <c r="R24" t="inlineStr">
        <is>
          <t>AUD</t>
        </is>
      </c>
      <c r="S24" t="n">
        <v>0.095</v>
      </c>
      <c r="T24" t="inlineStr">
        <is>
          <t>AUD</t>
        </is>
      </c>
      <c r="U24" t="n">
        <v>7507.9288</v>
      </c>
      <c r="V24" t="inlineStr">
        <is>
          <t>AUD</t>
        </is>
      </c>
      <c r="W24" t="n">
        <v>75.07928800000001</v>
      </c>
      <c r="X24" t="n">
        <v/>
      </c>
    </row>
    <row r="25">
      <c r="A25" s="5" t="inlineStr">
        <is>
          <t>01a152b9-95e1-7395-82be-501ffc413824</t>
        </is>
      </c>
      <c r="C25" s="5" t="inlineStr">
        <is>
          <t>01a152b9-6e67-75da-8adb-b03e5d07fd21</t>
        </is>
      </c>
      <c r="D25" s="4" t="n">
        <v>46314.24602631257</v>
      </c>
      <c r="E25" s="4" t="n">
        <v>46314.2460703145</v>
      </c>
      <c r="F25" t="b">
        <v>1</v>
      </c>
      <c r="H25" t="inlineStr">
        <is>
          <t>2019-01-23 | PARCEL |  VGS | 50.0000 unit</t>
        </is>
      </c>
      <c r="I25" s="5" t="inlineStr">
        <is>
          <t>01a152b9-95e0-7373-b141-f18a4acc1726</t>
        </is>
      </c>
      <c r="J25" t="n">
        <v>50</v>
      </c>
      <c r="K25" t="n">
        <v>1</v>
      </c>
      <c r="L25" s="6" t="n">
        <v>43488</v>
      </c>
      <c r="O25" t="inlineStr">
        <is>
          <t>VGS</t>
        </is>
      </c>
      <c r="P25" t="n">
        <v>50</v>
      </c>
      <c r="Q25" t="b">
        <v>0</v>
      </c>
      <c r="R25" t="inlineStr">
        <is>
          <t>AUD</t>
        </is>
      </c>
      <c r="S25" t="n">
        <v>0.19</v>
      </c>
      <c r="T25" t="inlineStr">
        <is>
          <t>AUD</t>
        </is>
      </c>
      <c r="U25" t="n">
        <v>3473.3746</v>
      </c>
      <c r="V25" t="inlineStr">
        <is>
          <t>AUD</t>
        </is>
      </c>
      <c r="W25" t="n">
        <v>69.46749199999999</v>
      </c>
      <c r="X25" t="n">
        <v/>
      </c>
    </row>
    <row r="26">
      <c r="A26" s="5" t="inlineStr">
        <is>
          <t>01a152b9-95fb-7120-b341-b6f29d875206</t>
        </is>
      </c>
      <c r="C26" s="5" t="inlineStr">
        <is>
          <t>01a152b9-6e67-75da-8adb-b03e5d07fd21</t>
        </is>
      </c>
      <c r="D26" s="4" t="n">
        <v>46314.24602661097</v>
      </c>
      <c r="E26" s="4" t="n">
        <v>46314.24606954805</v>
      </c>
      <c r="F26" t="b">
        <v>1</v>
      </c>
      <c r="H26" t="inlineStr">
        <is>
          <t>2019-03-18 | PARCEL |  VGS | 100.0000 unit</t>
        </is>
      </c>
      <c r="I26" s="5" t="inlineStr">
        <is>
          <t>01a152b9-95f9-70e6-aa29-d8dff7458a41</t>
        </is>
      </c>
      <c r="J26" t="n">
        <v>100</v>
      </c>
      <c r="K26" t="n">
        <v>1</v>
      </c>
      <c r="L26" s="6" t="n">
        <v>43542</v>
      </c>
      <c r="O26" t="inlineStr">
        <is>
          <t>VGS</t>
        </is>
      </c>
      <c r="P26" t="n">
        <v>100</v>
      </c>
      <c r="Q26" t="b">
        <v>0</v>
      </c>
      <c r="R26" t="inlineStr">
        <is>
          <t>AUD</t>
        </is>
      </c>
      <c r="S26" t="n">
        <v>0.095</v>
      </c>
      <c r="T26" t="inlineStr">
        <is>
          <t>AUD</t>
        </is>
      </c>
      <c r="U26" t="n">
        <v>7483.6017</v>
      </c>
      <c r="V26" t="inlineStr">
        <is>
          <t>AUD</t>
        </is>
      </c>
      <c r="W26" t="n">
        <v>74.836017</v>
      </c>
      <c r="X26" t="n">
        <v/>
      </c>
    </row>
    <row r="27">
      <c r="A27" s="5" t="inlineStr">
        <is>
          <t>01a152b9-9615-743d-b72a-abe2116267b7</t>
        </is>
      </c>
      <c r="C27" s="5" t="inlineStr">
        <is>
          <t>01a152b9-6e67-75da-8adb-b03e5d07fd21</t>
        </is>
      </c>
      <c r="D27" s="4" t="n">
        <v>46314.24602691902</v>
      </c>
      <c r="E27" s="4" t="n">
        <v>46314.24606976203</v>
      </c>
      <c r="F27" t="b">
        <v>1</v>
      </c>
      <c r="H27" t="inlineStr">
        <is>
          <t>2019-05-06 | PARCEL |  VGS | 100.0000 unit</t>
        </is>
      </c>
      <c r="I27" s="5" t="inlineStr">
        <is>
          <t>01a152b9-9614-7140-8722-6c2ab1dddbca</t>
        </is>
      </c>
      <c r="J27" t="n">
        <v>100</v>
      </c>
      <c r="K27" t="n">
        <v>1</v>
      </c>
      <c r="L27" s="6" t="n">
        <v>43591</v>
      </c>
      <c r="O27" t="inlineStr">
        <is>
          <t>VGS</t>
        </is>
      </c>
      <c r="P27" t="n">
        <v>100</v>
      </c>
      <c r="Q27" t="b">
        <v>0</v>
      </c>
      <c r="R27" t="inlineStr">
        <is>
          <t>AUD</t>
        </is>
      </c>
      <c r="S27" t="n">
        <v>0.095</v>
      </c>
      <c r="T27" t="inlineStr">
        <is>
          <t>AUD</t>
        </is>
      </c>
      <c r="U27" t="n">
        <v>7703.0139</v>
      </c>
      <c r="V27" t="inlineStr">
        <is>
          <t>AUD</t>
        </is>
      </c>
      <c r="W27" t="n">
        <v>77.03013900000001</v>
      </c>
      <c r="X27" t="n">
        <v/>
      </c>
    </row>
    <row r="28">
      <c r="A28" s="5" t="inlineStr">
        <is>
          <t>01a152b9-962f-7367-a84a-0c600737cd69</t>
        </is>
      </c>
      <c r="C28" s="5" t="inlineStr">
        <is>
          <t>01a152b9-6e67-75da-8adb-b03e5d07fd21</t>
        </is>
      </c>
      <c r="D28" s="4" t="n">
        <v>46314.24602721666</v>
      </c>
      <c r="E28" s="4" t="n">
        <v>46314.24606986154</v>
      </c>
      <c r="F28" t="b">
        <v>1</v>
      </c>
      <c r="H28" t="inlineStr">
        <is>
          <t>2019-05-15 | PARCEL |  VGS | 80.0000 unit</t>
        </is>
      </c>
      <c r="I28" s="5" t="inlineStr">
        <is>
          <t>01a152b9-962e-738d-a89e-a017256f728f</t>
        </is>
      </c>
      <c r="J28" t="n">
        <v>80</v>
      </c>
      <c r="K28" t="n">
        <v>1</v>
      </c>
      <c r="L28" s="6" t="n">
        <v>43600</v>
      </c>
      <c r="O28" t="inlineStr">
        <is>
          <t>VGS</t>
        </is>
      </c>
      <c r="P28" t="n">
        <v>80</v>
      </c>
      <c r="Q28" t="b">
        <v>0</v>
      </c>
      <c r="R28" t="inlineStr">
        <is>
          <t>AUD</t>
        </is>
      </c>
      <c r="S28" t="n">
        <v>0.11875</v>
      </c>
      <c r="T28" t="inlineStr">
        <is>
          <t>AUD</t>
        </is>
      </c>
      <c r="U28" t="n">
        <v>6082.6247</v>
      </c>
      <c r="V28" t="inlineStr">
        <is>
          <t>AUD</t>
        </is>
      </c>
      <c r="W28" t="n">
        <v>76.032809</v>
      </c>
      <c r="X28" t="n">
        <v/>
      </c>
    </row>
    <row r="29">
      <c r="A29" s="5" t="inlineStr">
        <is>
          <t>01a152b9-964c-760f-b649-b5089fe2f69f</t>
        </is>
      </c>
      <c r="C29" s="5" t="inlineStr">
        <is>
          <t>01a152b9-6e67-75da-8adb-b03e5d07fd21</t>
        </is>
      </c>
      <c r="D29" s="4" t="n">
        <v>46314.24602755607</v>
      </c>
      <c r="E29" s="4" t="n">
        <v>46314.24606965703</v>
      </c>
      <c r="F29" t="b">
        <v>1</v>
      </c>
      <c r="H29" t="inlineStr">
        <is>
          <t>2019-11-14 | PARCEL |  VGS | 100.0000 unit</t>
        </is>
      </c>
      <c r="I29" s="5" t="inlineStr">
        <is>
          <t>01a152b9-964b-7195-92ec-4ddecb433882</t>
        </is>
      </c>
      <c r="J29" t="n">
        <v>100</v>
      </c>
      <c r="K29" t="n">
        <v>1</v>
      </c>
      <c r="L29" s="6" t="n">
        <v>43783</v>
      </c>
      <c r="O29" t="inlineStr">
        <is>
          <t>VGS</t>
        </is>
      </c>
      <c r="P29" t="n">
        <v>100</v>
      </c>
      <c r="Q29" t="b">
        <v>0</v>
      </c>
      <c r="R29" t="inlineStr">
        <is>
          <t>AUD</t>
        </is>
      </c>
      <c r="S29" t="n">
        <v>0.095</v>
      </c>
      <c r="T29" t="inlineStr">
        <is>
          <t>AUD</t>
        </is>
      </c>
      <c r="U29" t="n">
        <v>8308.328100000001</v>
      </c>
      <c r="V29" t="inlineStr">
        <is>
          <t>AUD</t>
        </is>
      </c>
      <c r="W29" t="n">
        <v>83.083281</v>
      </c>
      <c r="X29" t="n">
        <v/>
      </c>
    </row>
    <row r="30">
      <c r="A30" s="5" t="inlineStr">
        <is>
          <t>01a152b9-966d-7399-b21c-89ba0f404c00</t>
        </is>
      </c>
      <c r="C30" s="5" t="inlineStr">
        <is>
          <t>01a152b9-6e67-75da-8adb-b03e5d07fd21</t>
        </is>
      </c>
      <c r="D30" s="4" t="n">
        <v>46314.24602793364</v>
      </c>
      <c r="E30" s="4" t="n">
        <v>46314.24607026412</v>
      </c>
      <c r="F30" t="b">
        <v>1</v>
      </c>
      <c r="H30" t="inlineStr">
        <is>
          <t>2019-12-16 | PARCEL |  VGS | 100.0000 unit</t>
        </is>
      </c>
      <c r="I30" s="5" t="inlineStr">
        <is>
          <t>01a152b9-966b-7174-9dcf-24955b43fe31</t>
        </is>
      </c>
      <c r="J30" t="n">
        <v>100</v>
      </c>
      <c r="K30" t="n">
        <v>1</v>
      </c>
      <c r="L30" s="6" t="n">
        <v>43815</v>
      </c>
      <c r="O30" t="inlineStr">
        <is>
          <t>VGS</t>
        </is>
      </c>
      <c r="P30" t="n">
        <v>100</v>
      </c>
      <c r="Q30" t="b">
        <v>0</v>
      </c>
      <c r="R30" t="inlineStr">
        <is>
          <t>AUD</t>
        </is>
      </c>
      <c r="S30" t="n">
        <v>0.095</v>
      </c>
      <c r="T30" t="inlineStr">
        <is>
          <t>AUD</t>
        </is>
      </c>
      <c r="U30" t="n">
        <v>8450.795400000001</v>
      </c>
      <c r="V30" t="inlineStr">
        <is>
          <t>AUD</t>
        </is>
      </c>
      <c r="W30" t="n">
        <v>84.507954</v>
      </c>
      <c r="X30" t="n">
        <v/>
      </c>
    </row>
    <row r="31">
      <c r="A31" s="5" t="inlineStr">
        <is>
          <t>01a152b9-968b-7582-a40a-451d61aca7f6</t>
        </is>
      </c>
      <c r="C31" s="5" t="inlineStr">
        <is>
          <t>01a152b9-6e67-75da-8adb-b03e5d07fd21</t>
        </is>
      </c>
      <c r="D31" s="4" t="n">
        <v>46314.24602828331</v>
      </c>
      <c r="E31" s="4" t="n">
        <v>46314.24606943343</v>
      </c>
      <c r="F31" t="b">
        <v>1</v>
      </c>
      <c r="H31" t="inlineStr">
        <is>
          <t>2020-02-25 | PARCEL |  VGS | 50.0000 unit</t>
        </is>
      </c>
      <c r="I31" s="5" t="inlineStr">
        <is>
          <t>01a152b9-968a-7080-8500-c78aec71465d</t>
        </is>
      </c>
      <c r="J31" t="n">
        <v>50</v>
      </c>
      <c r="K31" t="n">
        <v>1</v>
      </c>
      <c r="L31" s="6" t="n">
        <v>43886</v>
      </c>
      <c r="O31" t="inlineStr">
        <is>
          <t>VGS</t>
        </is>
      </c>
      <c r="P31" t="n">
        <v>50</v>
      </c>
      <c r="Q31" t="b">
        <v>0</v>
      </c>
      <c r="R31" t="inlineStr">
        <is>
          <t>AUD</t>
        </is>
      </c>
      <c r="S31" t="n">
        <v>0.19</v>
      </c>
      <c r="T31" t="inlineStr">
        <is>
          <t>AUD</t>
        </is>
      </c>
      <c r="U31" t="n">
        <v>4272.666</v>
      </c>
      <c r="V31" t="inlineStr">
        <is>
          <t>AUD</t>
        </is>
      </c>
      <c r="W31" t="n">
        <v>85.45332000000001</v>
      </c>
      <c r="X31" t="n">
        <v/>
      </c>
    </row>
    <row r="32">
      <c r="A32" s="5" t="inlineStr">
        <is>
          <t>01a152b9-96a5-755d-8cd5-b9f3af1122f4</t>
        </is>
      </c>
      <c r="C32" s="5" t="inlineStr">
        <is>
          <t>01a152b9-6e67-75da-8adb-b03e5d07fd21</t>
        </is>
      </c>
      <c r="D32" s="4" t="n">
        <v>46314.24602857955</v>
      </c>
      <c r="E32" s="4" t="n">
        <v>46314.24607057471</v>
      </c>
      <c r="F32" t="b">
        <v>1</v>
      </c>
      <c r="H32" t="inlineStr">
        <is>
          <t>2020-07-16 | PARCEL |  VGS | 100.0000 unit</t>
        </is>
      </c>
      <c r="I32" s="5" t="inlineStr">
        <is>
          <t>01a152b9-96a4-72f2-a037-ffb1253ef998</t>
        </is>
      </c>
      <c r="J32" t="n">
        <v>100</v>
      </c>
      <c r="K32" t="n">
        <v>1</v>
      </c>
      <c r="L32" s="6" t="n">
        <v>44028</v>
      </c>
      <c r="O32" t="inlineStr">
        <is>
          <t>VGS</t>
        </is>
      </c>
      <c r="P32" t="n">
        <v>100</v>
      </c>
      <c r="Q32" t="b">
        <v>0</v>
      </c>
      <c r="R32" t="inlineStr">
        <is>
          <t>AUD</t>
        </is>
      </c>
      <c r="S32" t="n">
        <v>0.095</v>
      </c>
      <c r="T32" t="inlineStr">
        <is>
          <t>AUD</t>
        </is>
      </c>
      <c r="U32" t="n">
        <v>8100.2983</v>
      </c>
      <c r="V32" t="inlineStr">
        <is>
          <t>AUD</t>
        </is>
      </c>
      <c r="W32" t="n">
        <v>81.002983</v>
      </c>
      <c r="X32" t="n">
        <v/>
      </c>
    </row>
    <row r="33">
      <c r="A33" s="5" t="inlineStr">
        <is>
          <t>01a152b9-96c7-7247-9b18-b04e067b75ed</t>
        </is>
      </c>
      <c r="C33" s="5" t="inlineStr">
        <is>
          <t>01a152b9-6e67-75da-8adb-b03e5d07fd21</t>
        </is>
      </c>
      <c r="D33" s="4" t="n">
        <v>46314.2460289811</v>
      </c>
      <c r="E33" s="4" t="n">
        <v>46314.24606990991</v>
      </c>
      <c r="F33" t="b">
        <v>1</v>
      </c>
      <c r="H33" t="inlineStr">
        <is>
          <t>2020-09-06 | PARCEL |  VGS | 100.0000 unit</t>
        </is>
      </c>
      <c r="I33" s="5" t="inlineStr">
        <is>
          <t>01a152b9-96c5-77d7-868c-dad3cbd67608</t>
        </is>
      </c>
      <c r="J33" t="n">
        <v>100</v>
      </c>
      <c r="K33" t="n">
        <v>1</v>
      </c>
      <c r="L33" s="6" t="n">
        <v>44080</v>
      </c>
      <c r="O33" t="inlineStr">
        <is>
          <t>VGS</t>
        </is>
      </c>
      <c r="P33" t="n">
        <v>100</v>
      </c>
      <c r="Q33" t="b">
        <v>0</v>
      </c>
      <c r="R33" t="inlineStr">
        <is>
          <t>AUD</t>
        </is>
      </c>
      <c r="S33" t="n">
        <v>0.095</v>
      </c>
      <c r="T33" t="inlineStr">
        <is>
          <t>AUD</t>
        </is>
      </c>
      <c r="U33" t="n">
        <v>8149.5515</v>
      </c>
      <c r="V33" t="inlineStr">
        <is>
          <t>AUD</t>
        </is>
      </c>
      <c r="W33" t="n">
        <v>81.495515</v>
      </c>
      <c r="X33" t="n">
        <v/>
      </c>
    </row>
    <row r="34">
      <c r="A34" s="5" t="inlineStr">
        <is>
          <t>01a152b9-96e6-73de-aad9-0b8f9536b51d</t>
        </is>
      </c>
      <c r="C34" s="5" t="inlineStr">
        <is>
          <t>01a152b9-6e67-75da-8adb-b03e5d07fd21</t>
        </is>
      </c>
      <c r="D34" s="4" t="n">
        <v>46314.24602933988</v>
      </c>
      <c r="E34" s="4" t="n">
        <v>46314.24606960433</v>
      </c>
      <c r="F34" t="b">
        <v>1</v>
      </c>
      <c r="H34" t="inlineStr">
        <is>
          <t>2020-10-19 | PARCEL |  VGS | 50.0000 unit</t>
        </is>
      </c>
      <c r="I34" s="5" t="inlineStr">
        <is>
          <t>01a152b9-96e5-7209-9dae-00db9c85b40c</t>
        </is>
      </c>
      <c r="J34" t="n">
        <v>50</v>
      </c>
      <c r="K34" t="n">
        <v>1</v>
      </c>
      <c r="L34" s="6" t="n">
        <v>44123</v>
      </c>
      <c r="O34" t="inlineStr">
        <is>
          <t>VGS</t>
        </is>
      </c>
      <c r="P34" t="n">
        <v>50</v>
      </c>
      <c r="Q34" t="b">
        <v>0</v>
      </c>
      <c r="R34" t="inlineStr">
        <is>
          <t>AUD</t>
        </is>
      </c>
      <c r="S34" t="n">
        <v>0.19</v>
      </c>
      <c r="T34" t="inlineStr">
        <is>
          <t>AUD</t>
        </is>
      </c>
      <c r="U34" t="n">
        <v>4245.1688</v>
      </c>
      <c r="V34" t="inlineStr">
        <is>
          <t>AUD</t>
        </is>
      </c>
      <c r="W34" t="n">
        <v>84.90337599999999</v>
      </c>
      <c r="X34" t="n">
        <v/>
      </c>
    </row>
    <row r="35">
      <c r="A35" s="5" t="inlineStr">
        <is>
          <t>01a152b9-9705-75c9-9088-a143adf8e95a</t>
        </is>
      </c>
      <c r="C35" s="5" t="inlineStr">
        <is>
          <t>01a152b9-6e67-75da-8adb-b03e5d07fd21</t>
        </is>
      </c>
      <c r="D35" s="4" t="n">
        <v>46314.24602969829</v>
      </c>
      <c r="E35" s="4" t="n">
        <v>46314.24606981036</v>
      </c>
      <c r="F35" t="b">
        <v>1</v>
      </c>
      <c r="H35" t="inlineStr">
        <is>
          <t>2020-11-17 | PARCEL |  VGS | 50.0000 unit</t>
        </is>
      </c>
      <c r="I35" s="5" t="inlineStr">
        <is>
          <t>01a152b9-9704-7326-b433-3e4b91d1afd1</t>
        </is>
      </c>
      <c r="J35" t="n">
        <v>50</v>
      </c>
      <c r="K35" t="n">
        <v>1</v>
      </c>
      <c r="L35" s="6" t="n">
        <v>44152</v>
      </c>
      <c r="O35" t="inlineStr">
        <is>
          <t>VGS</t>
        </is>
      </c>
      <c r="P35" t="n">
        <v>50</v>
      </c>
      <c r="Q35" t="b">
        <v>0</v>
      </c>
      <c r="R35" t="inlineStr">
        <is>
          <t>AUD</t>
        </is>
      </c>
      <c r="S35" t="n">
        <v>0.19</v>
      </c>
      <c r="T35" t="inlineStr">
        <is>
          <t>AUD</t>
        </is>
      </c>
      <c r="U35" t="n">
        <v>4320.8932</v>
      </c>
      <c r="V35" t="inlineStr">
        <is>
          <t>AUD</t>
        </is>
      </c>
      <c r="W35" t="n">
        <v>86.41786399999999</v>
      </c>
      <c r="X35" t="n">
        <v/>
      </c>
    </row>
    <row r="36">
      <c r="A36" s="5" t="inlineStr">
        <is>
          <t>01a152b9-9722-7470-9f99-1a35c33b284d</t>
        </is>
      </c>
      <c r="C36" s="5" t="inlineStr">
        <is>
          <t>01a152b9-6e67-75da-8adb-b03e5d07fd21</t>
        </is>
      </c>
      <c r="D36" s="4" t="n">
        <v>46314.24603003306</v>
      </c>
      <c r="E36" s="4" t="n">
        <v>46314.24607036465</v>
      </c>
      <c r="F36" t="b">
        <v>1</v>
      </c>
      <c r="H36" t="inlineStr">
        <is>
          <t>2020-12-15 | PARCEL |  VGS | 50.0000 unit</t>
        </is>
      </c>
      <c r="I36" s="5" t="inlineStr">
        <is>
          <t>01a152b9-9721-7083-a635-a243a6c8b797</t>
        </is>
      </c>
      <c r="J36" t="n">
        <v>50</v>
      </c>
      <c r="K36" t="n">
        <v>1</v>
      </c>
      <c r="L36" s="6" t="n">
        <v>44180</v>
      </c>
      <c r="O36" t="inlineStr">
        <is>
          <t>VGS</t>
        </is>
      </c>
      <c r="P36" t="n">
        <v>50</v>
      </c>
      <c r="Q36" t="b">
        <v>0</v>
      </c>
      <c r="R36" t="inlineStr">
        <is>
          <t>AUD</t>
        </is>
      </c>
      <c r="S36" t="n">
        <v>0.19</v>
      </c>
      <c r="T36" t="inlineStr">
        <is>
          <t>AUD</t>
        </is>
      </c>
      <c r="U36" t="n">
        <v>4312.7306</v>
      </c>
      <c r="V36" t="inlineStr">
        <is>
          <t>AUD</t>
        </is>
      </c>
      <c r="W36" t="n">
        <v>86.25461199999999</v>
      </c>
      <c r="X36" t="n">
        <v/>
      </c>
    </row>
    <row r="37">
      <c r="A37" s="5" t="inlineStr">
        <is>
          <t>01a152b9-973f-7476-a1c5-8dd9c2e5ff83</t>
        </is>
      </c>
      <c r="C37" s="5" t="inlineStr">
        <is>
          <t>01a152b9-6e67-75da-8adb-b03e5d07fd21</t>
        </is>
      </c>
      <c r="D37" s="4" t="n">
        <v>46314.24603036528</v>
      </c>
      <c r="E37" s="4" t="n">
        <v>46314.24607006707</v>
      </c>
      <c r="F37" t="b">
        <v>1</v>
      </c>
      <c r="H37" t="inlineStr">
        <is>
          <t>2021-01-18 | PARCEL |  VGS | 50.0000 unit</t>
        </is>
      </c>
      <c r="I37" s="5" t="inlineStr">
        <is>
          <t>01a152b9-973e-77bd-bd51-189d2114d78a</t>
        </is>
      </c>
      <c r="J37" t="n">
        <v>50</v>
      </c>
      <c r="K37" t="n">
        <v>1</v>
      </c>
      <c r="L37" s="6" t="n">
        <v>44214</v>
      </c>
      <c r="O37" t="inlineStr">
        <is>
          <t>VGS</t>
        </is>
      </c>
      <c r="P37" t="n">
        <v>50</v>
      </c>
      <c r="Q37" t="b">
        <v>0</v>
      </c>
      <c r="R37" t="inlineStr">
        <is>
          <t>AUD</t>
        </is>
      </c>
      <c r="S37" t="n">
        <v>0.19</v>
      </c>
      <c r="T37" t="inlineStr">
        <is>
          <t>AUD</t>
        </is>
      </c>
      <c r="U37" t="n">
        <v>4340.8903</v>
      </c>
      <c r="V37" t="inlineStr">
        <is>
          <t>AUD</t>
        </is>
      </c>
      <c r="W37" t="n">
        <v>86.817806</v>
      </c>
      <c r="X37" t="n">
        <v/>
      </c>
    </row>
    <row r="38">
      <c r="A38" s="5" t="inlineStr">
        <is>
          <t>01a152b9-975c-7693-b7fc-10db74004923</t>
        </is>
      </c>
      <c r="C38" s="5" t="inlineStr">
        <is>
          <t>01a152b9-6e67-75da-8adb-b03e5d07fd21</t>
        </is>
      </c>
      <c r="D38" s="4" t="n">
        <v>46314.24603070141</v>
      </c>
      <c r="E38" s="4" t="n">
        <v>46314.24607021302</v>
      </c>
      <c r="F38" t="b">
        <v>1</v>
      </c>
      <c r="H38" t="inlineStr">
        <is>
          <t>2021-03-15 | PARCEL |  VGS | 50.0000 unit</t>
        </is>
      </c>
      <c r="I38" s="5" t="inlineStr">
        <is>
          <t>01a152b9-975b-73f2-b819-d7d72c988c82</t>
        </is>
      </c>
      <c r="J38" t="n">
        <v>50</v>
      </c>
      <c r="K38" t="n">
        <v>1</v>
      </c>
      <c r="L38" s="6" t="n">
        <v>44270</v>
      </c>
      <c r="O38" t="inlineStr">
        <is>
          <t>VGS</t>
        </is>
      </c>
      <c r="P38" t="n">
        <v>50</v>
      </c>
      <c r="Q38" t="b">
        <v>0</v>
      </c>
      <c r="R38" t="inlineStr">
        <is>
          <t>AUD</t>
        </is>
      </c>
      <c r="S38" t="n">
        <v>0.19</v>
      </c>
      <c r="T38" t="inlineStr">
        <is>
          <t>AUD</t>
        </is>
      </c>
      <c r="U38" t="n">
        <v>4470.5651</v>
      </c>
      <c r="V38" t="inlineStr">
        <is>
          <t>AUD</t>
        </is>
      </c>
      <c r="W38" t="n">
        <v>89.41130200000001</v>
      </c>
      <c r="X38" t="n">
        <v/>
      </c>
    </row>
    <row r="39">
      <c r="A39" s="5" t="inlineStr">
        <is>
          <t>01a152b9-9776-73a9-82d2-82fb7d3d8ad6</t>
        </is>
      </c>
      <c r="C39" s="5" t="inlineStr">
        <is>
          <t>01a152b9-6e67-75da-8adb-b03e5d07fd21</t>
        </is>
      </c>
      <c r="D39" s="4" t="n">
        <v>46314.24603100699</v>
      </c>
      <c r="E39" s="4" t="n">
        <v>46314.24606971264</v>
      </c>
      <c r="F39" t="b">
        <v>1</v>
      </c>
      <c r="H39" t="inlineStr">
        <is>
          <t>2021-03-29 | PARCEL |  VGS | 100.0000 unit</t>
        </is>
      </c>
      <c r="I39" s="5" t="inlineStr">
        <is>
          <t>01a152b9-9775-711a-9439-91e920af9200</t>
        </is>
      </c>
      <c r="J39" t="n">
        <v>100</v>
      </c>
      <c r="K39" t="n">
        <v>1</v>
      </c>
      <c r="L39" s="6" t="n">
        <v>44284</v>
      </c>
      <c r="O39" t="inlineStr">
        <is>
          <t>VGS</t>
        </is>
      </c>
      <c r="P39" t="n">
        <v>100</v>
      </c>
      <c r="Q39" t="b">
        <v>0</v>
      </c>
      <c r="R39" t="inlineStr">
        <is>
          <t>AUD</t>
        </is>
      </c>
      <c r="S39" t="n">
        <v>0.095</v>
      </c>
      <c r="T39" t="inlineStr">
        <is>
          <t>AUD</t>
        </is>
      </c>
      <c r="U39" t="n">
        <v>9014.4678</v>
      </c>
      <c r="V39" t="inlineStr">
        <is>
          <t>AUD</t>
        </is>
      </c>
      <c r="W39" t="n">
        <v>90.144678</v>
      </c>
      <c r="X39" t="n">
        <v/>
      </c>
    </row>
    <row r="40">
      <c r="A40" s="5" t="inlineStr">
        <is>
          <t>01a152b9-978f-76b8-9e81-87c8ddd6856a</t>
        </is>
      </c>
      <c r="C40" s="5" t="inlineStr">
        <is>
          <t>01a152b9-6e67-75da-8adb-b03e5d07fd21</t>
        </is>
      </c>
      <c r="D40" s="4" t="n">
        <v>46314.24603129276</v>
      </c>
      <c r="E40" s="4" t="n">
        <v>46314.2460700146</v>
      </c>
      <c r="F40" t="b">
        <v>1</v>
      </c>
      <c r="H40" t="inlineStr">
        <is>
          <t>2021-04-21 | PARCEL |  VGS | 50.0000 unit</t>
        </is>
      </c>
      <c r="I40" s="5" t="inlineStr">
        <is>
          <t>01a152b9-978e-7243-8b9a-de80c6c95c34</t>
        </is>
      </c>
      <c r="J40" t="n">
        <v>50</v>
      </c>
      <c r="K40" t="n">
        <v>1</v>
      </c>
      <c r="L40" s="6" t="n">
        <v>44307</v>
      </c>
      <c r="O40" t="inlineStr">
        <is>
          <t>VGS</t>
        </is>
      </c>
      <c r="P40" t="n">
        <v>50</v>
      </c>
      <c r="Q40" t="b">
        <v>0</v>
      </c>
      <c r="R40" t="inlineStr">
        <is>
          <t>AUD</t>
        </is>
      </c>
      <c r="S40" t="n">
        <v>0.19</v>
      </c>
      <c r="T40" t="inlineStr">
        <is>
          <t>AUD</t>
        </is>
      </c>
      <c r="U40" t="n">
        <v>4630.886</v>
      </c>
      <c r="V40" t="inlineStr">
        <is>
          <t>AUD</t>
        </is>
      </c>
      <c r="W40" t="n">
        <v>92.61772000000001</v>
      </c>
      <c r="X40" t="n">
        <v/>
      </c>
    </row>
    <row r="41">
      <c r="A41" s="5" t="inlineStr">
        <is>
          <t>01a152b9-9e3b-705d-8c1e-253f5175eee2</t>
        </is>
      </c>
      <c r="C41" s="5" t="inlineStr">
        <is>
          <t>01a152b9-6e67-75da-8adb-b03e5d07fd21</t>
        </is>
      </c>
      <c r="D41" s="4" t="n">
        <v>46314.24605106598</v>
      </c>
      <c r="E41" s="4" t="n">
        <v>46314.2460538395</v>
      </c>
      <c r="F41" t="b">
        <v>1</v>
      </c>
      <c r="H41" t="inlineStr">
        <is>
          <t>2019-09-30 | PARCEL |  VDHG | 65.0000 unit</t>
        </is>
      </c>
      <c r="I41" s="5" t="inlineStr">
        <is>
          <t>01a152b9-9385-7669-9dc7-938a9e56f393</t>
        </is>
      </c>
      <c r="J41" t="n">
        <v>65</v>
      </c>
      <c r="K41" t="n">
        <v>1</v>
      </c>
      <c r="L41" s="6" t="n">
        <v>44742</v>
      </c>
      <c r="N41" s="6" t="n">
        <v>44742</v>
      </c>
      <c r="O41" t="inlineStr">
        <is>
          <t>VDHG</t>
        </is>
      </c>
      <c r="P41" t="n">
        <v>0</v>
      </c>
      <c r="Q41" t="b">
        <v>1</v>
      </c>
      <c r="R41" t="inlineStr">
        <is>
          <t>AUD</t>
        </is>
      </c>
      <c r="S41" t="n">
        <v>0.027616</v>
      </c>
      <c r="T41" t="inlineStr">
        <is>
          <t>AUD</t>
        </is>
      </c>
      <c r="U41" t="n">
        <v>3673.473958</v>
      </c>
      <c r="V41" t="inlineStr">
        <is>
          <t>AUD</t>
        </is>
      </c>
      <c r="W41" t="n">
        <v>56.514984</v>
      </c>
      <c r="X41" s="5" t="inlineStr">
        <is>
          <t>01a152b9-9386-7582-9aa2-0771b5a4639a</t>
        </is>
      </c>
    </row>
    <row r="42">
      <c r="A42" s="5" t="inlineStr">
        <is>
          <t>01a152b9-9e42-72a2-9279-21d4ef4be340</t>
        </is>
      </c>
      <c r="C42" s="5" t="inlineStr">
        <is>
          <t>01a152b9-6e67-75da-8adb-b03e5d07fd21</t>
        </is>
      </c>
      <c r="D42" s="4" t="n">
        <v>46314.24605114771</v>
      </c>
      <c r="E42" s="4" t="n">
        <v>46314.24605888367</v>
      </c>
      <c r="F42" t="b">
        <v>1</v>
      </c>
      <c r="H42" t="inlineStr">
        <is>
          <t>2019-09-30 | PARCEL |  VDHG | 279.0000 unit</t>
        </is>
      </c>
      <c r="I42" s="5" t="inlineStr">
        <is>
          <t>01a152b9-9385-7669-9dc7-938a9e56f393</t>
        </is>
      </c>
      <c r="J42" t="n">
        <v>279</v>
      </c>
      <c r="K42" t="n">
        <v>1</v>
      </c>
      <c r="L42" s="6" t="n">
        <v>44742</v>
      </c>
      <c r="N42" s="6" t="n">
        <v>44747</v>
      </c>
      <c r="O42" t="inlineStr">
        <is>
          <t>VDHG</t>
        </is>
      </c>
      <c r="P42" t="n">
        <v>0</v>
      </c>
      <c r="Q42" t="b">
        <v>1</v>
      </c>
      <c r="R42" t="inlineStr">
        <is>
          <t>AUD</t>
        </is>
      </c>
      <c r="S42" t="n">
        <v>0.027616</v>
      </c>
      <c r="T42" t="inlineStr">
        <is>
          <t>AUD</t>
        </is>
      </c>
      <c r="U42" t="n">
        <v>15767.680542</v>
      </c>
      <c r="V42" t="inlineStr">
        <is>
          <t>AUD</t>
        </is>
      </c>
      <c r="W42" t="n">
        <v>56.514984</v>
      </c>
      <c r="X42" s="5" t="inlineStr">
        <is>
          <t>01a152b9-9386-7582-9aa2-0771b5a4639a</t>
        </is>
      </c>
    </row>
    <row r="43">
      <c r="A43" s="5" t="inlineStr">
        <is>
          <t>01a152b9-a109-726b-9c25-da3204f138b9</t>
        </is>
      </c>
      <c r="C43" s="5" t="inlineStr">
        <is>
          <t>01a152b9-6e67-75da-8adb-b03e5d07fd21</t>
        </is>
      </c>
      <c r="D43" s="4" t="n">
        <v>46314.24605936775</v>
      </c>
      <c r="E43" s="4" t="n">
        <v>46314.24606054834</v>
      </c>
      <c r="F43" t="b">
        <v>1</v>
      </c>
      <c r="H43" t="inlineStr">
        <is>
          <t>2020-04-02 | PARCEL |  VDHG | 78.0000 unit</t>
        </is>
      </c>
      <c r="I43" s="5" t="inlineStr">
        <is>
          <t>01a152b9-93b9-717c-8479-12853d9d78ff</t>
        </is>
      </c>
      <c r="J43" t="n">
        <v>78</v>
      </c>
      <c r="K43" t="n">
        <v>1</v>
      </c>
      <c r="L43" s="6" t="n">
        <v>44747</v>
      </c>
      <c r="N43" s="6" t="n">
        <v>44747</v>
      </c>
      <c r="O43" t="inlineStr">
        <is>
          <t>VDHG</t>
        </is>
      </c>
      <c r="P43" t="n">
        <v>0</v>
      </c>
      <c r="Q43" t="b">
        <v>1</v>
      </c>
      <c r="R43" t="inlineStr">
        <is>
          <t>AUD</t>
        </is>
      </c>
      <c r="S43" t="n">
        <v>0.032646</v>
      </c>
      <c r="T43" t="inlineStr">
        <is>
          <t>AUD</t>
        </is>
      </c>
      <c r="U43" t="n">
        <v>3272.212392</v>
      </c>
      <c r="V43" t="inlineStr">
        <is>
          <t>AUD</t>
        </is>
      </c>
      <c r="W43" t="n">
        <v>41.951441</v>
      </c>
      <c r="X43" s="5" t="inlineStr">
        <is>
          <t>01a152b9-93ba-7162-b94e-4a96e2f43e27</t>
        </is>
      </c>
    </row>
    <row r="44">
      <c r="A44" s="5" t="inlineStr">
        <is>
          <t>01a152b9-a110-72b2-aa42-12d813cddfe5</t>
        </is>
      </c>
      <c r="C44" s="5" t="inlineStr">
        <is>
          <t>01a152b9-6e67-75da-8adb-b03e5d07fd21</t>
        </is>
      </c>
      <c r="D44" s="4" t="n">
        <v>46314.24605945453</v>
      </c>
      <c r="E44" s="4" t="n">
        <v>46314.24606106427</v>
      </c>
      <c r="F44" t="b">
        <v>1</v>
      </c>
      <c r="H44" t="inlineStr">
        <is>
          <t>2020-04-02 | PARCEL |  VDHG | 213.0000 unit</t>
        </is>
      </c>
      <c r="I44" s="5" t="inlineStr">
        <is>
          <t>01a152b9-93b9-717c-8479-12853d9d78ff</t>
        </is>
      </c>
      <c r="J44" t="n">
        <v>213</v>
      </c>
      <c r="K44" t="n">
        <v>1</v>
      </c>
      <c r="L44" s="6" t="n">
        <v>44747</v>
      </c>
      <c r="N44" s="6" t="n">
        <v>44749</v>
      </c>
      <c r="O44" t="inlineStr">
        <is>
          <t>VDHG</t>
        </is>
      </c>
      <c r="P44" t="n">
        <v>0</v>
      </c>
      <c r="Q44" t="b">
        <v>1</v>
      </c>
      <c r="R44" t="inlineStr">
        <is>
          <t>AUD</t>
        </is>
      </c>
      <c r="S44" t="n">
        <v>0.032646</v>
      </c>
      <c r="T44" t="inlineStr">
        <is>
          <t>AUD</t>
        </is>
      </c>
      <c r="U44" t="n">
        <v>8935.656808</v>
      </c>
      <c r="V44" t="inlineStr">
        <is>
          <t>AUD</t>
        </is>
      </c>
      <c r="W44" t="n">
        <v>41.95144</v>
      </c>
      <c r="X44" s="5" t="inlineStr">
        <is>
          <t>01a152b9-93ba-7162-b94e-4a96e2f43e27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2" customWidth="1" min="1" max="1"/>
    <col width="11.2" customWidth="1" min="2" max="2"/>
    <col width="38.2" customWidth="1" min="3" max="3"/>
    <col width="28.2" customWidth="1" min="4" max="4"/>
    <col width="28.2" customWidth="1" min="5" max="5"/>
    <col width="11.2" customWidth="1" min="6" max="6"/>
    <col width="7.2" customWidth="1" min="7" max="7"/>
    <col width="28.2" customWidth="1" min="8" max="8"/>
    <col width="19.2" customWidth="1" min="9" max="9"/>
    <col width="38.2" customWidth="1" min="10" max="10"/>
    <col width="38.2" customWidth="1" min="11" max="11"/>
    <col width="10.2" customWidth="1" min="12" max="12"/>
    <col width="22.2" customWidth="1" min="13" max="13"/>
    <col width="30.2" customWidth="1" min="14" max="14"/>
    <col width="22.2" customWidth="1" min="15" max="15"/>
    <col width="40.2" customWidth="1" min="16" max="16"/>
    <col width="31.2" customWidth="1" min="17" max="17"/>
  </cols>
  <sheetData>
    <row r="1" ht="32" customHeight="1">
      <c r="A1" s="1" t="inlineStr">
        <is>
          <t>id</t>
        </is>
      </c>
      <c r="B1" s="1" t="inlineStr">
        <is>
          <t>legacy_id</t>
        </is>
      </c>
      <c r="C1" s="1" t="inlineStr">
        <is>
          <t>account_id</t>
        </is>
      </c>
      <c r="D1" s="1" t="inlineStr">
        <is>
          <t>created_at</t>
        </is>
      </c>
      <c r="E1" s="1" t="inlineStr">
        <is>
          <t>updated_at</t>
        </is>
      </c>
      <c r="F1" s="1" t="inlineStr">
        <is>
          <t>is_active</t>
        </is>
      </c>
      <c r="G1" s="1" t="inlineStr">
        <is>
          <t>notes</t>
        </is>
      </c>
      <c r="H1" s="1" t="inlineStr">
        <is>
          <t>description</t>
        </is>
      </c>
      <c r="I1" s="1" t="inlineStr">
        <is>
          <t>_creation_handled</t>
        </is>
      </c>
      <c r="J1" s="1" t="inlineStr">
        <is>
          <t>parcel_id</t>
        </is>
      </c>
      <c r="K1" s="1" t="inlineStr">
        <is>
          <t>sell_id</t>
        </is>
      </c>
      <c r="L1" s="1" t="inlineStr">
        <is>
          <t>quantity</t>
        </is>
      </c>
      <c r="M1" s="1" t="inlineStr">
        <is>
          <t>calculated_sale_date</t>
        </is>
      </c>
      <c r="N1" s="1" t="inlineStr">
        <is>
          <t>calculated_fiscal_year__name</t>
        </is>
      </c>
      <c r="O1" s="1" t="inlineStr">
        <is>
          <t>calculated_days_held</t>
        </is>
      </c>
      <c r="P1" s="1" t="inlineStr">
        <is>
          <t>calculated_total_capital_gain_currency</t>
        </is>
      </c>
      <c r="Q1" s="1" t="inlineStr">
        <is>
          <t>calculated_total_capital_gain</t>
        </is>
      </c>
    </row>
    <row r="2">
      <c r="A2" s="5" t="inlineStr">
        <is>
          <t>01a152b9-9de3-76d9-a096-e6c3fa1d7326</t>
        </is>
      </c>
      <c r="C2" s="5" t="inlineStr">
        <is>
          <t>01a152b9-6e67-75da-8adb-b03e5d07fd21</t>
        </is>
      </c>
      <c r="D2" s="4" t="n">
        <v>46314.24605005598</v>
      </c>
      <c r="E2" s="4" t="n">
        <v>46314.2460525862</v>
      </c>
      <c r="F2" t="b">
        <v>1</v>
      </c>
      <c r="H2" t="inlineStr">
        <is>
          <t>2022-06-30 VDHG | 121.0000</t>
        </is>
      </c>
      <c r="I2" t="b">
        <v>1</v>
      </c>
      <c r="J2" s="5" t="inlineStr">
        <is>
          <t>01a152b9-9310-73e5-9fb3-d0a2d881b358</t>
        </is>
      </c>
      <c r="K2" s="5" t="inlineStr">
        <is>
          <t>01a152b9-9dd9-7425-a1d1-cb0364de5dbd</t>
        </is>
      </c>
      <c r="L2" t="n">
        <v>121</v>
      </c>
      <c r="M2" s="6" t="n">
        <v>44742</v>
      </c>
      <c r="N2" t="inlineStr">
        <is>
          <t>FY2021/22</t>
        </is>
      </c>
      <c r="O2" t="n">
        <v>1554</v>
      </c>
      <c r="P2" t="inlineStr">
        <is>
          <t>AUD</t>
        </is>
      </c>
      <c r="Q2" t="n">
        <v>352.289818</v>
      </c>
    </row>
    <row r="3">
      <c r="A3" s="5" t="inlineStr">
        <is>
          <t>01a152b9-9dfa-7299-ba8f-074ca4e5a9c1</t>
        </is>
      </c>
      <c r="C3" s="5" t="inlineStr">
        <is>
          <t>01a152b9-6e67-75da-8adb-b03e5d07fd21</t>
        </is>
      </c>
      <c r="D3" s="4" t="n">
        <v>46314.24605032234</v>
      </c>
      <c r="E3" s="4" t="n">
        <v>46314.24605284227</v>
      </c>
      <c r="F3" t="b">
        <v>1</v>
      </c>
      <c r="H3" t="inlineStr">
        <is>
          <t>2022-06-30 VDHG | 209.0000</t>
        </is>
      </c>
      <c r="I3" t="b">
        <v>1</v>
      </c>
      <c r="J3" s="5" t="inlineStr">
        <is>
          <t>01a152b9-9330-70a0-a8f8-e4bd1c0a37d1</t>
        </is>
      </c>
      <c r="K3" s="5" t="inlineStr">
        <is>
          <t>01a152b9-9dd9-7425-a1d1-cb0364de5dbd</t>
        </is>
      </c>
      <c r="L3" t="n">
        <v>209</v>
      </c>
      <c r="M3" s="6" t="n">
        <v>44742</v>
      </c>
      <c r="N3" t="inlineStr">
        <is>
          <t>FY2021/22</t>
        </is>
      </c>
      <c r="O3" t="n">
        <v>1528</v>
      </c>
      <c r="P3" t="inlineStr">
        <is>
          <t>AUD</t>
        </is>
      </c>
      <c r="Q3" t="n">
        <v>867.420521</v>
      </c>
    </row>
    <row r="4">
      <c r="A4" s="5" t="inlineStr">
        <is>
          <t>01a152b9-9e0d-7690-9c09-8fe2530562ee</t>
        </is>
      </c>
      <c r="C4" s="5" t="inlineStr">
        <is>
          <t>01a152b9-6e67-75da-8adb-b03e5d07fd21</t>
        </is>
      </c>
      <c r="D4" s="4" t="n">
        <v>46314.24605053998</v>
      </c>
      <c r="E4" s="4" t="n">
        <v>46314.24605319517</v>
      </c>
      <c r="F4" t="b">
        <v>1</v>
      </c>
      <c r="H4" t="inlineStr">
        <is>
          <t>2022-06-30 VDHG | 238.0000</t>
        </is>
      </c>
      <c r="I4" t="b">
        <v>1</v>
      </c>
      <c r="J4" s="5" t="inlineStr">
        <is>
          <t>01a152b9-934b-7247-b088-6dad534183ec</t>
        </is>
      </c>
      <c r="K4" s="5" t="inlineStr">
        <is>
          <t>01a152b9-9dd9-7425-a1d1-cb0364de5dbd</t>
        </is>
      </c>
      <c r="L4" t="n">
        <v>238</v>
      </c>
      <c r="M4" s="6" t="n">
        <v>44742</v>
      </c>
      <c r="N4" t="inlineStr">
        <is>
          <t>FY2021/22</t>
        </is>
      </c>
      <c r="O4" t="n">
        <v>1189</v>
      </c>
      <c r="P4" t="inlineStr">
        <is>
          <t>AUD</t>
        </is>
      </c>
      <c r="Q4" t="n">
        <v>439.175612</v>
      </c>
    </row>
    <row r="5">
      <c r="A5" s="5" t="inlineStr">
        <is>
          <t>01a152b9-9e23-70dd-9e00-16a8e6b9b268</t>
        </is>
      </c>
      <c r="C5" s="5" t="inlineStr">
        <is>
          <t>01a152b9-6e67-75da-8adb-b03e5d07fd21</t>
        </is>
      </c>
      <c r="D5" s="4" t="n">
        <v>46314.24605079371</v>
      </c>
      <c r="E5" s="4" t="n">
        <v>46314.24605297523</v>
      </c>
      <c r="F5" t="b">
        <v>1</v>
      </c>
      <c r="H5" t="inlineStr">
        <is>
          <t>2022-06-30 VDHG | 210.0000</t>
        </is>
      </c>
      <c r="I5" t="b">
        <v>1</v>
      </c>
      <c r="J5" s="5" t="inlineStr">
        <is>
          <t>01a152b9-936b-763f-b2ea-0377d064edc9</t>
        </is>
      </c>
      <c r="K5" s="5" t="inlineStr">
        <is>
          <t>01a152b9-9dd9-7425-a1d1-cb0364de5dbd</t>
        </is>
      </c>
      <c r="L5" t="n">
        <v>210</v>
      </c>
      <c r="M5" s="6" t="n">
        <v>44742</v>
      </c>
      <c r="N5" t="inlineStr">
        <is>
          <t>FY2021/22</t>
        </is>
      </c>
      <c r="O5" t="n">
        <v>1059</v>
      </c>
      <c r="P5" t="inlineStr">
        <is>
          <t>AUD</t>
        </is>
      </c>
      <c r="Q5" t="n">
        <v>-421.462548</v>
      </c>
    </row>
    <row r="6">
      <c r="A6" s="5" t="inlineStr">
        <is>
          <t>01a152b9-9e38-77b7-8a42-e712092593b2</t>
        </is>
      </c>
      <c r="C6" s="5" t="inlineStr">
        <is>
          <t>01a152b9-6e67-75da-8adb-b03e5d07fd21</t>
        </is>
      </c>
      <c r="D6" s="4" t="n">
        <v>46314.24605104615</v>
      </c>
      <c r="E6" s="4" t="n">
        <v>46314.24605243389</v>
      </c>
      <c r="F6" t="b">
        <v>1</v>
      </c>
      <c r="H6" t="inlineStr">
        <is>
          <t>2022-06-30 VDHG | 65.0000</t>
        </is>
      </c>
      <c r="I6" t="b">
        <v>1</v>
      </c>
      <c r="J6" s="5" t="inlineStr">
        <is>
          <t>01a152b9-9e3b-705d-8c1e-253f5175eee2</t>
        </is>
      </c>
      <c r="K6" s="5" t="inlineStr">
        <is>
          <t>01a152b9-9dd9-7425-a1d1-cb0364de5dbd</t>
        </is>
      </c>
      <c r="L6" t="n">
        <v>65</v>
      </c>
      <c r="M6" s="6" t="n">
        <v>44742</v>
      </c>
      <c r="N6" t="inlineStr">
        <is>
          <t>FY2021/22</t>
        </is>
      </c>
      <c r="O6" t="n">
        <v>1004</v>
      </c>
      <c r="P6" t="inlineStr">
        <is>
          <t>AUD</t>
        </is>
      </c>
      <c r="Q6" t="n">
        <v>-116.106461</v>
      </c>
    </row>
    <row r="7">
      <c r="A7" s="5" t="inlineStr">
        <is>
          <t>01a152b9-a0d9-735d-ab02-05296e664437</t>
        </is>
      </c>
      <c r="C7" s="5" t="inlineStr">
        <is>
          <t>01a152b9-6e67-75da-8adb-b03e5d07fd21</t>
        </is>
      </c>
      <c r="D7" s="4" t="n">
        <v>46314.24605882793</v>
      </c>
      <c r="E7" s="4" t="n">
        <v>46314.24605882806</v>
      </c>
      <c r="F7" t="b">
        <v>1</v>
      </c>
      <c r="H7" t="inlineStr">
        <is>
          <t>2022-07-05 VDHG | 279.0000</t>
        </is>
      </c>
      <c r="I7" t="b">
        <v>1</v>
      </c>
      <c r="J7" s="5" t="inlineStr">
        <is>
          <t>01a152b9-9e42-72a2-9279-21d4ef4be340</t>
        </is>
      </c>
      <c r="K7" s="5" t="inlineStr">
        <is>
          <t>01a152b9-a0d1-7675-a126-6ddbd81a1037</t>
        </is>
      </c>
      <c r="L7" t="n">
        <v>279</v>
      </c>
      <c r="M7" s="6" t="n">
        <v>44747</v>
      </c>
      <c r="N7" t="inlineStr">
        <is>
          <t>FY2022/23</t>
        </is>
      </c>
      <c r="O7" t="n">
        <v>1009</v>
      </c>
      <c r="P7" t="inlineStr">
        <is>
          <t>AUD</t>
        </is>
      </c>
      <c r="Q7" t="n">
        <v>-371.197317</v>
      </c>
    </row>
    <row r="8">
      <c r="A8" s="5" t="inlineStr">
        <is>
          <t>01a152b9-a0f3-7410-8d67-6f26f92bdaf7</t>
        </is>
      </c>
      <c r="C8" s="5" t="inlineStr">
        <is>
          <t>01a152b9-6e67-75da-8adb-b03e5d07fd21</t>
        </is>
      </c>
      <c r="D8" s="4" t="n">
        <v>46314.24605912856</v>
      </c>
      <c r="E8" s="4" t="n">
        <v>46314.24605912864</v>
      </c>
      <c r="F8" t="b">
        <v>1</v>
      </c>
      <c r="H8" t="inlineStr">
        <is>
          <t>2022-07-05 VDHG | 257.0000</t>
        </is>
      </c>
      <c r="I8" t="b">
        <v>1</v>
      </c>
      <c r="J8" s="5" t="inlineStr">
        <is>
          <t>01a152b9-93a0-7020-914d-afff81d3a029</t>
        </is>
      </c>
      <c r="K8" s="5" t="inlineStr">
        <is>
          <t>01a152b9-a0d1-7675-a126-6ddbd81a1037</t>
        </is>
      </c>
      <c r="L8" t="n">
        <v>257</v>
      </c>
      <c r="M8" s="6" t="n">
        <v>44747</v>
      </c>
      <c r="N8" t="inlineStr">
        <is>
          <t>FY2022/23</t>
        </is>
      </c>
      <c r="O8" t="n">
        <v>988</v>
      </c>
      <c r="P8" t="inlineStr">
        <is>
          <t>AUD</t>
        </is>
      </c>
      <c r="Q8" t="n">
        <v>-832.046384</v>
      </c>
    </row>
    <row r="9">
      <c r="A9" s="5" t="inlineStr">
        <is>
          <t>01a152b9-a107-7100-8153-2c853fbd12f0</t>
        </is>
      </c>
      <c r="C9" s="5" t="inlineStr">
        <is>
          <t>01a152b9-6e67-75da-8adb-b03e5d07fd21</t>
        </is>
      </c>
      <c r="D9" s="4" t="n">
        <v>46314.24605935178</v>
      </c>
      <c r="E9" s="4" t="n">
        <v>46314.24606046709</v>
      </c>
      <c r="F9" t="b">
        <v>1</v>
      </c>
      <c r="H9" t="inlineStr">
        <is>
          <t>2022-07-05 VDHG | 78.0000</t>
        </is>
      </c>
      <c r="I9" t="b">
        <v>1</v>
      </c>
      <c r="J9" s="5" t="inlineStr">
        <is>
          <t>01a152b9-a109-726b-9c25-da3204f138b9</t>
        </is>
      </c>
      <c r="K9" s="5" t="inlineStr">
        <is>
          <t>01a152b9-a0d1-7675-a126-6ddbd81a1037</t>
        </is>
      </c>
      <c r="L9" t="n">
        <v>78</v>
      </c>
      <c r="M9" s="6" t="n">
        <v>44747</v>
      </c>
      <c r="N9" t="inlineStr">
        <is>
          <t>FY2022/23</t>
        </is>
      </c>
      <c r="O9" t="n">
        <v>824</v>
      </c>
      <c r="P9" t="inlineStr">
        <is>
          <t>AUD</t>
        </is>
      </c>
      <c r="Q9" t="n">
        <v>1032.180768</v>
      </c>
    </row>
    <row r="10">
      <c r="A10" s="5" t="inlineStr">
        <is>
          <t>01a152b9-a196-719d-8bac-aed3dfd35f4d</t>
        </is>
      </c>
      <c r="C10" s="5" t="inlineStr">
        <is>
          <t>01a152b9-6e67-75da-8adb-b03e5d07fd21</t>
        </is>
      </c>
      <c r="D10" s="4" t="n">
        <v>46314.24606101729</v>
      </c>
      <c r="E10" s="4" t="n">
        <v>46314.24606101739</v>
      </c>
      <c r="F10" t="b">
        <v>1</v>
      </c>
      <c r="H10" t="inlineStr">
        <is>
          <t>2022-07-07 VDHG | 213.0000</t>
        </is>
      </c>
      <c r="I10" t="b">
        <v>1</v>
      </c>
      <c r="J10" s="5" t="inlineStr">
        <is>
          <t>01a152b9-a110-72b2-aa42-12d813cddfe5</t>
        </is>
      </c>
      <c r="K10" s="5" t="inlineStr">
        <is>
          <t>01a152b9-a190-713f-aedd-ef36ed5a01a0</t>
        </is>
      </c>
      <c r="L10" t="n">
        <v>213</v>
      </c>
      <c r="M10" s="6" t="n">
        <v>44749</v>
      </c>
      <c r="N10" t="inlineStr">
        <is>
          <t>FY2022/23</t>
        </is>
      </c>
      <c r="O10" t="n">
        <v>826</v>
      </c>
      <c r="P10" t="inlineStr">
        <is>
          <t>AUD</t>
        </is>
      </c>
      <c r="Q10" t="n">
        <v>2340.669692</v>
      </c>
    </row>
    <row r="11">
      <c r="A11" s="5" t="inlineStr">
        <is>
          <t>01a152b9-a1ad-76e0-929a-235d3b02b1dd</t>
        </is>
      </c>
      <c r="C11" s="5" t="inlineStr">
        <is>
          <t>01a152b9-6e67-75da-8adb-b03e5d07fd21</t>
        </is>
      </c>
      <c r="D11" s="4" t="n">
        <v>46314.24606127827</v>
      </c>
      <c r="E11" s="4" t="n">
        <v>46314.24606127837</v>
      </c>
      <c r="F11" t="b">
        <v>1</v>
      </c>
      <c r="H11" t="inlineStr">
        <is>
          <t>2022-07-07 VDHG | 233.0000</t>
        </is>
      </c>
      <c r="I11" t="b">
        <v>1</v>
      </c>
      <c r="J11" s="5" t="inlineStr">
        <is>
          <t>01a152b9-93d8-741c-b03f-96b816de68cf</t>
        </is>
      </c>
      <c r="K11" s="5" t="inlineStr">
        <is>
          <t>01a152b9-a190-713f-aedd-ef36ed5a01a0</t>
        </is>
      </c>
      <c r="L11" t="n">
        <v>233</v>
      </c>
      <c r="M11" s="6" t="n">
        <v>44749</v>
      </c>
      <c r="N11" t="inlineStr">
        <is>
          <t>FY2022/23</t>
        </is>
      </c>
      <c r="O11" t="n">
        <v>793</v>
      </c>
      <c r="P11" t="inlineStr">
        <is>
          <t>AUD</t>
        </is>
      </c>
      <c r="Q11" t="n">
        <v>978.3173</v>
      </c>
    </row>
    <row r="12">
      <c r="A12" s="5" t="inlineStr">
        <is>
          <t>01a152b9-a1c3-74ed-8f2e-91316707bb2d</t>
        </is>
      </c>
      <c r="C12" s="5" t="inlineStr">
        <is>
          <t>01a152b9-6e67-75da-8adb-b03e5d07fd21</t>
        </is>
      </c>
      <c r="D12" s="4" t="n">
        <v>46314.24606153267</v>
      </c>
      <c r="E12" s="4" t="n">
        <v>46314.24606153277</v>
      </c>
      <c r="F12" t="b">
        <v>1</v>
      </c>
      <c r="H12" t="inlineStr">
        <is>
          <t>2022-07-07 VDHG | 400.0000</t>
        </is>
      </c>
      <c r="I12" t="b">
        <v>1</v>
      </c>
      <c r="J12" s="5" t="inlineStr">
        <is>
          <t>01a152b9-942e-76dc-a2de-ceec571c1474</t>
        </is>
      </c>
      <c r="K12" s="5" t="inlineStr">
        <is>
          <t>01a152b9-a190-713f-aedd-ef36ed5a01a0</t>
        </is>
      </c>
      <c r="L12" t="n">
        <v>400</v>
      </c>
      <c r="M12" s="6" t="n">
        <v>44749</v>
      </c>
      <c r="N12" t="inlineStr">
        <is>
          <t>FY2022/23</t>
        </is>
      </c>
      <c r="O12" t="n">
        <v>759</v>
      </c>
      <c r="P12" t="inlineStr">
        <is>
          <t>AUD</t>
        </is>
      </c>
      <c r="Q12" t="n">
        <v>-417.3489</v>
      </c>
    </row>
    <row r="13">
      <c r="A13" s="5" t="inlineStr">
        <is>
          <t>01a152b9-a1d7-7183-bfad-de3bd1ddecd0</t>
        </is>
      </c>
      <c r="C13" s="5" t="inlineStr">
        <is>
          <t>01a152b9-6e67-75da-8adb-b03e5d07fd21</t>
        </is>
      </c>
      <c r="D13" s="4" t="n">
        <v>46314.2460617611</v>
      </c>
      <c r="E13" s="4" t="n">
        <v>46314.2460617612</v>
      </c>
      <c r="F13" t="b">
        <v>1</v>
      </c>
      <c r="H13" t="inlineStr">
        <is>
          <t>2022-07-07 VDHG | 154.0000</t>
        </is>
      </c>
      <c r="I13" t="b">
        <v>1</v>
      </c>
      <c r="J13" s="5" t="inlineStr">
        <is>
          <t>01a152b9-944e-753e-b691-b12012b84d66</t>
        </is>
      </c>
      <c r="K13" s="5" t="inlineStr">
        <is>
          <t>01a152b9-a190-713f-aedd-ef36ed5a01a0</t>
        </is>
      </c>
      <c r="L13" t="n">
        <v>154</v>
      </c>
      <c r="M13" s="6" t="n">
        <v>44749</v>
      </c>
      <c r="N13" t="inlineStr">
        <is>
          <t>FY2022/23</t>
        </is>
      </c>
      <c r="O13" t="n">
        <v>741</v>
      </c>
      <c r="P13" t="inlineStr">
        <is>
          <t>AUD</t>
        </is>
      </c>
      <c r="Q13" t="n">
        <v>-61.2821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2" customWidth="1" min="1" max="1"/>
    <col width="11.2" customWidth="1" min="2" max="2"/>
    <col width="82.2" customWidth="1" min="3" max="3"/>
    <col width="38.2" customWidth="1" min="4" max="4"/>
    <col width="28.2" customWidth="1" min="5" max="5"/>
    <col width="28.2" customWidth="1" min="6" max="6"/>
    <col width="11.2" customWidth="1" min="7" max="7"/>
    <col width="7.2" customWidth="1" min="8" max="8"/>
    <col width="29.2" customWidth="1" min="9" max="9"/>
    <col width="20.2" customWidth="1" min="10" max="10"/>
    <col width="18.2" customWidth="1" min="11" max="11"/>
    <col width="25.2" customWidth="1" min="12" max="12"/>
    <col width="6.2" customWidth="1" min="13" max="13"/>
    <col width="19.2" customWidth="1" min="14" max="14"/>
    <col width="30.2" customWidth="1" min="15" max="15"/>
    <col width="50.2" customWidth="1" min="16" max="16"/>
    <col width="41.2" customWidth="1" min="17" max="17"/>
    <col width="19.2" customWidth="1" min="18" max="18"/>
  </cols>
  <sheetData>
    <row r="1" ht="32" customHeight="1">
      <c r="A1" s="1" t="inlineStr">
        <is>
          <t>id</t>
        </is>
      </c>
      <c r="B1" s="1" t="inlineStr">
        <is>
          <t>legacy_id</t>
        </is>
      </c>
      <c r="C1" s="1" t="inlineStr">
        <is>
          <t>description</t>
        </is>
      </c>
      <c r="D1" s="1" t="inlineStr">
        <is>
          <t>account_id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is_active</t>
        </is>
      </c>
      <c r="H1" s="1" t="inlineStr">
        <is>
          <t>notes</t>
        </is>
      </c>
      <c r="I1" s="1" t="inlineStr">
        <is>
          <t>cost_base_increase_currency</t>
        </is>
      </c>
      <c r="J1" s="1" t="inlineStr">
        <is>
          <t>cost_base_increase</t>
        </is>
      </c>
      <c r="K1" s="1" t="inlineStr">
        <is>
          <t>instrument__name</t>
        </is>
      </c>
      <c r="L1" s="1" t="inlineStr">
        <is>
          <t>financial_year_end_date</t>
        </is>
      </c>
      <c r="M1" s="1" t="inlineStr">
        <is>
          <t>file</t>
        </is>
      </c>
      <c r="N1" s="1" t="inlineStr">
        <is>
          <t>_creation_handled</t>
        </is>
      </c>
      <c r="O1" s="1" t="inlineStr">
        <is>
          <t>calculated_fiscal_year__name</t>
        </is>
      </c>
      <c r="P1" s="1" t="inlineStr">
        <is>
          <t>calculated_cost_base_increase_converted_currency</t>
        </is>
      </c>
      <c r="Q1" s="1" t="inlineStr">
        <is>
          <t>calculated_cost_base_increase_converted</t>
        </is>
      </c>
      <c r="R1" s="1" t="inlineStr">
        <is>
          <t>allocation_method</t>
        </is>
      </c>
    </row>
    <row r="2">
      <c r="A2" s="5" t="inlineStr">
        <is>
          <t>01a152b9-97bb-70df-bbec-14d053d00d24</t>
        </is>
      </c>
      <c r="B2" t="inlineStr">
        <is>
          <t>A006</t>
        </is>
      </c>
      <c r="C2" s="3" t="inlineStr">
        <is>
          <t>01a152b9-97bb-70df-bbec-14d053d00d24 | 2015-06-30 | Adjustment of VGS | Cost base increase = A$0.00</t>
        </is>
      </c>
      <c r="D2" s="5" t="inlineStr">
        <is>
          <t>01a152b9-6e67-75da-8adb-b03e5d07fd21</t>
        </is>
      </c>
      <c r="E2" s="4" t="n">
        <v>46314.24603180326</v>
      </c>
      <c r="F2" s="4" t="n">
        <v>46314.24603180339</v>
      </c>
      <c r="G2" t="b">
        <v>1</v>
      </c>
      <c r="I2" t="inlineStr">
        <is>
          <t>AUD</t>
        </is>
      </c>
      <c r="J2" t="n">
        <v>0</v>
      </c>
      <c r="K2" t="inlineStr">
        <is>
          <t>VGS</t>
        </is>
      </c>
      <c r="L2" s="6" t="n">
        <v>42185</v>
      </c>
      <c r="M2" t="inlineStr"/>
      <c r="N2" t="b">
        <v>1</v>
      </c>
      <c r="O2" t="inlineStr">
        <is>
          <t>FY2014/15</t>
        </is>
      </c>
      <c r="P2" t="inlineStr">
        <is>
          <t>AUD</t>
        </is>
      </c>
      <c r="Q2" t="n">
        <v>0</v>
      </c>
      <c r="R2" t="inlineStr">
        <is>
          <t>QTY_HELD</t>
        </is>
      </c>
    </row>
    <row r="3">
      <c r="A3" s="5" t="inlineStr">
        <is>
          <t>01a152b9-97e1-75d4-8281-98a9bf797052</t>
        </is>
      </c>
      <c r="B3" t="inlineStr">
        <is>
          <t>A007</t>
        </is>
      </c>
      <c r="C3" s="3" t="inlineStr">
        <is>
          <t>01a152b9-97e1-75d4-8281-98a9bf797052 | 2016-06-30 | Adjustment of VGS | Cost base increase = A$0.00</t>
        </is>
      </c>
      <c r="D3" s="5" t="inlineStr">
        <is>
          <t>01a152b9-6e67-75da-8adb-b03e5d07fd21</t>
        </is>
      </c>
      <c r="E3" s="4" t="n">
        <v>46314.24603224763</v>
      </c>
      <c r="F3" s="4" t="n">
        <v>46314.24603224778</v>
      </c>
      <c r="G3" t="b">
        <v>1</v>
      </c>
      <c r="I3" t="inlineStr">
        <is>
          <t>AUD</t>
        </is>
      </c>
      <c r="J3" t="n">
        <v>0</v>
      </c>
      <c r="K3" t="inlineStr">
        <is>
          <t>VGS</t>
        </is>
      </c>
      <c r="L3" s="6" t="n">
        <v>42551</v>
      </c>
      <c r="M3" t="inlineStr"/>
      <c r="N3" t="b">
        <v>1</v>
      </c>
      <c r="O3" t="inlineStr">
        <is>
          <t>FY2015/16</t>
        </is>
      </c>
      <c r="P3" t="inlineStr">
        <is>
          <t>AUD</t>
        </is>
      </c>
      <c r="Q3" t="n">
        <v>0</v>
      </c>
      <c r="R3" t="inlineStr">
        <is>
          <t>QTY_HELD</t>
        </is>
      </c>
    </row>
    <row r="4">
      <c r="A4" s="5" t="inlineStr">
        <is>
          <t>01a152b9-9837-7595-b9ad-b59b29e2f41a</t>
        </is>
      </c>
      <c r="B4" t="inlineStr">
        <is>
          <t>A008</t>
        </is>
      </c>
      <c r="C4" s="3" t="inlineStr">
        <is>
          <t>01a152b9-9837-7595-b9ad-b59b29e2f41a | 2017-06-30 | Adjustment of VGS | Cost base increase = A$0.00</t>
        </is>
      </c>
      <c r="D4" s="5" t="inlineStr">
        <is>
          <t>01a152b9-6e67-75da-8adb-b03e5d07fd21</t>
        </is>
      </c>
      <c r="E4" s="4" t="n">
        <v>46314.2460332429</v>
      </c>
      <c r="F4" s="4" t="n">
        <v>46314.24603324298</v>
      </c>
      <c r="G4" t="b">
        <v>1</v>
      </c>
      <c r="I4" t="inlineStr">
        <is>
          <t>AUD</t>
        </is>
      </c>
      <c r="J4" t="n">
        <v>0</v>
      </c>
      <c r="K4" t="inlineStr">
        <is>
          <t>VGS</t>
        </is>
      </c>
      <c r="L4" s="6" t="n">
        <v>42916</v>
      </c>
      <c r="M4" t="inlineStr"/>
      <c r="N4" t="b">
        <v>1</v>
      </c>
      <c r="O4" t="inlineStr">
        <is>
          <t>FY2016/17</t>
        </is>
      </c>
      <c r="P4" t="inlineStr">
        <is>
          <t>AUD</t>
        </is>
      </c>
      <c r="Q4" t="n">
        <v>0</v>
      </c>
      <c r="R4" t="inlineStr">
        <is>
          <t>QTY_HELD</t>
        </is>
      </c>
    </row>
    <row r="5">
      <c r="A5" s="5" t="inlineStr">
        <is>
          <t>01a152b9-98a5-722c-9576-bc9ba80bf48c</t>
        </is>
      </c>
      <c r="B5" t="inlineStr">
        <is>
          <t>A001</t>
        </is>
      </c>
      <c r="C5" s="3" t="inlineStr">
        <is>
          <t>01a152b9-98a5-722c-9576-bc9ba80bf48c | 2018-06-30 | Adjustment of VDHG | Cost base increase = -A$13.98</t>
        </is>
      </c>
      <c r="D5" s="5" t="inlineStr">
        <is>
          <t>01a152b9-6e67-75da-8adb-b03e5d07fd21</t>
        </is>
      </c>
      <c r="E5" s="4" t="n">
        <v>46314.24603451934</v>
      </c>
      <c r="F5" s="4" t="n">
        <v>46314.24603451946</v>
      </c>
      <c r="G5" t="b">
        <v>1</v>
      </c>
      <c r="I5" t="inlineStr">
        <is>
          <t>AUD</t>
        </is>
      </c>
      <c r="J5" t="n">
        <v>-13.98</v>
      </c>
      <c r="K5" t="inlineStr">
        <is>
          <t>VDHG</t>
        </is>
      </c>
      <c r="L5" s="6" t="n">
        <v>43281</v>
      </c>
      <c r="M5" t="inlineStr"/>
      <c r="N5" t="b">
        <v>1</v>
      </c>
      <c r="O5" t="inlineStr">
        <is>
          <t>FY2017/18</t>
        </is>
      </c>
      <c r="P5" t="inlineStr">
        <is>
          <t>AUD</t>
        </is>
      </c>
      <c r="Q5" t="n">
        <v>-13.98</v>
      </c>
      <c r="R5" t="inlineStr">
        <is>
          <t>QTY_HELD</t>
        </is>
      </c>
    </row>
    <row r="6">
      <c r="A6" s="5" t="inlineStr">
        <is>
          <t>01a152b9-98c7-7451-b1c6-7b522f661c4c</t>
        </is>
      </c>
      <c r="B6" t="inlineStr">
        <is>
          <t>A009</t>
        </is>
      </c>
      <c r="C6" s="3" t="inlineStr">
        <is>
          <t>01a152b9-98c7-7451-b1c6-7b522f661c4c | 2018-06-30 | Adjustment of VGS | Cost base increase = A$220.00</t>
        </is>
      </c>
      <c r="D6" s="5" t="inlineStr">
        <is>
          <t>01a152b9-6e67-75da-8adb-b03e5d07fd21</t>
        </is>
      </c>
      <c r="E6" s="4" t="n">
        <v>46314.24603490651</v>
      </c>
      <c r="F6" s="4" t="n">
        <v>46314.2460349066</v>
      </c>
      <c r="G6" t="b">
        <v>1</v>
      </c>
      <c r="I6" t="inlineStr">
        <is>
          <t>AUD</t>
        </is>
      </c>
      <c r="J6" t="n">
        <v>220</v>
      </c>
      <c r="K6" t="inlineStr">
        <is>
          <t>VGS</t>
        </is>
      </c>
      <c r="L6" s="6" t="n">
        <v>43281</v>
      </c>
      <c r="M6" t="inlineStr"/>
      <c r="N6" t="b">
        <v>1</v>
      </c>
      <c r="O6" t="inlineStr">
        <is>
          <t>FY2017/18</t>
        </is>
      </c>
      <c r="P6" t="inlineStr">
        <is>
          <t>AUD</t>
        </is>
      </c>
      <c r="Q6" t="n">
        <v>220</v>
      </c>
      <c r="R6" t="inlineStr">
        <is>
          <t>QTY_HELD</t>
        </is>
      </c>
    </row>
    <row r="7">
      <c r="A7" s="5" t="inlineStr">
        <is>
          <t>01a152b9-996b-779d-b475-4aefe0dc0b68</t>
        </is>
      </c>
      <c r="B7" t="inlineStr">
        <is>
          <t>A002</t>
        </is>
      </c>
      <c r="C7" s="3" t="inlineStr">
        <is>
          <t>01a152b9-996b-779d-b475-4aefe0dc0b68 | 2019-06-30 | Adjustment of VDHG | Cost base increase = A$161.56</t>
        </is>
      </c>
      <c r="D7" s="5" t="inlineStr">
        <is>
          <t>01a152b9-6e67-75da-8adb-b03e5d07fd21</t>
        </is>
      </c>
      <c r="E7" s="4" t="n">
        <v>46314.24603680869</v>
      </c>
      <c r="F7" s="4" t="n">
        <v>46314.24603680882</v>
      </c>
      <c r="G7" t="b">
        <v>1</v>
      </c>
      <c r="I7" t="inlineStr">
        <is>
          <t>AUD</t>
        </is>
      </c>
      <c r="J7" t="n">
        <v>161.56</v>
      </c>
      <c r="K7" t="inlineStr">
        <is>
          <t>VDHG</t>
        </is>
      </c>
      <c r="L7" s="6" t="n">
        <v>43646</v>
      </c>
      <c r="M7" t="inlineStr"/>
      <c r="N7" t="b">
        <v>1</v>
      </c>
      <c r="O7" t="inlineStr">
        <is>
          <t>FY2018/19</t>
        </is>
      </c>
      <c r="P7" t="inlineStr">
        <is>
          <t>AUD</t>
        </is>
      </c>
      <c r="Q7" t="n">
        <v>161.56</v>
      </c>
      <c r="R7" t="inlineStr">
        <is>
          <t>QTY_HELD</t>
        </is>
      </c>
    </row>
    <row r="8">
      <c r="A8" s="5" t="inlineStr">
        <is>
          <t>01a152b9-99a3-77e1-9abd-d06d6272f053</t>
        </is>
      </c>
      <c r="B8" t="inlineStr">
        <is>
          <t>A010</t>
        </is>
      </c>
      <c r="C8" s="3" t="inlineStr">
        <is>
          <t>01a152b9-99a3-77e1-9abd-d06d6272f053 | 2019-06-30 | Adjustment of VGS | Cost base increase = A$100.00</t>
        </is>
      </c>
      <c r="D8" s="5" t="inlineStr">
        <is>
          <t>01a152b9-6e67-75da-8adb-b03e5d07fd21</t>
        </is>
      </c>
      <c r="E8" s="4" t="n">
        <v>46314.24603745683</v>
      </c>
      <c r="F8" s="4" t="n">
        <v>46314.24603745694</v>
      </c>
      <c r="G8" t="b">
        <v>1</v>
      </c>
      <c r="I8" t="inlineStr">
        <is>
          <t>AUD</t>
        </is>
      </c>
      <c r="J8" t="n">
        <v>100</v>
      </c>
      <c r="K8" t="inlineStr">
        <is>
          <t>VGS</t>
        </is>
      </c>
      <c r="L8" s="6" t="n">
        <v>43646</v>
      </c>
      <c r="M8" t="inlineStr"/>
      <c r="N8" t="b">
        <v>1</v>
      </c>
      <c r="O8" t="inlineStr">
        <is>
          <t>FY2018/19</t>
        </is>
      </c>
      <c r="P8" t="inlineStr">
        <is>
          <t>AUD</t>
        </is>
      </c>
      <c r="Q8" t="n">
        <v>100</v>
      </c>
      <c r="R8" t="inlineStr">
        <is>
          <t>QTY_HELD</t>
        </is>
      </c>
    </row>
    <row r="9">
      <c r="A9" s="5" t="inlineStr">
        <is>
          <t>01a152b9-9a76-73ac-9c1a-314efbe7883a</t>
        </is>
      </c>
      <c r="B9" t="inlineStr">
        <is>
          <t>A003</t>
        </is>
      </c>
      <c r="C9" s="3" t="inlineStr">
        <is>
          <t>01a152b9-9a76-73ac-9c1a-314efbe7883a | 2020-06-30 | Adjustment of VDHG | Cost base increase = A$1,442.62</t>
        </is>
      </c>
      <c r="D9" s="5" t="inlineStr">
        <is>
          <t>01a152b9-6e67-75da-8adb-b03e5d07fd21</t>
        </is>
      </c>
      <c r="E9" s="4" t="n">
        <v>46314.24603989392</v>
      </c>
      <c r="F9" s="4" t="n">
        <v>46314.24603989404</v>
      </c>
      <c r="G9" t="b">
        <v>1</v>
      </c>
      <c r="I9" t="inlineStr">
        <is>
          <t>AUD</t>
        </is>
      </c>
      <c r="J9" t="n">
        <v>1442.62</v>
      </c>
      <c r="K9" t="inlineStr">
        <is>
          <t>VDHG</t>
        </is>
      </c>
      <c r="L9" s="6" t="n">
        <v>44012</v>
      </c>
      <c r="M9" t="inlineStr"/>
      <c r="N9" t="b">
        <v>1</v>
      </c>
      <c r="O9" t="inlineStr">
        <is>
          <t>FY2019/20</t>
        </is>
      </c>
      <c r="P9" t="inlineStr">
        <is>
          <t>AUD</t>
        </is>
      </c>
      <c r="Q9" t="n">
        <v>1442.62</v>
      </c>
      <c r="R9" t="inlineStr">
        <is>
          <t>QTY_HELD</t>
        </is>
      </c>
    </row>
    <row r="10">
      <c r="A10" s="5" t="inlineStr">
        <is>
          <t>01a152b9-9af9-76ba-84e7-6efb7e411789</t>
        </is>
      </c>
      <c r="B10" t="inlineStr">
        <is>
          <t>A011</t>
        </is>
      </c>
      <c r="C10" s="3" t="inlineStr">
        <is>
          <t>01a152b9-9af9-76ba-84e7-6efb7e411789 | 2020-06-30 | Adjustment of VGS | Cost base increase = -A$144.00</t>
        </is>
      </c>
      <c r="D10" s="5" t="inlineStr">
        <is>
          <t>01a152b9-6e67-75da-8adb-b03e5d07fd21</t>
        </is>
      </c>
      <c r="E10" s="4" t="n">
        <v>46314.24604141429</v>
      </c>
      <c r="F10" s="4" t="n">
        <v>46314.24604141442</v>
      </c>
      <c r="G10" t="b">
        <v>1</v>
      </c>
      <c r="I10" t="inlineStr">
        <is>
          <t>AUD</t>
        </is>
      </c>
      <c r="J10" t="n">
        <v>-144</v>
      </c>
      <c r="K10" t="inlineStr">
        <is>
          <t>VGS</t>
        </is>
      </c>
      <c r="L10" s="6" t="n">
        <v>44012</v>
      </c>
      <c r="M10" t="inlineStr"/>
      <c r="N10" t="b">
        <v>1</v>
      </c>
      <c r="O10" t="inlineStr">
        <is>
          <t>FY2019/20</t>
        </is>
      </c>
      <c r="P10" t="inlineStr">
        <is>
          <t>AUD</t>
        </is>
      </c>
      <c r="Q10" t="n">
        <v>-144</v>
      </c>
      <c r="R10" t="inlineStr">
        <is>
          <t>QTY_HELD</t>
        </is>
      </c>
    </row>
    <row r="11">
      <c r="A11" s="5" t="inlineStr">
        <is>
          <t>01a152b9-9be8-7190-b61c-08b802a1ae71</t>
        </is>
      </c>
      <c r="B11" t="inlineStr">
        <is>
          <t>A004</t>
        </is>
      </c>
      <c r="C11" s="3" t="inlineStr">
        <is>
          <t>01a152b9-9be8-7190-b61c-08b802a1ae71 | 2021-06-30 | Adjustment of VDHG | Cost base increase = A$2,125.77</t>
        </is>
      </c>
      <c r="D11" s="5" t="inlineStr">
        <is>
          <t>01a152b9-6e67-75da-8adb-b03e5d07fd21</t>
        </is>
      </c>
      <c r="E11" s="4" t="n">
        <v>46314.24604417697</v>
      </c>
      <c r="F11" s="4" t="n">
        <v>46314.24604417706</v>
      </c>
      <c r="G11" t="b">
        <v>1</v>
      </c>
      <c r="I11" t="inlineStr">
        <is>
          <t>AUD</t>
        </is>
      </c>
      <c r="J11" t="n">
        <v>2125.77</v>
      </c>
      <c r="K11" t="inlineStr">
        <is>
          <t>VDHG</t>
        </is>
      </c>
      <c r="L11" s="6" t="n">
        <v>44377</v>
      </c>
      <c r="M11" t="inlineStr"/>
      <c r="N11" t="b">
        <v>1</v>
      </c>
      <c r="O11" t="inlineStr">
        <is>
          <t>FY2020/21</t>
        </is>
      </c>
      <c r="P11" t="inlineStr">
        <is>
          <t>AUD</t>
        </is>
      </c>
      <c r="Q11" t="n">
        <v>2125.77</v>
      </c>
      <c r="R11" t="inlineStr">
        <is>
          <t>QTY_HELD</t>
        </is>
      </c>
    </row>
    <row r="12">
      <c r="A12" s="5" t="inlineStr">
        <is>
          <t>01a152b9-9c6c-755a-8f1b-b86efe9edc32</t>
        </is>
      </c>
      <c r="B12" t="inlineStr">
        <is>
          <t>A012</t>
        </is>
      </c>
      <c r="C12" s="3" t="inlineStr">
        <is>
          <t>01a152b9-9c6c-755a-8f1b-b86efe9edc32 | 2021-06-30 | Adjustment of VGS | Cost base increase = A$2,600.00</t>
        </is>
      </c>
      <c r="D12" s="5" t="inlineStr">
        <is>
          <t>01a152b9-6e67-75da-8adb-b03e5d07fd21</t>
        </is>
      </c>
      <c r="E12" s="4" t="n">
        <v>46314.24604570521</v>
      </c>
      <c r="F12" s="4" t="n">
        <v>46314.24604570532</v>
      </c>
      <c r="G12" t="b">
        <v>1</v>
      </c>
      <c r="I12" t="inlineStr">
        <is>
          <t>AUD</t>
        </is>
      </c>
      <c r="J12" t="n">
        <v>2600</v>
      </c>
      <c r="K12" t="inlineStr">
        <is>
          <t>VGS</t>
        </is>
      </c>
      <c r="L12" s="6" t="n">
        <v>44377</v>
      </c>
      <c r="M12" t="inlineStr"/>
      <c r="N12" t="b">
        <v>1</v>
      </c>
      <c r="O12" t="inlineStr">
        <is>
          <t>FY2020/21</t>
        </is>
      </c>
      <c r="P12" t="inlineStr">
        <is>
          <t>AUD</t>
        </is>
      </c>
      <c r="Q12" t="n">
        <v>2600</v>
      </c>
      <c r="R12" t="inlineStr">
        <is>
          <t>QTY_HELD</t>
        </is>
      </c>
    </row>
    <row r="13">
      <c r="A13" s="5" t="inlineStr">
        <is>
          <t>01a152b9-9ea5-74f8-869e-2f153e93267b</t>
        </is>
      </c>
      <c r="B13" t="inlineStr">
        <is>
          <t>A005</t>
        </is>
      </c>
      <c r="C13" s="3" t="inlineStr">
        <is>
          <t>01a152b9-9ea5-74f8-869e-2f153e93267b | 2022-06-30 | Adjustment of VDHG | Cost base increase = -A$32.60</t>
        </is>
      </c>
      <c r="D13" s="5" t="inlineStr">
        <is>
          <t>01a152b9-6e67-75da-8adb-b03e5d07fd21</t>
        </is>
      </c>
      <c r="E13" s="4" t="n">
        <v>46314.24605229557</v>
      </c>
      <c r="F13" s="4" t="n">
        <v>46314.24605229568</v>
      </c>
      <c r="G13" t="b">
        <v>1</v>
      </c>
      <c r="I13" t="inlineStr">
        <is>
          <t>AUD</t>
        </is>
      </c>
      <c r="J13" t="n">
        <v>-32.6</v>
      </c>
      <c r="K13" t="inlineStr">
        <is>
          <t>VDHG</t>
        </is>
      </c>
      <c r="L13" s="6" t="n">
        <v>44742</v>
      </c>
      <c r="M13" t="inlineStr"/>
      <c r="N13" t="b">
        <v>1</v>
      </c>
      <c r="O13" t="inlineStr">
        <is>
          <t>FY2021/22</t>
        </is>
      </c>
      <c r="P13" t="inlineStr">
        <is>
          <t>AUD</t>
        </is>
      </c>
      <c r="Q13" t="n">
        <v>-32.6</v>
      </c>
      <c r="R13" t="inlineStr">
        <is>
          <t>QTY_HELD</t>
        </is>
      </c>
    </row>
    <row r="14">
      <c r="A14" s="5" t="inlineStr">
        <is>
          <t>01a152b9-9f55-7219-937e-49ee9be44160</t>
        </is>
      </c>
      <c r="B14" t="inlineStr">
        <is>
          <t>A013</t>
        </is>
      </c>
      <c r="C14" s="3" t="inlineStr">
        <is>
          <t>01a152b9-9f55-7219-937e-49ee9be44160 | 2022-06-30 | Adjustment of VGS | Cost base increase = A$654.00</t>
        </is>
      </c>
      <c r="D14" s="5" t="inlineStr">
        <is>
          <t>01a152b9-6e67-75da-8adb-b03e5d07fd21</t>
        </is>
      </c>
      <c r="E14" s="4" t="n">
        <v>46314.24605433016</v>
      </c>
      <c r="F14" s="4" t="n">
        <v>46314.24605433031</v>
      </c>
      <c r="G14" t="b">
        <v>1</v>
      </c>
      <c r="I14" t="inlineStr">
        <is>
          <t>AUD</t>
        </is>
      </c>
      <c r="J14" t="n">
        <v>654</v>
      </c>
      <c r="K14" t="inlineStr">
        <is>
          <t>VGS</t>
        </is>
      </c>
      <c r="L14" s="6" t="n">
        <v>44742</v>
      </c>
      <c r="M14" t="inlineStr"/>
      <c r="N14" t="b">
        <v>1</v>
      </c>
      <c r="O14" t="inlineStr">
        <is>
          <t>FY2021/22</t>
        </is>
      </c>
      <c r="P14" t="inlineStr">
        <is>
          <t>AUD</t>
        </is>
      </c>
      <c r="Q14" t="n">
        <v>654</v>
      </c>
      <c r="R14" t="inlineStr">
        <is>
          <t>QTY_HELD</t>
        </is>
      </c>
    </row>
    <row r="15">
      <c r="A15" s="5" t="inlineStr">
        <is>
          <t>01a152b9-a1f9-777d-8f7d-6fece85c9489</t>
        </is>
      </c>
      <c r="B15" t="inlineStr">
        <is>
          <t>A014</t>
        </is>
      </c>
      <c r="C15" s="3" t="inlineStr">
        <is>
          <t>01a152b9-a1f9-777d-8f7d-6fece85c9489 | 2023-06-30 | Adjustment of VGS | Cost base increase = A$1,888.00</t>
        </is>
      </c>
      <c r="D15" s="5" t="inlineStr">
        <is>
          <t>01a152b9-6e67-75da-8adb-b03e5d07fd21</t>
        </is>
      </c>
      <c r="E15" s="4" t="n">
        <v>46314.24606215014</v>
      </c>
      <c r="F15" s="4" t="n">
        <v>46314.24606215024</v>
      </c>
      <c r="G15" t="b">
        <v>1</v>
      </c>
      <c r="I15" t="inlineStr">
        <is>
          <t>AUD</t>
        </is>
      </c>
      <c r="J15" t="n">
        <v>1888</v>
      </c>
      <c r="K15" t="inlineStr">
        <is>
          <t>VGS</t>
        </is>
      </c>
      <c r="L15" s="6" t="n">
        <v>45107</v>
      </c>
      <c r="M15" t="inlineStr"/>
      <c r="N15" t="b">
        <v>1</v>
      </c>
      <c r="O15" t="inlineStr">
        <is>
          <t>FY2022/23</t>
        </is>
      </c>
      <c r="P15" t="inlineStr">
        <is>
          <t>AUD</t>
        </is>
      </c>
      <c r="Q15" t="n">
        <v>1888</v>
      </c>
      <c r="R15" t="inlineStr">
        <is>
          <t>QTY_HELD</t>
        </is>
      </c>
    </row>
    <row r="16">
      <c r="A16" s="5" t="inlineStr">
        <is>
          <t>01a152b9-a378-71ad-9e63-bf781dccc053</t>
        </is>
      </c>
      <c r="B16" t="inlineStr">
        <is>
          <t>A015</t>
        </is>
      </c>
      <c r="C16" s="3" t="inlineStr">
        <is>
          <t>01a152b9-a378-71ad-9e63-bf781dccc053 | 2024-06-30 | Adjustment of VGS | Cost base increase = A$1,950.10</t>
        </is>
      </c>
      <c r="D16" s="5" t="inlineStr">
        <is>
          <t>01a152b9-6e67-75da-8adb-b03e5d07fd21</t>
        </is>
      </c>
      <c r="E16" s="4" t="n">
        <v>46314.24606658582</v>
      </c>
      <c r="F16" s="4" t="n">
        <v>46314.24606658593</v>
      </c>
      <c r="G16" t="b">
        <v>1</v>
      </c>
      <c r="I16" t="inlineStr">
        <is>
          <t>AUD</t>
        </is>
      </c>
      <c r="J16" t="n">
        <v>1950.1</v>
      </c>
      <c r="K16" t="inlineStr">
        <is>
          <t>VGS</t>
        </is>
      </c>
      <c r="L16" s="6" t="n">
        <v>45473</v>
      </c>
      <c r="M16" t="inlineStr"/>
      <c r="N16" t="b">
        <v>1</v>
      </c>
      <c r="O16" t="inlineStr">
        <is>
          <t>FY2023/24</t>
        </is>
      </c>
      <c r="P16" t="inlineStr">
        <is>
          <t>AUD</t>
        </is>
      </c>
      <c r="Q16" t="n">
        <v>1950.1</v>
      </c>
      <c r="R16" t="inlineStr">
        <is>
          <t>QTY_HELD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2" customWidth="1" min="1" max="1"/>
    <col width="11.2" customWidth="1" min="2" max="2"/>
    <col width="13.2" customWidth="1" min="3" max="3"/>
    <col width="38.2" customWidth="1" min="4" max="4"/>
    <col width="28.2" customWidth="1" min="5" max="5"/>
    <col width="28.2" customWidth="1" min="6" max="6"/>
    <col width="11.2" customWidth="1" min="7" max="7"/>
    <col width="7.2" customWidth="1" min="8" max="8"/>
    <col width="29.2" customWidth="1" min="9" max="9"/>
    <col width="20.2" customWidth="1" min="10" max="10"/>
    <col width="38.2" customWidth="1" min="11" max="11"/>
    <col width="38.2" customWidth="1" min="12" max="12"/>
    <col width="17.2" customWidth="1" min="13" max="13"/>
    <col width="19.2" customWidth="1" min="14" max="14"/>
  </cols>
  <sheetData>
    <row r="1" ht="32" customHeight="1">
      <c r="A1" s="1" t="inlineStr">
        <is>
          <t>id</t>
        </is>
      </c>
      <c r="B1" s="1" t="inlineStr">
        <is>
          <t>legacy_id</t>
        </is>
      </c>
      <c r="C1" s="1" t="inlineStr">
        <is>
          <t>description</t>
        </is>
      </c>
      <c r="D1" s="1" t="inlineStr">
        <is>
          <t>account_id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is_active</t>
        </is>
      </c>
      <c r="H1" s="1" t="inlineStr">
        <is>
          <t>notes</t>
        </is>
      </c>
      <c r="I1" s="1" t="inlineStr">
        <is>
          <t>cost_base_increase_currency</t>
        </is>
      </c>
      <c r="J1" s="1" t="inlineStr">
        <is>
          <t>cost_base_increase</t>
        </is>
      </c>
      <c r="K1" s="1" t="inlineStr">
        <is>
          <t>parcel_id</t>
        </is>
      </c>
      <c r="L1" s="1" t="inlineStr">
        <is>
          <t>cost_base_adjustment_id</t>
        </is>
      </c>
      <c r="M1" s="1" t="inlineStr">
        <is>
          <t>activation_date</t>
        </is>
      </c>
      <c r="N1" s="1" t="inlineStr">
        <is>
          <t>deactivation_date</t>
        </is>
      </c>
    </row>
    <row r="2">
      <c r="A2" s="5" t="inlineStr">
        <is>
          <t>01a152b9-97be-7516-ae8e-261fe08bd73c</t>
        </is>
      </c>
      <c r="D2" s="5" t="inlineStr">
        <is>
          <t>01a152b9-6e67-75da-8adb-b03e5d07fd21</t>
        </is>
      </c>
      <c r="E2" s="4" t="n">
        <v>46314.24603183999</v>
      </c>
      <c r="F2" s="4" t="n">
        <v>46314.24603184019</v>
      </c>
      <c r="G2" t="b">
        <v>1</v>
      </c>
      <c r="I2" t="inlineStr">
        <is>
          <t>AUD</t>
        </is>
      </c>
      <c r="J2" t="n">
        <v>0</v>
      </c>
      <c r="K2" s="5" t="inlineStr">
        <is>
          <t>01a152b9-94a7-731e-bcf5-1459d6c541b5</t>
        </is>
      </c>
      <c r="L2" s="5" t="inlineStr">
        <is>
          <t>01a152b9-97bb-70df-bbec-14d053d00d24</t>
        </is>
      </c>
      <c r="M2" s="6" t="n">
        <v>41821</v>
      </c>
    </row>
    <row r="3">
      <c r="A3" s="5" t="inlineStr">
        <is>
          <t>01a152b9-97c9-73f8-9690-b4968de27399</t>
        </is>
      </c>
      <c r="D3" s="5" t="inlineStr">
        <is>
          <t>01a152b9-6e67-75da-8adb-b03e5d07fd21</t>
        </is>
      </c>
      <c r="E3" s="4" t="n">
        <v>46314.2460319602</v>
      </c>
      <c r="F3" s="4" t="n">
        <v>46314.24603196033</v>
      </c>
      <c r="G3" t="b">
        <v>1</v>
      </c>
      <c r="I3" t="inlineStr">
        <is>
          <t>AUD</t>
        </is>
      </c>
      <c r="J3" t="n">
        <v>0</v>
      </c>
      <c r="K3" s="5" t="inlineStr">
        <is>
          <t>01a152b9-9489-75d9-9632-6da6174dc905</t>
        </is>
      </c>
      <c r="L3" s="5" t="inlineStr">
        <is>
          <t>01a152b9-97bb-70df-bbec-14d053d00d24</t>
        </is>
      </c>
      <c r="M3" s="6" t="n">
        <v>41821</v>
      </c>
    </row>
    <row r="4">
      <c r="A4" s="5" t="inlineStr">
        <is>
          <t>01a152b9-97e4-727c-a134-1e71a1d0fb1d</t>
        </is>
      </c>
      <c r="D4" s="5" t="inlineStr">
        <is>
          <t>01a152b9-6e67-75da-8adb-b03e5d07fd21</t>
        </is>
      </c>
      <c r="E4" s="4" t="n">
        <v>46314.24603227321</v>
      </c>
      <c r="F4" s="4" t="n">
        <v>46314.24603227331</v>
      </c>
      <c r="G4" t="b">
        <v>1</v>
      </c>
      <c r="I4" t="inlineStr">
        <is>
          <t>AUD</t>
        </is>
      </c>
      <c r="J4" t="n">
        <v>0</v>
      </c>
      <c r="K4" s="5" t="inlineStr">
        <is>
          <t>01a152b9-951c-75db-abc6-3b68329be7a6</t>
        </is>
      </c>
      <c r="L4" s="5" t="inlineStr">
        <is>
          <t>01a152b9-97e1-75d4-8281-98a9bf797052</t>
        </is>
      </c>
      <c r="M4" s="6" t="n">
        <v>42186</v>
      </c>
    </row>
    <row r="5">
      <c r="A5" s="5" t="inlineStr">
        <is>
          <t>01a152b9-97ec-75a8-b145-23d1c7271c2c</t>
        </is>
      </c>
      <c r="D5" s="5" t="inlineStr">
        <is>
          <t>01a152b9-6e67-75da-8adb-b03e5d07fd21</t>
        </is>
      </c>
      <c r="E5" s="4" t="n">
        <v>46314.2460323653</v>
      </c>
      <c r="F5" s="4" t="n">
        <v>46314.24603236543</v>
      </c>
      <c r="G5" t="b">
        <v>1</v>
      </c>
      <c r="I5" t="inlineStr">
        <is>
          <t>AUD</t>
        </is>
      </c>
      <c r="J5" t="n">
        <v>0</v>
      </c>
      <c r="K5" s="5" t="inlineStr">
        <is>
          <t>01a152b9-9500-709e-8410-7a936bd089c9</t>
        </is>
      </c>
      <c r="L5" s="5" t="inlineStr">
        <is>
          <t>01a152b9-97e1-75d4-8281-98a9bf797052</t>
        </is>
      </c>
      <c r="M5" s="6" t="n">
        <v>42186</v>
      </c>
    </row>
    <row r="6">
      <c r="A6" s="5" t="inlineStr">
        <is>
          <t>01a152b9-97f5-729e-aa89-64e495a69d0a</t>
        </is>
      </c>
      <c r="D6" s="5" t="inlineStr">
        <is>
          <t>01a152b9-6e67-75da-8adb-b03e5d07fd21</t>
        </is>
      </c>
      <c r="E6" s="4" t="n">
        <v>46314.24603247435</v>
      </c>
      <c r="F6" s="4" t="n">
        <v>46314.24603247451</v>
      </c>
      <c r="G6" t="b">
        <v>1</v>
      </c>
      <c r="I6" t="inlineStr">
        <is>
          <t>AUD</t>
        </is>
      </c>
      <c r="J6" t="n">
        <v>0</v>
      </c>
      <c r="K6" s="5" t="inlineStr">
        <is>
          <t>01a152b9-94e5-7643-9595-d903ba15e5b7</t>
        </is>
      </c>
      <c r="L6" s="5" t="inlineStr">
        <is>
          <t>01a152b9-97e1-75d4-8281-98a9bf797052</t>
        </is>
      </c>
      <c r="M6" s="6" t="n">
        <v>42186</v>
      </c>
    </row>
    <row r="7">
      <c r="A7" s="5" t="inlineStr">
        <is>
          <t>01a152b9-97fc-7021-8ee6-7deee56ecf7b</t>
        </is>
      </c>
      <c r="D7" s="5" t="inlineStr">
        <is>
          <t>01a152b9-6e67-75da-8adb-b03e5d07fd21</t>
        </is>
      </c>
      <c r="E7" s="4" t="n">
        <v>46314.24603255656</v>
      </c>
      <c r="F7" s="4" t="n">
        <v>46314.24603255664</v>
      </c>
      <c r="G7" t="b">
        <v>1</v>
      </c>
      <c r="I7" t="inlineStr">
        <is>
          <t>AUD</t>
        </is>
      </c>
      <c r="J7" t="n">
        <v>0</v>
      </c>
      <c r="K7" s="5" t="inlineStr">
        <is>
          <t>01a152b9-94c8-7073-9619-9f770f6e7fc2</t>
        </is>
      </c>
      <c r="L7" s="5" t="inlineStr">
        <is>
          <t>01a152b9-97e1-75d4-8281-98a9bf797052</t>
        </is>
      </c>
      <c r="M7" s="6" t="n">
        <v>42186</v>
      </c>
    </row>
    <row r="8">
      <c r="A8" s="5" t="inlineStr">
        <is>
          <t>01a152b9-9804-77e6-804d-005f0b9d7318</t>
        </is>
      </c>
      <c r="D8" s="5" t="inlineStr">
        <is>
          <t>01a152b9-6e67-75da-8adb-b03e5d07fd21</t>
        </is>
      </c>
      <c r="E8" s="4" t="n">
        <v>46314.24603264071</v>
      </c>
      <c r="F8" s="4" t="n">
        <v>46314.24603264081</v>
      </c>
      <c r="G8" t="b">
        <v>1</v>
      </c>
      <c r="I8" t="inlineStr">
        <is>
          <t>AUD</t>
        </is>
      </c>
      <c r="J8" t="n">
        <v>0</v>
      </c>
      <c r="K8" s="5" t="inlineStr">
        <is>
          <t>01a152b9-9489-75d9-9632-6da6174dc905</t>
        </is>
      </c>
      <c r="L8" s="5" t="inlineStr">
        <is>
          <t>01a152b9-97e1-75d4-8281-98a9bf797052</t>
        </is>
      </c>
      <c r="M8" s="6" t="n">
        <v>42186</v>
      </c>
    </row>
    <row r="9">
      <c r="A9" s="5" t="inlineStr">
        <is>
          <t>01a152b9-980c-7493-99a2-be77ff07b98f</t>
        </is>
      </c>
      <c r="D9" s="5" t="inlineStr">
        <is>
          <t>01a152b9-6e67-75da-8adb-b03e5d07fd21</t>
        </is>
      </c>
      <c r="E9" s="4" t="n">
        <v>46314.24603274089</v>
      </c>
      <c r="F9" s="4" t="n">
        <v>46314.24603274102</v>
      </c>
      <c r="G9" t="b">
        <v>1</v>
      </c>
      <c r="I9" t="inlineStr">
        <is>
          <t>AUD</t>
        </is>
      </c>
      <c r="J9" t="n">
        <v>0</v>
      </c>
      <c r="K9" s="5" t="inlineStr">
        <is>
          <t>01a152b9-94a7-731e-bcf5-1459d6c541b5</t>
        </is>
      </c>
      <c r="L9" s="5" t="inlineStr">
        <is>
          <t>01a152b9-97e1-75d4-8281-98a9bf797052</t>
        </is>
      </c>
      <c r="M9" s="6" t="n">
        <v>42186</v>
      </c>
    </row>
    <row r="10">
      <c r="A10" s="5" t="inlineStr">
        <is>
          <t>01a152b9-983a-724b-b361-c14cfc00b9be</t>
        </is>
      </c>
      <c r="D10" s="5" t="inlineStr">
        <is>
          <t>01a152b9-6e67-75da-8adb-b03e5d07fd21</t>
        </is>
      </c>
      <c r="E10" s="4" t="n">
        <v>46314.2460332655</v>
      </c>
      <c r="F10" s="4" t="n">
        <v>46314.24603326561</v>
      </c>
      <c r="G10" t="b">
        <v>1</v>
      </c>
      <c r="I10" t="inlineStr">
        <is>
          <t>AUD</t>
        </is>
      </c>
      <c r="J10" t="n">
        <v>0</v>
      </c>
      <c r="K10" s="5" t="inlineStr">
        <is>
          <t>01a152b9-94e5-7643-9595-d903ba15e5b7</t>
        </is>
      </c>
      <c r="L10" s="5" t="inlineStr">
        <is>
          <t>01a152b9-9837-7595-b9ad-b59b29e2f41a</t>
        </is>
      </c>
      <c r="M10" s="6" t="n">
        <v>42552</v>
      </c>
    </row>
    <row r="11">
      <c r="A11" s="5" t="inlineStr">
        <is>
          <t>01a152b9-9841-7544-8c26-4837cbbf4280</t>
        </is>
      </c>
      <c r="D11" s="5" t="inlineStr">
        <is>
          <t>01a152b9-6e67-75da-8adb-b03e5d07fd21</t>
        </is>
      </c>
      <c r="E11" s="4" t="n">
        <v>46314.24603335148</v>
      </c>
      <c r="F11" s="4" t="n">
        <v>46314.24603335156</v>
      </c>
      <c r="G11" t="b">
        <v>1</v>
      </c>
      <c r="I11" t="inlineStr">
        <is>
          <t>AUD</t>
        </is>
      </c>
      <c r="J11" t="n">
        <v>0</v>
      </c>
      <c r="K11" s="5" t="inlineStr">
        <is>
          <t>01a152b9-9557-73d7-96a4-1c9494e1cc27</t>
        </is>
      </c>
      <c r="L11" s="5" t="inlineStr">
        <is>
          <t>01a152b9-9837-7595-b9ad-b59b29e2f41a</t>
        </is>
      </c>
      <c r="M11" s="6" t="n">
        <v>42552</v>
      </c>
    </row>
    <row r="12">
      <c r="A12" s="5" t="inlineStr">
        <is>
          <t>01a152b9-9848-74c4-9ff5-7a6cd4ae654f</t>
        </is>
      </c>
      <c r="D12" s="5" t="inlineStr">
        <is>
          <t>01a152b9-6e67-75da-8adb-b03e5d07fd21</t>
        </is>
      </c>
      <c r="E12" s="4" t="n">
        <v>46314.24603343752</v>
      </c>
      <c r="F12" s="4" t="n">
        <v>46314.24603343759</v>
      </c>
      <c r="G12" t="b">
        <v>1</v>
      </c>
      <c r="I12" t="inlineStr">
        <is>
          <t>AUD</t>
        </is>
      </c>
      <c r="J12" t="n">
        <v>0</v>
      </c>
      <c r="K12" s="5" t="inlineStr">
        <is>
          <t>01a152b9-953a-77b8-8f2e-2d4feaabe9bc</t>
        </is>
      </c>
      <c r="L12" s="5" t="inlineStr">
        <is>
          <t>01a152b9-9837-7595-b9ad-b59b29e2f41a</t>
        </is>
      </c>
      <c r="M12" s="6" t="n">
        <v>42552</v>
      </c>
    </row>
    <row r="13">
      <c r="A13" s="5" t="inlineStr">
        <is>
          <t>01a152b9-9850-7514-b535-ec928d2f4e6d</t>
        </is>
      </c>
      <c r="D13" s="5" t="inlineStr">
        <is>
          <t>01a152b9-6e67-75da-8adb-b03e5d07fd21</t>
        </is>
      </c>
      <c r="E13" s="4" t="n">
        <v>46314.24603352357</v>
      </c>
      <c r="F13" s="4" t="n">
        <v>46314.24603352368</v>
      </c>
      <c r="G13" t="b">
        <v>1</v>
      </c>
      <c r="I13" t="inlineStr">
        <is>
          <t>AUD</t>
        </is>
      </c>
      <c r="J13" t="n">
        <v>0</v>
      </c>
      <c r="K13" s="5" t="inlineStr">
        <is>
          <t>01a152b9-9500-709e-8410-7a936bd089c9</t>
        </is>
      </c>
      <c r="L13" s="5" t="inlineStr">
        <is>
          <t>01a152b9-9837-7595-b9ad-b59b29e2f41a</t>
        </is>
      </c>
      <c r="M13" s="6" t="n">
        <v>42552</v>
      </c>
    </row>
    <row r="14">
      <c r="A14" s="5" t="inlineStr">
        <is>
          <t>01a152b9-9858-7231-bc35-b820c0117587</t>
        </is>
      </c>
      <c r="D14" s="5" t="inlineStr">
        <is>
          <t>01a152b9-6e67-75da-8adb-b03e5d07fd21</t>
        </is>
      </c>
      <c r="E14" s="4" t="n">
        <v>46314.24603361826</v>
      </c>
      <c r="F14" s="4" t="n">
        <v>46314.24603361834</v>
      </c>
      <c r="G14" t="b">
        <v>1</v>
      </c>
      <c r="I14" t="inlineStr">
        <is>
          <t>AUD</t>
        </is>
      </c>
      <c r="J14" t="n">
        <v>0</v>
      </c>
      <c r="K14" s="5" t="inlineStr">
        <is>
          <t>01a152b9-951c-75db-abc6-3b68329be7a6</t>
        </is>
      </c>
      <c r="L14" s="5" t="inlineStr">
        <is>
          <t>01a152b9-9837-7595-b9ad-b59b29e2f41a</t>
        </is>
      </c>
      <c r="M14" s="6" t="n">
        <v>42552</v>
      </c>
    </row>
    <row r="15">
      <c r="A15" s="5" t="inlineStr">
        <is>
          <t>01a152b9-9860-70c7-8f7a-cb6aaea8f7d3</t>
        </is>
      </c>
      <c r="D15" s="5" t="inlineStr">
        <is>
          <t>01a152b9-6e67-75da-8adb-b03e5d07fd21</t>
        </is>
      </c>
      <c r="E15" s="4" t="n">
        <v>46314.24603370947</v>
      </c>
      <c r="F15" s="4" t="n">
        <v>46314.24603370956</v>
      </c>
      <c r="G15" t="b">
        <v>1</v>
      </c>
      <c r="I15" t="inlineStr">
        <is>
          <t>AUD</t>
        </is>
      </c>
      <c r="J15" t="n">
        <v>0</v>
      </c>
      <c r="K15" s="5" t="inlineStr">
        <is>
          <t>01a152b9-9489-75d9-9632-6da6174dc905</t>
        </is>
      </c>
      <c r="L15" s="5" t="inlineStr">
        <is>
          <t>01a152b9-9837-7595-b9ad-b59b29e2f41a</t>
        </is>
      </c>
      <c r="M15" s="6" t="n">
        <v>42552</v>
      </c>
    </row>
    <row r="16">
      <c r="A16" s="5" t="inlineStr">
        <is>
          <t>01a152b9-9869-71ea-901f-c86eb74d6c32</t>
        </is>
      </c>
      <c r="D16" s="5" t="inlineStr">
        <is>
          <t>01a152b9-6e67-75da-8adb-b03e5d07fd21</t>
        </is>
      </c>
      <c r="E16" s="4" t="n">
        <v>46314.24603381386</v>
      </c>
      <c r="F16" s="4" t="n">
        <v>46314.24603381395</v>
      </c>
      <c r="G16" t="b">
        <v>1</v>
      </c>
      <c r="I16" t="inlineStr">
        <is>
          <t>AUD</t>
        </is>
      </c>
      <c r="J16" t="n">
        <v>0</v>
      </c>
      <c r="K16" s="5" t="inlineStr">
        <is>
          <t>01a152b9-94a7-731e-bcf5-1459d6c541b5</t>
        </is>
      </c>
      <c r="L16" s="5" t="inlineStr">
        <is>
          <t>01a152b9-9837-7595-b9ad-b59b29e2f41a</t>
        </is>
      </c>
      <c r="M16" s="6" t="n">
        <v>42552</v>
      </c>
    </row>
    <row r="17">
      <c r="A17" s="5" t="inlineStr">
        <is>
          <t>01a152b9-9871-71b3-ba94-5395d75aca1a</t>
        </is>
      </c>
      <c r="D17" s="5" t="inlineStr">
        <is>
          <t>01a152b9-6e67-75da-8adb-b03e5d07fd21</t>
        </is>
      </c>
      <c r="E17" s="4" t="n">
        <v>46314.24603391182</v>
      </c>
      <c r="F17" s="4" t="n">
        <v>46314.24603391191</v>
      </c>
      <c r="G17" t="b">
        <v>1</v>
      </c>
      <c r="I17" t="inlineStr">
        <is>
          <t>AUD</t>
        </is>
      </c>
      <c r="J17" t="n">
        <v>0</v>
      </c>
      <c r="K17" s="5" t="inlineStr">
        <is>
          <t>01a152b9-94c8-7073-9619-9f770f6e7fc2</t>
        </is>
      </c>
      <c r="L17" s="5" t="inlineStr">
        <is>
          <t>01a152b9-9837-7595-b9ad-b59b29e2f41a</t>
        </is>
      </c>
      <c r="M17" s="6" t="n">
        <v>42552</v>
      </c>
    </row>
    <row r="18">
      <c r="A18" s="5" t="inlineStr">
        <is>
          <t>01a152b9-98a8-777c-b6b8-b6d5f265819c</t>
        </is>
      </c>
      <c r="D18" s="5" t="inlineStr">
        <is>
          <t>01a152b9-6e67-75da-8adb-b03e5d07fd21</t>
        </is>
      </c>
      <c r="E18" s="4" t="n">
        <v>46314.24603454228</v>
      </c>
      <c r="F18" s="4" t="n">
        <v>46314.24603454236</v>
      </c>
      <c r="G18" t="b">
        <v>1</v>
      </c>
      <c r="I18" t="inlineStr">
        <is>
          <t>AUD</t>
        </is>
      </c>
      <c r="J18" t="n">
        <v>-6.2147</v>
      </c>
      <c r="K18" s="5" t="inlineStr">
        <is>
          <t>01a152b9-9310-73e5-9fb3-d0a2d881b358</t>
        </is>
      </c>
      <c r="L18" s="5" t="inlineStr">
        <is>
          <t>01a152b9-98a5-722c-9576-bc9ba80bf48c</t>
        </is>
      </c>
      <c r="M18" s="6" t="n">
        <v>42917</v>
      </c>
    </row>
    <row r="19">
      <c r="A19" s="5" t="inlineStr">
        <is>
          <t>01a152b9-98b1-7220-a56e-28bad0bb5096</t>
        </is>
      </c>
      <c r="D19" s="5" t="inlineStr">
        <is>
          <t>01a152b9-6e67-75da-8adb-b03e5d07fd21</t>
        </is>
      </c>
      <c r="E19" s="4" t="n">
        <v>46314.24603464405</v>
      </c>
      <c r="F19" s="4" t="n">
        <v>46314.24603464414</v>
      </c>
      <c r="G19" t="b">
        <v>1</v>
      </c>
      <c r="I19" t="inlineStr">
        <is>
          <t>AUD</t>
        </is>
      </c>
      <c r="J19" t="n">
        <v>-7.7653</v>
      </c>
      <c r="K19" s="5" t="inlineStr">
        <is>
          <t>01a152b9-9330-70a0-a8f8-e4bd1c0a37d1</t>
        </is>
      </c>
      <c r="L19" s="5" t="inlineStr">
        <is>
          <t>01a152b9-98a5-722c-9576-bc9ba80bf48c</t>
        </is>
      </c>
      <c r="M19" s="6" t="n">
        <v>42917</v>
      </c>
    </row>
    <row r="20">
      <c r="A20" s="5" t="inlineStr">
        <is>
          <t>01a152b9-98ca-7076-acd5-d7403716a83f</t>
        </is>
      </c>
      <c r="D20" s="5" t="inlineStr">
        <is>
          <t>01a152b9-6e67-75da-8adb-b03e5d07fd21</t>
        </is>
      </c>
      <c r="E20" s="4" t="n">
        <v>46314.24603493283</v>
      </c>
      <c r="F20" s="4" t="n">
        <v>46314.24603493294</v>
      </c>
      <c r="G20" t="b">
        <v>1</v>
      </c>
      <c r="I20" t="inlineStr">
        <is>
          <t>AUD</t>
        </is>
      </c>
      <c r="J20" t="n">
        <v>0.9340000000000001</v>
      </c>
      <c r="K20" s="5" t="inlineStr">
        <is>
          <t>01a152b9-958f-7703-a5c4-c31e1306711f</t>
        </is>
      </c>
      <c r="L20" s="5" t="inlineStr">
        <is>
          <t>01a152b9-98c7-7451-b1c6-7b522f661c4c</t>
        </is>
      </c>
      <c r="M20" s="6" t="n">
        <v>42917</v>
      </c>
    </row>
    <row r="21">
      <c r="A21" s="5" t="inlineStr">
        <is>
          <t>01a152b9-98d1-737b-a1ef-4123769c4652</t>
        </is>
      </c>
      <c r="D21" s="5" t="inlineStr">
        <is>
          <t>01a152b9-6e67-75da-8adb-b03e5d07fd21</t>
        </is>
      </c>
      <c r="E21" s="4" t="n">
        <v>46314.24603501301</v>
      </c>
      <c r="F21" s="4" t="n">
        <v>46314.24603501309</v>
      </c>
      <c r="G21" t="b">
        <v>1</v>
      </c>
      <c r="I21" t="inlineStr">
        <is>
          <t>AUD</t>
        </is>
      </c>
      <c r="J21" t="n">
        <v>2.7158</v>
      </c>
      <c r="K21" s="5" t="inlineStr">
        <is>
          <t>01a152b9-9574-7264-bf24-1c4e0839a2c8</t>
        </is>
      </c>
      <c r="L21" s="5" t="inlineStr">
        <is>
          <t>01a152b9-98c7-7451-b1c6-7b522f661c4c</t>
        </is>
      </c>
      <c r="M21" s="6" t="n">
        <v>42917</v>
      </c>
    </row>
    <row r="22">
      <c r="A22" s="5" t="inlineStr">
        <is>
          <t>01a152b9-98d7-7045-88e3-8e0207504971</t>
        </is>
      </c>
      <c r="D22" s="5" t="inlineStr">
        <is>
          <t>01a152b9-6e67-75da-8adb-b03e5d07fd21</t>
        </is>
      </c>
      <c r="E22" s="4" t="n">
        <v>46314.24603509295</v>
      </c>
      <c r="F22" s="4" t="n">
        <v>46314.24603509304</v>
      </c>
      <c r="G22" t="b">
        <v>1</v>
      </c>
      <c r="I22" t="inlineStr">
        <is>
          <t>AUD</t>
        </is>
      </c>
      <c r="J22" t="n">
        <v>13.1121</v>
      </c>
      <c r="K22" s="5" t="inlineStr">
        <is>
          <t>01a152b9-94e5-7643-9595-d903ba15e5b7</t>
        </is>
      </c>
      <c r="L22" s="5" t="inlineStr">
        <is>
          <t>01a152b9-98c7-7451-b1c6-7b522f661c4c</t>
        </is>
      </c>
      <c r="M22" s="6" t="n">
        <v>42917</v>
      </c>
    </row>
    <row r="23">
      <c r="A23" s="5" t="inlineStr">
        <is>
          <t>01a152b9-98df-768e-be83-2001ff2063be</t>
        </is>
      </c>
      <c r="D23" s="5" t="inlineStr">
        <is>
          <t>01a152b9-6e67-75da-8adb-b03e5d07fd21</t>
        </is>
      </c>
      <c r="E23" s="4" t="n">
        <v>46314.24603517505</v>
      </c>
      <c r="F23" s="4" t="n">
        <v>46314.24603517513</v>
      </c>
      <c r="G23" t="b">
        <v>1</v>
      </c>
      <c r="I23" t="inlineStr">
        <is>
          <t>AUD</t>
        </is>
      </c>
      <c r="J23" t="n">
        <v>26.2243</v>
      </c>
      <c r="K23" s="5" t="inlineStr">
        <is>
          <t>01a152b9-9500-709e-8410-7a936bd089c9</t>
        </is>
      </c>
      <c r="L23" s="5" t="inlineStr">
        <is>
          <t>01a152b9-98c7-7451-b1c6-7b522f661c4c</t>
        </is>
      </c>
      <c r="M23" s="6" t="n">
        <v>42917</v>
      </c>
    </row>
    <row r="24">
      <c r="A24" s="5" t="inlineStr">
        <is>
          <t>01a152b9-98e7-76b0-beba-83e3ca822526</t>
        </is>
      </c>
      <c r="D24" s="5" t="inlineStr">
        <is>
          <t>01a152b9-6e67-75da-8adb-b03e5d07fd21</t>
        </is>
      </c>
      <c r="E24" s="4" t="n">
        <v>46314.24603527194</v>
      </c>
      <c r="F24" s="4" t="n">
        <v>46314.24603527206</v>
      </c>
      <c r="G24" t="b">
        <v>1</v>
      </c>
      <c r="I24" t="inlineStr">
        <is>
          <t>AUD</t>
        </is>
      </c>
      <c r="J24" t="n">
        <v>26.2243</v>
      </c>
      <c r="K24" s="5" t="inlineStr">
        <is>
          <t>01a152b9-951c-75db-abc6-3b68329be7a6</t>
        </is>
      </c>
      <c r="L24" s="5" t="inlineStr">
        <is>
          <t>01a152b9-98c7-7451-b1c6-7b522f661c4c</t>
        </is>
      </c>
      <c r="M24" s="6" t="n">
        <v>42917</v>
      </c>
    </row>
    <row r="25">
      <c r="A25" s="5" t="inlineStr">
        <is>
          <t>01a152b9-98f1-754a-acc2-02d307e0757a</t>
        </is>
      </c>
      <c r="D25" s="5" t="inlineStr">
        <is>
          <t>01a152b9-6e67-75da-8adb-b03e5d07fd21</t>
        </is>
      </c>
      <c r="E25" s="4" t="n">
        <v>46314.24603538854</v>
      </c>
      <c r="F25" s="4" t="n">
        <v>46314.24603538868</v>
      </c>
      <c r="G25" t="b">
        <v>1</v>
      </c>
      <c r="I25" t="inlineStr">
        <is>
          <t>AUD</t>
        </is>
      </c>
      <c r="J25" t="n">
        <v>26.2243</v>
      </c>
      <c r="K25" s="5" t="inlineStr">
        <is>
          <t>01a152b9-953a-77b8-8f2e-2d4feaabe9bc</t>
        </is>
      </c>
      <c r="L25" s="5" t="inlineStr">
        <is>
          <t>01a152b9-98c7-7451-b1c6-7b522f661c4c</t>
        </is>
      </c>
      <c r="M25" s="6" t="n">
        <v>42917</v>
      </c>
    </row>
    <row r="26">
      <c r="A26" s="5" t="inlineStr">
        <is>
          <t>01a152b9-98fc-7404-b34e-873268d5728f</t>
        </is>
      </c>
      <c r="D26" s="5" t="inlineStr">
        <is>
          <t>01a152b9-6e67-75da-8adb-b03e5d07fd21</t>
        </is>
      </c>
      <c r="E26" s="4" t="n">
        <v>46314.2460355138</v>
      </c>
      <c r="F26" s="4" t="n">
        <v>46314.24603551391</v>
      </c>
      <c r="G26" t="b">
        <v>1</v>
      </c>
      <c r="I26" t="inlineStr">
        <is>
          <t>AUD</t>
        </is>
      </c>
      <c r="J26" t="n">
        <v>26.2243</v>
      </c>
      <c r="K26" s="5" t="inlineStr">
        <is>
          <t>01a152b9-9557-73d7-96a4-1c9494e1cc27</t>
        </is>
      </c>
      <c r="L26" s="5" t="inlineStr">
        <is>
          <t>01a152b9-98c7-7451-b1c6-7b522f661c4c</t>
        </is>
      </c>
      <c r="M26" s="6" t="n">
        <v>42917</v>
      </c>
    </row>
    <row r="27">
      <c r="A27" s="5" t="inlineStr">
        <is>
          <t>01a152b9-9907-7615-b3a1-7b82194293a2</t>
        </is>
      </c>
      <c r="D27" s="5" t="inlineStr">
        <is>
          <t>01a152b9-6e67-75da-8adb-b03e5d07fd21</t>
        </is>
      </c>
      <c r="E27" s="4" t="n">
        <v>46314.24603564483</v>
      </c>
      <c r="F27" s="4" t="n">
        <v>46314.24603564494</v>
      </c>
      <c r="G27" t="b">
        <v>1</v>
      </c>
      <c r="I27" t="inlineStr">
        <is>
          <t>AUD</t>
        </is>
      </c>
      <c r="J27" t="n">
        <v>32.7803</v>
      </c>
      <c r="K27" s="5" t="inlineStr">
        <is>
          <t>01a152b9-9489-75d9-9632-6da6174dc905</t>
        </is>
      </c>
      <c r="L27" s="5" t="inlineStr">
        <is>
          <t>01a152b9-98c7-7451-b1c6-7b522f661c4c</t>
        </is>
      </c>
      <c r="M27" s="6" t="n">
        <v>42917</v>
      </c>
    </row>
    <row r="28">
      <c r="A28" s="5" t="inlineStr">
        <is>
          <t>01a152b9-9911-77c8-9399-c997b2323817</t>
        </is>
      </c>
      <c r="D28" s="5" t="inlineStr">
        <is>
          <t>01a152b9-6e67-75da-8adb-b03e5d07fd21</t>
        </is>
      </c>
      <c r="E28" s="4" t="n">
        <v>46314.24603575898</v>
      </c>
      <c r="F28" s="4" t="n">
        <v>46314.24603575908</v>
      </c>
      <c r="G28" t="b">
        <v>1</v>
      </c>
      <c r="I28" t="inlineStr">
        <is>
          <t>AUD</t>
        </is>
      </c>
      <c r="J28" t="n">
        <v>32.7803</v>
      </c>
      <c r="K28" s="5" t="inlineStr">
        <is>
          <t>01a152b9-94a7-731e-bcf5-1459d6c541b5</t>
        </is>
      </c>
      <c r="L28" s="5" t="inlineStr">
        <is>
          <t>01a152b9-98c7-7451-b1c6-7b522f661c4c</t>
        </is>
      </c>
      <c r="M28" s="6" t="n">
        <v>42917</v>
      </c>
    </row>
    <row r="29">
      <c r="A29" s="5" t="inlineStr">
        <is>
          <t>01a152b9-991b-7630-8694-2bc5a93d665d</t>
        </is>
      </c>
      <c r="D29" s="5" t="inlineStr">
        <is>
          <t>01a152b9-6e67-75da-8adb-b03e5d07fd21</t>
        </is>
      </c>
      <c r="E29" s="4" t="n">
        <v>46314.24603587701</v>
      </c>
      <c r="F29" s="4" t="n">
        <v>46314.24603587712</v>
      </c>
      <c r="G29" t="b">
        <v>1</v>
      </c>
      <c r="I29" t="inlineStr">
        <is>
          <t>AUD</t>
        </is>
      </c>
      <c r="J29" t="n">
        <v>32.7803</v>
      </c>
      <c r="K29" s="5" t="inlineStr">
        <is>
          <t>01a152b9-94c8-7073-9619-9f770f6e7fc2</t>
        </is>
      </c>
      <c r="L29" s="5" t="inlineStr">
        <is>
          <t>01a152b9-98c7-7451-b1c6-7b522f661c4c</t>
        </is>
      </c>
      <c r="M29" s="6" t="n">
        <v>42917</v>
      </c>
    </row>
    <row r="30">
      <c r="A30" s="5" t="inlineStr">
        <is>
          <t>01a152b9-996e-71f9-a8c9-948910b41ff9</t>
        </is>
      </c>
      <c r="D30" s="5" t="inlineStr">
        <is>
          <t>01a152b9-6e67-75da-8adb-b03e5d07fd21</t>
        </is>
      </c>
      <c r="E30" s="4" t="n">
        <v>46314.24603684054</v>
      </c>
      <c r="F30" s="4" t="n">
        <v>46314.24603684067</v>
      </c>
      <c r="G30" t="b">
        <v>1</v>
      </c>
      <c r="I30" t="inlineStr">
        <is>
          <t>AUD</t>
        </is>
      </c>
      <c r="J30" t="n">
        <v>25.3072</v>
      </c>
      <c r="K30" s="5" t="inlineStr">
        <is>
          <t>01a152b9-934b-7247-b088-6dad534183ec</t>
        </is>
      </c>
      <c r="L30" s="5" t="inlineStr">
        <is>
          <t>01a152b9-996b-779d-b475-4aefe0dc0b68</t>
        </is>
      </c>
      <c r="M30" s="6" t="n">
        <v>43282</v>
      </c>
    </row>
    <row r="31">
      <c r="A31" s="5" t="inlineStr">
        <is>
          <t>01a152b9-9978-750a-b4bc-371ea635ed0a</t>
        </is>
      </c>
      <c r="D31" s="5" t="inlineStr">
        <is>
          <t>01a152b9-6e67-75da-8adb-b03e5d07fd21</t>
        </is>
      </c>
      <c r="E31" s="4" t="n">
        <v>46314.24603694965</v>
      </c>
      <c r="F31" s="4" t="n">
        <v>46314.24603694976</v>
      </c>
      <c r="G31" t="b">
        <v>1</v>
      </c>
      <c r="I31" t="inlineStr">
        <is>
          <t>AUD</t>
        </is>
      </c>
      <c r="J31" t="n">
        <v>49.9594</v>
      </c>
      <c r="K31" s="5" t="inlineStr">
        <is>
          <t>01a152b9-9310-73e5-9fb3-d0a2d881b358</t>
        </is>
      </c>
      <c r="L31" s="5" t="inlineStr">
        <is>
          <t>01a152b9-996b-779d-b475-4aefe0dc0b68</t>
        </is>
      </c>
      <c r="M31" s="6" t="n">
        <v>43282</v>
      </c>
    </row>
    <row r="32">
      <c r="A32" s="5" t="inlineStr">
        <is>
          <t>01a152b9-9981-72fe-82ac-446035a6b26a</t>
        </is>
      </c>
      <c r="D32" s="5" t="inlineStr">
        <is>
          <t>01a152b9-6e67-75da-8adb-b03e5d07fd21</t>
        </is>
      </c>
      <c r="E32" s="4" t="n">
        <v>46314.24603706171</v>
      </c>
      <c r="F32" s="4" t="n">
        <v>46314.24603706185</v>
      </c>
      <c r="G32" t="b">
        <v>1</v>
      </c>
      <c r="I32" t="inlineStr">
        <is>
          <t>AUD</t>
        </is>
      </c>
      <c r="J32" t="n">
        <v>86.29340000000001</v>
      </c>
      <c r="K32" s="5" t="inlineStr">
        <is>
          <t>01a152b9-9330-70a0-a8f8-e4bd1c0a37d1</t>
        </is>
      </c>
      <c r="L32" s="5" t="inlineStr">
        <is>
          <t>01a152b9-996b-779d-b475-4aefe0dc0b68</t>
        </is>
      </c>
      <c r="M32" s="6" t="n">
        <v>43282</v>
      </c>
    </row>
    <row r="33">
      <c r="A33" s="5" t="inlineStr">
        <is>
          <t>01a152b9-99a7-77e6-ad81-b7f379518232</t>
        </is>
      </c>
      <c r="D33" s="5" t="inlineStr">
        <is>
          <t>01a152b9-6e67-75da-8adb-b03e5d07fd21</t>
        </is>
      </c>
      <c r="E33" s="4" t="n">
        <v>46314.24603750028</v>
      </c>
      <c r="F33" s="4" t="n">
        <v>46314.24603750039</v>
      </c>
      <c r="G33" t="b">
        <v>1</v>
      </c>
      <c r="I33" t="inlineStr">
        <is>
          <t>AUD</t>
        </is>
      </c>
      <c r="J33" t="n">
        <v>0.451</v>
      </c>
      <c r="K33" s="5" t="inlineStr">
        <is>
          <t>01a152b9-962f-7367-a84a-0c600737cd69</t>
        </is>
      </c>
      <c r="L33" s="5" t="inlineStr">
        <is>
          <t>01a152b9-99a3-77e1-9abd-d06d6272f053</t>
        </is>
      </c>
      <c r="M33" s="6" t="n">
        <v>43282</v>
      </c>
    </row>
    <row r="34">
      <c r="A34" s="5" t="inlineStr">
        <is>
          <t>01a152b9-99b1-748a-84d9-cf8e87e583ce</t>
        </is>
      </c>
      <c r="D34" s="5" t="inlineStr">
        <is>
          <t>01a152b9-6e67-75da-8adb-b03e5d07fd21</t>
        </is>
      </c>
      <c r="E34" s="4" t="n">
        <v>46314.24603760832</v>
      </c>
      <c r="F34" s="4" t="n">
        <v>46314.24603760841</v>
      </c>
      <c r="G34" t="b">
        <v>1</v>
      </c>
      <c r="I34" t="inlineStr">
        <is>
          <t>AUD</t>
        </is>
      </c>
      <c r="J34" t="n">
        <v>0.6717</v>
      </c>
      <c r="K34" s="5" t="inlineStr">
        <is>
          <t>01a152b9-9615-743d-b72a-abe2116267b7</t>
        </is>
      </c>
      <c r="L34" s="5" t="inlineStr">
        <is>
          <t>01a152b9-99a3-77e1-9abd-d06d6272f053</t>
        </is>
      </c>
      <c r="M34" s="6" t="n">
        <v>43282</v>
      </c>
    </row>
    <row r="35">
      <c r="A35" s="5" t="inlineStr">
        <is>
          <t>01a152b9-99b9-75ff-8605-f8cabfad6f76</t>
        </is>
      </c>
      <c r="D35" s="5" t="inlineStr">
        <is>
          <t>01a152b9-6e67-75da-8adb-b03e5d07fd21</t>
        </is>
      </c>
      <c r="E35" s="4" t="n">
        <v>46314.24603770064</v>
      </c>
      <c r="F35" s="4" t="n">
        <v>46314.24603770074</v>
      </c>
      <c r="G35" t="b">
        <v>1</v>
      </c>
      <c r="I35" t="inlineStr">
        <is>
          <t>AUD</t>
        </is>
      </c>
      <c r="J35" t="n">
        <v>0.9536</v>
      </c>
      <c r="K35" s="5" t="inlineStr">
        <is>
          <t>01a152b9-95e1-7395-82be-501ffc413824</t>
        </is>
      </c>
      <c r="L35" s="5" t="inlineStr">
        <is>
          <t>01a152b9-99a3-77e1-9abd-d06d6272f053</t>
        </is>
      </c>
      <c r="M35" s="6" t="n">
        <v>43282</v>
      </c>
    </row>
    <row r="36">
      <c r="A36" s="5" t="inlineStr">
        <is>
          <t>01a152b9-99c0-7289-94cc-df43be21e6d0</t>
        </is>
      </c>
      <c r="D36" s="5" t="inlineStr">
        <is>
          <t>01a152b9-6e67-75da-8adb-b03e5d07fd21</t>
        </is>
      </c>
      <c r="E36" s="4" t="n">
        <v>46314.24603778018</v>
      </c>
      <c r="F36" s="4" t="n">
        <v>46314.24603778026</v>
      </c>
      <c r="G36" t="b">
        <v>1</v>
      </c>
      <c r="I36" t="inlineStr">
        <is>
          <t>AUD</t>
        </is>
      </c>
      <c r="J36" t="n">
        <v>1.2595</v>
      </c>
      <c r="K36" s="5" t="inlineStr">
        <is>
          <t>01a152b9-95fb-7120-b341-b6f29d875206</t>
        </is>
      </c>
      <c r="L36" s="5" t="inlineStr">
        <is>
          <t>01a152b9-99a3-77e1-9abd-d06d6272f053</t>
        </is>
      </c>
      <c r="M36" s="6" t="n">
        <v>43282</v>
      </c>
    </row>
    <row r="37">
      <c r="A37" s="5" t="inlineStr">
        <is>
          <t>01a152b9-99c7-7371-bfd1-16c9cf13f897</t>
        </is>
      </c>
      <c r="D37" s="5" t="inlineStr">
        <is>
          <t>01a152b9-6e67-75da-8adb-b03e5d07fd21</t>
        </is>
      </c>
      <c r="E37" s="4" t="n">
        <v>46314.24603786204</v>
      </c>
      <c r="F37" s="4" t="n">
        <v>46314.24603786213</v>
      </c>
      <c r="G37" t="b">
        <v>1</v>
      </c>
      <c r="I37" t="inlineStr">
        <is>
          <t>AUD</t>
        </is>
      </c>
      <c r="J37" t="n">
        <v>3.5866</v>
      </c>
      <c r="K37" s="5" t="inlineStr">
        <is>
          <t>01a152b9-95c6-742f-9e96-a37e19627f89</t>
        </is>
      </c>
      <c r="L37" s="5" t="inlineStr">
        <is>
          <t>01a152b9-99a3-77e1-9abd-d06d6272f053</t>
        </is>
      </c>
      <c r="M37" s="6" t="n">
        <v>43282</v>
      </c>
    </row>
    <row r="38">
      <c r="A38" s="5" t="inlineStr">
        <is>
          <t>01a152b9-99ce-704f-a90b-cfbd8c03324b</t>
        </is>
      </c>
      <c r="D38" s="5" t="inlineStr">
        <is>
          <t>01a152b9-6e67-75da-8adb-b03e5d07fd21</t>
        </is>
      </c>
      <c r="E38" s="4" t="n">
        <v>46314.24603794851</v>
      </c>
      <c r="F38" s="4" t="n">
        <v>46314.24603794867</v>
      </c>
      <c r="G38" t="b">
        <v>1</v>
      </c>
      <c r="I38" t="inlineStr">
        <is>
          <t>AUD</t>
        </is>
      </c>
      <c r="J38" t="n">
        <v>4.1984</v>
      </c>
      <c r="K38" s="5" t="inlineStr">
        <is>
          <t>01a152b9-95ac-746c-9a8c-b4eb3f58a5a6</t>
        </is>
      </c>
      <c r="L38" s="5" t="inlineStr">
        <is>
          <t>01a152b9-99a3-77e1-9abd-d06d6272f053</t>
        </is>
      </c>
      <c r="M38" s="6" t="n">
        <v>43282</v>
      </c>
    </row>
    <row r="39">
      <c r="A39" s="5" t="inlineStr">
        <is>
          <t>01a152b9-99d6-70d4-8aed-c4e9b820934e</t>
        </is>
      </c>
      <c r="D39" s="5" t="inlineStr">
        <is>
          <t>01a152b9-6e67-75da-8adb-b03e5d07fd21</t>
        </is>
      </c>
      <c r="E39" s="4" t="n">
        <v>46314.24603803656</v>
      </c>
      <c r="F39" s="4" t="n">
        <v>46314.24603803665</v>
      </c>
      <c r="G39" t="b">
        <v>1</v>
      </c>
      <c r="I39" t="inlineStr">
        <is>
          <t>AUD</t>
        </is>
      </c>
      <c r="J39" t="n">
        <v>4.3783</v>
      </c>
      <c r="K39" s="5" t="inlineStr">
        <is>
          <t>01a152b9-94e5-7643-9595-d903ba15e5b7</t>
        </is>
      </c>
      <c r="L39" s="5" t="inlineStr">
        <is>
          <t>01a152b9-99a3-77e1-9abd-d06d6272f053</t>
        </is>
      </c>
      <c r="M39" s="6" t="n">
        <v>43282</v>
      </c>
    </row>
    <row r="40">
      <c r="A40" s="5" t="inlineStr">
        <is>
          <t>01a152b9-99dd-73b1-806b-8cad843c69be</t>
        </is>
      </c>
      <c r="D40" s="5" t="inlineStr">
        <is>
          <t>01a152b9-6e67-75da-8adb-b03e5d07fd21</t>
        </is>
      </c>
      <c r="E40" s="4" t="n">
        <v>46314.24603811534</v>
      </c>
      <c r="F40" s="4" t="n">
        <v>46314.24603811542</v>
      </c>
      <c r="G40" t="b">
        <v>1</v>
      </c>
      <c r="I40" t="inlineStr">
        <is>
          <t>AUD</t>
        </is>
      </c>
      <c r="J40" t="n">
        <v>7.8809</v>
      </c>
      <c r="K40" s="5" t="inlineStr">
        <is>
          <t>01a152b9-9574-7264-bf24-1c4e0839a2c8</t>
        </is>
      </c>
      <c r="L40" s="5" t="inlineStr">
        <is>
          <t>01a152b9-99a3-77e1-9abd-d06d6272f053</t>
        </is>
      </c>
      <c r="M40" s="6" t="n">
        <v>43282</v>
      </c>
    </row>
    <row r="41">
      <c r="A41" s="5" t="inlineStr">
        <is>
          <t>01a152b9-99e4-70ef-8184-92159bcb22a7</t>
        </is>
      </c>
      <c r="D41" s="5" t="inlineStr">
        <is>
          <t>01a152b9-6e67-75da-8adb-b03e5d07fd21</t>
        </is>
      </c>
      <c r="E41" s="4" t="n">
        <v>46314.2460381961</v>
      </c>
      <c r="F41" s="4" t="n">
        <v>46314.24603819618</v>
      </c>
      <c r="G41" t="b">
        <v>1</v>
      </c>
      <c r="I41" t="inlineStr">
        <is>
          <t>AUD</t>
        </is>
      </c>
      <c r="J41" t="n">
        <v>8.756600000000001</v>
      </c>
      <c r="K41" s="5" t="inlineStr">
        <is>
          <t>01a152b9-9500-709e-8410-7a936bd089c9</t>
        </is>
      </c>
      <c r="L41" s="5" t="inlineStr">
        <is>
          <t>01a152b9-99a3-77e1-9abd-d06d6272f053</t>
        </is>
      </c>
      <c r="M41" s="6" t="n">
        <v>43282</v>
      </c>
    </row>
    <row r="42">
      <c r="A42" s="5" t="inlineStr">
        <is>
          <t>01a152b9-99ec-706e-b5c6-b604ec577cb1</t>
        </is>
      </c>
      <c r="D42" s="5" t="inlineStr">
        <is>
          <t>01a152b9-6e67-75da-8adb-b03e5d07fd21</t>
        </is>
      </c>
      <c r="E42" s="4" t="n">
        <v>46314.24603828842</v>
      </c>
      <c r="F42" s="4" t="n">
        <v>46314.24603828852</v>
      </c>
      <c r="G42" t="b">
        <v>1</v>
      </c>
      <c r="I42" t="inlineStr">
        <is>
          <t>AUD</t>
        </is>
      </c>
      <c r="J42" t="n">
        <v>8.756600000000001</v>
      </c>
      <c r="K42" s="5" t="inlineStr">
        <is>
          <t>01a152b9-951c-75db-abc6-3b68329be7a6</t>
        </is>
      </c>
      <c r="L42" s="5" t="inlineStr">
        <is>
          <t>01a152b9-99a3-77e1-9abd-d06d6272f053</t>
        </is>
      </c>
      <c r="M42" s="6" t="n">
        <v>43282</v>
      </c>
    </row>
    <row r="43">
      <c r="A43" s="5" t="inlineStr">
        <is>
          <t>01a152b9-99f4-77b9-9080-7a67d46a55cf</t>
        </is>
      </c>
      <c r="D43" s="5" t="inlineStr">
        <is>
          <t>01a152b9-6e67-75da-8adb-b03e5d07fd21</t>
        </is>
      </c>
      <c r="E43" s="4" t="n">
        <v>46314.24603838506</v>
      </c>
      <c r="F43" s="4" t="n">
        <v>46314.24603838514</v>
      </c>
      <c r="G43" t="b">
        <v>1</v>
      </c>
      <c r="I43" t="inlineStr">
        <is>
          <t>AUD</t>
        </is>
      </c>
      <c r="J43" t="n">
        <v>8.756600000000001</v>
      </c>
      <c r="K43" s="5" t="inlineStr">
        <is>
          <t>01a152b9-953a-77b8-8f2e-2d4feaabe9bc</t>
        </is>
      </c>
      <c r="L43" s="5" t="inlineStr">
        <is>
          <t>01a152b9-99a3-77e1-9abd-d06d6272f053</t>
        </is>
      </c>
      <c r="M43" s="6" t="n">
        <v>43282</v>
      </c>
    </row>
    <row r="44">
      <c r="A44" s="5" t="inlineStr">
        <is>
          <t>01a152b9-99fc-726b-a87a-16be527283da</t>
        </is>
      </c>
      <c r="D44" s="5" t="inlineStr">
        <is>
          <t>01a152b9-6e67-75da-8adb-b03e5d07fd21</t>
        </is>
      </c>
      <c r="E44" s="4" t="n">
        <v>46314.24603848199</v>
      </c>
      <c r="F44" s="4" t="n">
        <v>46314.24603848212</v>
      </c>
      <c r="G44" t="b">
        <v>1</v>
      </c>
      <c r="I44" t="inlineStr">
        <is>
          <t>AUD</t>
        </is>
      </c>
      <c r="J44" t="n">
        <v>8.756600000000001</v>
      </c>
      <c r="K44" s="5" t="inlineStr">
        <is>
          <t>01a152b9-9557-73d7-96a4-1c9494e1cc27</t>
        </is>
      </c>
      <c r="L44" s="5" t="inlineStr">
        <is>
          <t>01a152b9-99a3-77e1-9abd-d06d6272f053</t>
        </is>
      </c>
      <c r="M44" s="6" t="n">
        <v>43282</v>
      </c>
    </row>
    <row r="45">
      <c r="A45" s="5" t="inlineStr">
        <is>
          <t>01a152b9-9a04-7796-8bde-41e1854c730a</t>
        </is>
      </c>
      <c r="D45" s="5" t="inlineStr">
        <is>
          <t>01a152b9-6e67-75da-8adb-b03e5d07fd21</t>
        </is>
      </c>
      <c r="E45" s="4" t="n">
        <v>46314.24603857021</v>
      </c>
      <c r="F45" s="4" t="n">
        <v>46314.2460385703</v>
      </c>
      <c r="G45" t="b">
        <v>1</v>
      </c>
      <c r="I45" t="inlineStr">
        <is>
          <t>AUD</t>
        </is>
      </c>
      <c r="J45" t="n">
        <v>8.756600000000001</v>
      </c>
      <c r="K45" s="5" t="inlineStr">
        <is>
          <t>01a152b9-958f-7703-a5c4-c31e1306711f</t>
        </is>
      </c>
      <c r="L45" s="5" t="inlineStr">
        <is>
          <t>01a152b9-99a3-77e1-9abd-d06d6272f053</t>
        </is>
      </c>
      <c r="M45" s="6" t="n">
        <v>43282</v>
      </c>
    </row>
    <row r="46">
      <c r="A46" s="5" t="inlineStr">
        <is>
          <t>01a152b9-9a0c-72d4-a0c1-c5986f0a5f63</t>
        </is>
      </c>
      <c r="D46" s="5" t="inlineStr">
        <is>
          <t>01a152b9-6e67-75da-8adb-b03e5d07fd21</t>
        </is>
      </c>
      <c r="E46" s="4" t="n">
        <v>46314.24603866896</v>
      </c>
      <c r="F46" s="4" t="n">
        <v>46314.24603866907</v>
      </c>
      <c r="G46" t="b">
        <v>1</v>
      </c>
      <c r="I46" t="inlineStr">
        <is>
          <t>AUD</t>
        </is>
      </c>
      <c r="J46" t="n">
        <v>10.9457</v>
      </c>
      <c r="K46" s="5" t="inlineStr">
        <is>
          <t>01a152b9-9489-75d9-9632-6da6174dc905</t>
        </is>
      </c>
      <c r="L46" s="5" t="inlineStr">
        <is>
          <t>01a152b9-99a3-77e1-9abd-d06d6272f053</t>
        </is>
      </c>
      <c r="M46" s="6" t="n">
        <v>43282</v>
      </c>
    </row>
    <row r="47">
      <c r="A47" s="5" t="inlineStr">
        <is>
          <t>01a152b9-9a14-702a-bf45-7580a5c6dcb1</t>
        </is>
      </c>
      <c r="D47" s="5" t="inlineStr">
        <is>
          <t>01a152b9-6e67-75da-8adb-b03e5d07fd21</t>
        </is>
      </c>
      <c r="E47" s="4" t="n">
        <v>46314.24603876207</v>
      </c>
      <c r="F47" s="4" t="n">
        <v>46314.24603876219</v>
      </c>
      <c r="G47" t="b">
        <v>1</v>
      </c>
      <c r="I47" t="inlineStr">
        <is>
          <t>AUD</t>
        </is>
      </c>
      <c r="J47" t="n">
        <v>10.9457</v>
      </c>
      <c r="K47" s="5" t="inlineStr">
        <is>
          <t>01a152b9-94a7-731e-bcf5-1459d6c541b5</t>
        </is>
      </c>
      <c r="L47" s="5" t="inlineStr">
        <is>
          <t>01a152b9-99a3-77e1-9abd-d06d6272f053</t>
        </is>
      </c>
      <c r="M47" s="6" t="n">
        <v>43282</v>
      </c>
    </row>
    <row r="48">
      <c r="A48" s="5" t="inlineStr">
        <is>
          <t>01a152b9-9a1d-7631-b8fc-b8ec5255d4d3</t>
        </is>
      </c>
      <c r="D48" s="5" t="inlineStr">
        <is>
          <t>01a152b9-6e67-75da-8adb-b03e5d07fd21</t>
        </is>
      </c>
      <c r="E48" s="4" t="n">
        <v>46314.24603886147</v>
      </c>
      <c r="F48" s="4" t="n">
        <v>46314.24603886157</v>
      </c>
      <c r="G48" t="b">
        <v>1</v>
      </c>
      <c r="I48" t="inlineStr">
        <is>
          <t>AUD</t>
        </is>
      </c>
      <c r="J48" t="n">
        <v>10.9456</v>
      </c>
      <c r="K48" s="5" t="inlineStr">
        <is>
          <t>01a152b9-94c8-7073-9619-9f770f6e7fc2</t>
        </is>
      </c>
      <c r="L48" s="5" t="inlineStr">
        <is>
          <t>01a152b9-99a3-77e1-9abd-d06d6272f053</t>
        </is>
      </c>
      <c r="M48" s="6" t="n">
        <v>43282</v>
      </c>
    </row>
    <row r="49">
      <c r="A49" s="5" t="inlineStr">
        <is>
          <t>01a152b9-9a79-74f8-afe3-358ae3765002</t>
        </is>
      </c>
      <c r="D49" s="5" t="inlineStr">
        <is>
          <t>01a152b9-6e67-75da-8adb-b03e5d07fd21</t>
        </is>
      </c>
      <c r="E49" s="4" t="n">
        <v>46314.24603992711</v>
      </c>
      <c r="F49" s="4" t="n">
        <v>46314.24603992722</v>
      </c>
      <c r="G49" t="b">
        <v>1</v>
      </c>
      <c r="I49" t="inlineStr">
        <is>
          <t>AUD</t>
        </is>
      </c>
      <c r="J49" t="n">
        <v>2.2833</v>
      </c>
      <c r="K49" s="5" t="inlineStr">
        <is>
          <t>01a152b9-944e-753e-b691-b12012b84d66</t>
        </is>
      </c>
      <c r="L49" s="5" t="inlineStr">
        <is>
          <t>01a152b9-9a76-73ac-9c1a-314efbe7883a</t>
        </is>
      </c>
      <c r="M49" s="6" t="n">
        <v>43647</v>
      </c>
    </row>
    <row r="50">
      <c r="A50" s="5" t="inlineStr">
        <is>
          <t>01a152b9-9a82-75e4-8da6-42edcc6d4efb</t>
        </is>
      </c>
      <c r="D50" s="5" t="inlineStr">
        <is>
          <t>01a152b9-6e67-75da-8adb-b03e5d07fd21</t>
        </is>
      </c>
      <c r="E50" s="4" t="n">
        <v>46314.24604002666</v>
      </c>
      <c r="F50" s="4" t="n">
        <v>46314.24604002677</v>
      </c>
      <c r="G50" t="b">
        <v>1</v>
      </c>
      <c r="I50" t="inlineStr">
        <is>
          <t>AUD</t>
        </is>
      </c>
      <c r="J50" t="n">
        <v>27.2804</v>
      </c>
      <c r="K50" s="5" t="inlineStr">
        <is>
          <t>01a152b9-942e-76dc-a2de-ceec571c1474</t>
        </is>
      </c>
      <c r="L50" s="5" t="inlineStr">
        <is>
          <t>01a152b9-9a76-73ac-9c1a-314efbe7883a</t>
        </is>
      </c>
      <c r="M50" s="6" t="n">
        <v>43647</v>
      </c>
    </row>
    <row r="51">
      <c r="A51" s="5" t="inlineStr">
        <is>
          <t>01a152b9-9a89-73c5-b222-6bf3462e0c6f</t>
        </is>
      </c>
      <c r="D51" s="5" t="inlineStr">
        <is>
          <t>01a152b9-6e67-75da-8adb-b03e5d07fd21</t>
        </is>
      </c>
      <c r="E51" s="4" t="n">
        <v>46314.24604011636</v>
      </c>
      <c r="F51" s="4" t="n">
        <v>46314.24604011651</v>
      </c>
      <c r="G51" t="b">
        <v>1</v>
      </c>
      <c r="I51" t="inlineStr">
        <is>
          <t>AUD</t>
        </is>
      </c>
      <c r="J51" t="n">
        <v>39.3816</v>
      </c>
      <c r="K51" s="5" t="inlineStr">
        <is>
          <t>01a152b9-93d8-741c-b03f-96b816de68cf</t>
        </is>
      </c>
      <c r="L51" s="5" t="inlineStr">
        <is>
          <t>01a152b9-9a76-73ac-9c1a-314efbe7883a</t>
        </is>
      </c>
      <c r="M51" s="6" t="n">
        <v>43647</v>
      </c>
    </row>
    <row r="52">
      <c r="A52" s="5" t="inlineStr">
        <is>
          <t>01a152b9-9a91-7339-8009-e999784804cc</t>
        </is>
      </c>
      <c r="D52" s="5" t="inlineStr">
        <is>
          <t>01a152b9-6e67-75da-8adb-b03e5d07fd21</t>
        </is>
      </c>
      <c r="E52" s="4" t="n">
        <v>46314.24604019812</v>
      </c>
      <c r="F52" s="4" t="n">
        <v>46314.24605978545</v>
      </c>
      <c r="G52" t="b">
        <v>0</v>
      </c>
      <c r="I52" t="inlineStr">
        <is>
          <t>AUD</t>
        </is>
      </c>
      <c r="J52" t="n">
        <v>77.6602</v>
      </c>
      <c r="K52" s="5" t="inlineStr">
        <is>
          <t>01a152b9-93ba-7162-b94e-4a96e2f43e27</t>
        </is>
      </c>
      <c r="L52" s="5" t="inlineStr">
        <is>
          <t>01a152b9-9a76-73ac-9c1a-314efbe7883a</t>
        </is>
      </c>
      <c r="M52" s="6" t="n">
        <v>43647</v>
      </c>
      <c r="N52" s="6" t="n">
        <v>44747</v>
      </c>
    </row>
    <row r="53">
      <c r="A53" s="5" t="inlineStr">
        <is>
          <t>01a152b9-9a99-77c5-9505-48cae0e22d93</t>
        </is>
      </c>
      <c r="D53" s="5" t="inlineStr">
        <is>
          <t>01a152b9-6e67-75da-8adb-b03e5d07fd21</t>
        </is>
      </c>
      <c r="E53" s="4" t="n">
        <v>46314.24604029146</v>
      </c>
      <c r="F53" s="4" t="n">
        <v>46314.24604029155</v>
      </c>
      <c r="G53" t="b">
        <v>1</v>
      </c>
      <c r="I53" t="inlineStr">
        <is>
          <t>AUD</t>
        </is>
      </c>
      <c r="J53" t="n">
        <v>131.3195</v>
      </c>
      <c r="K53" s="5" t="inlineStr">
        <is>
          <t>01a152b9-9310-73e5-9fb3-d0a2d881b358</t>
        </is>
      </c>
      <c r="L53" s="5" t="inlineStr">
        <is>
          <t>01a152b9-9a76-73ac-9c1a-314efbe7883a</t>
        </is>
      </c>
      <c r="M53" s="6" t="n">
        <v>43647</v>
      </c>
    </row>
    <row r="54">
      <c r="A54" s="5" t="inlineStr">
        <is>
          <t>01a152b9-9aa0-70f2-98fb-8407a8ec48be</t>
        </is>
      </c>
      <c r="D54" s="5" t="inlineStr">
        <is>
          <t>01a152b9-6e67-75da-8adb-b03e5d07fd21</t>
        </is>
      </c>
      <c r="E54" s="4" t="n">
        <v>46314.24604037614</v>
      </c>
      <c r="F54" s="4" t="n">
        <v>46314.24604037622</v>
      </c>
      <c r="G54" t="b">
        <v>1</v>
      </c>
      <c r="I54" t="inlineStr">
        <is>
          <t>AUD</t>
        </is>
      </c>
      <c r="J54" t="n">
        <v>193.5663</v>
      </c>
      <c r="K54" s="5" t="inlineStr">
        <is>
          <t>01a152b9-93a0-7020-914d-afff81d3a029</t>
        </is>
      </c>
      <c r="L54" s="5" t="inlineStr">
        <is>
          <t>01a152b9-9a76-73ac-9c1a-314efbe7883a</t>
        </is>
      </c>
      <c r="M54" s="6" t="n">
        <v>43647</v>
      </c>
    </row>
    <row r="55">
      <c r="A55" s="5" t="inlineStr">
        <is>
          <t>01a152b9-9aa7-7440-90f4-0db0f9dd03ce</t>
        </is>
      </c>
      <c r="D55" s="5" t="inlineStr">
        <is>
          <t>01a152b9-6e67-75da-8adb-b03e5d07fd21</t>
        </is>
      </c>
      <c r="E55" s="4" t="n">
        <v>46314.24604045788</v>
      </c>
      <c r="F55" s="4" t="n">
        <v>46314.246040458</v>
      </c>
      <c r="G55" t="b">
        <v>1</v>
      </c>
      <c r="I55" t="inlineStr">
        <is>
          <t>AUD</t>
        </is>
      </c>
      <c r="J55" t="n">
        <v>205.4926</v>
      </c>
      <c r="K55" s="5" t="inlineStr">
        <is>
          <t>01a152b9-936b-763f-b2ea-0377d064edc9</t>
        </is>
      </c>
      <c r="L55" s="5" t="inlineStr">
        <is>
          <t>01a152b9-9a76-73ac-9c1a-314efbe7883a</t>
        </is>
      </c>
      <c r="M55" s="6" t="n">
        <v>43647</v>
      </c>
    </row>
    <row r="56">
      <c r="A56" s="5" t="inlineStr">
        <is>
          <t>01a152b9-9aaf-715e-b4dc-4e553dddc3f5</t>
        </is>
      </c>
      <c r="D56" s="5" t="inlineStr">
        <is>
          <t>01a152b9-6e67-75da-8adb-b03e5d07fd21</t>
        </is>
      </c>
      <c r="E56" s="4" t="n">
        <v>46314.2460405462</v>
      </c>
      <c r="F56" s="4" t="n">
        <v>46314.24604054628</v>
      </c>
      <c r="G56" t="b">
        <v>1</v>
      </c>
      <c r="I56" t="inlineStr">
        <is>
          <t>AUD</t>
        </is>
      </c>
      <c r="J56" t="n">
        <v>226.8246</v>
      </c>
      <c r="K56" s="5" t="inlineStr">
        <is>
          <t>01a152b9-9330-70a0-a8f8-e4bd1c0a37d1</t>
        </is>
      </c>
      <c r="L56" s="5" t="inlineStr">
        <is>
          <t>01a152b9-9a76-73ac-9c1a-314efbe7883a</t>
        </is>
      </c>
      <c r="M56" s="6" t="n">
        <v>43647</v>
      </c>
    </row>
    <row r="57">
      <c r="A57" s="5" t="inlineStr">
        <is>
          <t>01a152b9-9ab6-71a3-8499-f8d648935c0d</t>
        </is>
      </c>
      <c r="D57" s="5" t="inlineStr">
        <is>
          <t>01a152b9-6e67-75da-8adb-b03e5d07fd21</t>
        </is>
      </c>
      <c r="E57" s="4" t="n">
        <v>46314.24604063269</v>
      </c>
      <c r="F57" s="4" t="n">
        <v>46314.24604063277</v>
      </c>
      <c r="G57" t="b">
        <v>1</v>
      </c>
      <c r="I57" t="inlineStr">
        <is>
          <t>AUD</t>
        </is>
      </c>
      <c r="J57" t="n">
        <v>258.2979</v>
      </c>
      <c r="K57" s="5" t="inlineStr">
        <is>
          <t>01a152b9-934b-7247-b088-6dad534183ec</t>
        </is>
      </c>
      <c r="L57" s="5" t="inlineStr">
        <is>
          <t>01a152b9-9a76-73ac-9c1a-314efbe7883a</t>
        </is>
      </c>
      <c r="M57" s="6" t="n">
        <v>43647</v>
      </c>
    </row>
    <row r="58">
      <c r="A58" s="5" t="inlineStr">
        <is>
          <t>01a152b9-9abe-7371-bfd4-fd2bbd14ae88</t>
        </is>
      </c>
      <c r="D58" s="5" t="inlineStr">
        <is>
          <t>01a152b9-6e67-75da-8adb-b03e5d07fd21</t>
        </is>
      </c>
      <c r="E58" s="4" t="n">
        <v>46314.24604072523</v>
      </c>
      <c r="F58" s="4" t="n">
        <v>46314.24605146538</v>
      </c>
      <c r="G58" t="b">
        <v>0</v>
      </c>
      <c r="I58" t="inlineStr">
        <is>
          <t>AUD</t>
        </is>
      </c>
      <c r="J58" t="n">
        <v>280.5136</v>
      </c>
      <c r="K58" s="5" t="inlineStr">
        <is>
          <t>01a152b9-9386-7582-9aa2-0771b5a4639a</t>
        </is>
      </c>
      <c r="L58" s="5" t="inlineStr">
        <is>
          <t>01a152b9-9a76-73ac-9c1a-314efbe7883a</t>
        </is>
      </c>
      <c r="M58" s="6" t="n">
        <v>43647</v>
      </c>
      <c r="N58" s="6" t="n">
        <v>44742</v>
      </c>
    </row>
    <row r="59">
      <c r="A59" s="5" t="inlineStr">
        <is>
          <t>01a152b9-9afc-75db-a677-ad0223818d87</t>
        </is>
      </c>
      <c r="D59" s="5" t="inlineStr">
        <is>
          <t>01a152b9-6e67-75da-8adb-b03e5d07fd21</t>
        </is>
      </c>
      <c r="E59" s="4" t="n">
        <v>46314.24604144497</v>
      </c>
      <c r="F59" s="4" t="n">
        <v>46314.24604144505</v>
      </c>
      <c r="G59" t="b">
        <v>1</v>
      </c>
      <c r="I59" t="inlineStr">
        <is>
          <t>AUD</t>
        </is>
      </c>
      <c r="J59" t="n">
        <v>-0.9273</v>
      </c>
      <c r="K59" s="5" t="inlineStr">
        <is>
          <t>01a152b9-968b-7582-a40a-451d61aca7f6</t>
        </is>
      </c>
      <c r="L59" s="5" t="inlineStr">
        <is>
          <t>01a152b9-9af9-76ba-84e7-6efb7e411789</t>
        </is>
      </c>
      <c r="M59" s="6" t="n">
        <v>43647</v>
      </c>
    </row>
    <row r="60">
      <c r="A60" s="5" t="inlineStr">
        <is>
          <t>01a152b9-9b04-77ed-a28b-32d6654cdb7c</t>
        </is>
      </c>
      <c r="D60" s="5" t="inlineStr">
        <is>
          <t>01a152b9-6e67-75da-8adb-b03e5d07fd21</t>
        </is>
      </c>
      <c r="E60" s="4" t="n">
        <v>46314.24604153592</v>
      </c>
      <c r="F60" s="4" t="n">
        <v>46314.24604153603</v>
      </c>
      <c r="G60" t="b">
        <v>1</v>
      </c>
      <c r="I60" t="inlineStr">
        <is>
          <t>AUD</t>
        </is>
      </c>
      <c r="J60" t="n">
        <v>-2.6723</v>
      </c>
      <c r="K60" s="5" t="inlineStr">
        <is>
          <t>01a152b9-95e1-7395-82be-501ffc413824</t>
        </is>
      </c>
      <c r="L60" s="5" t="inlineStr">
        <is>
          <t>01a152b9-9af9-76ba-84e7-6efb7e411789</t>
        </is>
      </c>
      <c r="M60" s="6" t="n">
        <v>43647</v>
      </c>
    </row>
    <row r="61">
      <c r="A61" s="5" t="inlineStr">
        <is>
          <t>01a152b9-9b0c-7043-85b4-5b8af5a3e58f</t>
        </is>
      </c>
      <c r="D61" s="5" t="inlineStr">
        <is>
          <t>01a152b9-6e67-75da-8adb-b03e5d07fd21</t>
        </is>
      </c>
      <c r="E61" s="4" t="n">
        <v>46314.24604163136</v>
      </c>
      <c r="F61" s="4" t="n">
        <v>46314.24604163147</v>
      </c>
      <c r="G61" t="b">
        <v>1</v>
      </c>
      <c r="I61" t="inlineStr">
        <is>
          <t>AUD</t>
        </is>
      </c>
      <c r="J61" t="n">
        <v>-2.8914</v>
      </c>
      <c r="K61" s="5" t="inlineStr">
        <is>
          <t>01a152b9-966d-7399-b21c-89ba0f404c00</t>
        </is>
      </c>
      <c r="L61" s="5" t="inlineStr">
        <is>
          <t>01a152b9-9af9-76ba-84e7-6efb7e411789</t>
        </is>
      </c>
      <c r="M61" s="6" t="n">
        <v>43647</v>
      </c>
    </row>
    <row r="62">
      <c r="A62" s="5" t="inlineStr">
        <is>
          <t>01a152b9-9b15-705c-94be-5775fb577450</t>
        </is>
      </c>
      <c r="D62" s="5" t="inlineStr">
        <is>
          <t>01a152b9-6e67-75da-8adb-b03e5d07fd21</t>
        </is>
      </c>
      <c r="E62" s="4" t="n">
        <v>46314.2460417277</v>
      </c>
      <c r="F62" s="4" t="n">
        <v>46314.24604172783</v>
      </c>
      <c r="G62" t="b">
        <v>1</v>
      </c>
      <c r="I62" t="inlineStr">
        <is>
          <t>AUD</t>
        </is>
      </c>
      <c r="J62" t="n">
        <v>-3.3587</v>
      </c>
      <c r="K62" s="5" t="inlineStr">
        <is>
          <t>01a152b9-964c-760f-b649-b5089fe2f69f</t>
        </is>
      </c>
      <c r="L62" s="5" t="inlineStr">
        <is>
          <t>01a152b9-9af9-76ba-84e7-6efb7e411789</t>
        </is>
      </c>
      <c r="M62" s="6" t="n">
        <v>43647</v>
      </c>
    </row>
    <row r="63">
      <c r="A63" s="5" t="inlineStr">
        <is>
          <t>01a152b9-9b1c-76e5-a421-bb77290c43a8</t>
        </is>
      </c>
      <c r="D63" s="5" t="inlineStr">
        <is>
          <t>01a152b9-6e67-75da-8adb-b03e5d07fd21</t>
        </is>
      </c>
      <c r="E63" s="4" t="n">
        <v>46314.24604181456</v>
      </c>
      <c r="F63" s="4" t="n">
        <v>46314.24604181465</v>
      </c>
      <c r="G63" t="b">
        <v>1</v>
      </c>
      <c r="I63" t="inlineStr">
        <is>
          <t>AUD</t>
        </is>
      </c>
      <c r="J63" t="n">
        <v>-4.2757</v>
      </c>
      <c r="K63" s="5" t="inlineStr">
        <is>
          <t>01a152b9-962f-7367-a84a-0c600737cd69</t>
        </is>
      </c>
      <c r="L63" s="5" t="inlineStr">
        <is>
          <t>01a152b9-9af9-76ba-84e7-6efb7e411789</t>
        </is>
      </c>
      <c r="M63" s="6" t="n">
        <v>43647</v>
      </c>
    </row>
    <row r="64">
      <c r="A64" s="5" t="inlineStr">
        <is>
          <t>01a152b9-9b23-71b1-9dc3-4682f0bd690e</t>
        </is>
      </c>
      <c r="D64" s="5" t="inlineStr">
        <is>
          <t>01a152b9-6e67-75da-8adb-b03e5d07fd21</t>
        </is>
      </c>
      <c r="E64" s="4" t="n">
        <v>46314.24604189626</v>
      </c>
      <c r="F64" s="4" t="n">
        <v>46314.24604189635</v>
      </c>
      <c r="G64" t="b">
        <v>1</v>
      </c>
      <c r="I64" t="inlineStr">
        <is>
          <t>AUD</t>
        </is>
      </c>
      <c r="J64" t="n">
        <v>-5.3446</v>
      </c>
      <c r="K64" s="5" t="inlineStr">
        <is>
          <t>01a152b9-94e5-7643-9595-d903ba15e5b7</t>
        </is>
      </c>
      <c r="L64" s="5" t="inlineStr">
        <is>
          <t>01a152b9-9af9-76ba-84e7-6efb7e411789</t>
        </is>
      </c>
      <c r="M64" s="6" t="n">
        <v>43647</v>
      </c>
    </row>
    <row r="65">
      <c r="A65" s="5" t="inlineStr">
        <is>
          <t>01a152b9-9b2a-741d-80e0-8ce56b3771b4</t>
        </is>
      </c>
      <c r="D65" s="5" t="inlineStr">
        <is>
          <t>01a152b9-6e67-75da-8adb-b03e5d07fd21</t>
        </is>
      </c>
      <c r="E65" s="4" t="n">
        <v>46314.24604197607</v>
      </c>
      <c r="F65" s="4" t="n">
        <v>46314.24604197615</v>
      </c>
      <c r="G65" t="b">
        <v>1</v>
      </c>
      <c r="I65" t="inlineStr">
        <is>
          <t>AUD</t>
        </is>
      </c>
      <c r="J65" t="n">
        <v>-5.3446</v>
      </c>
      <c r="K65" s="5" t="inlineStr">
        <is>
          <t>01a152b9-95ac-746c-9a8c-b4eb3f58a5a6</t>
        </is>
      </c>
      <c r="L65" s="5" t="inlineStr">
        <is>
          <t>01a152b9-9af9-76ba-84e7-6efb7e411789</t>
        </is>
      </c>
      <c r="M65" s="6" t="n">
        <v>43647</v>
      </c>
    </row>
    <row r="66">
      <c r="A66" s="5" t="inlineStr">
        <is>
          <t>01a152b9-9b31-77dd-a2c3-8891f35fcfbe</t>
        </is>
      </c>
      <c r="D66" s="5" t="inlineStr">
        <is>
          <t>01a152b9-6e67-75da-8adb-b03e5d07fd21</t>
        </is>
      </c>
      <c r="E66" s="4" t="n">
        <v>46314.24604205646</v>
      </c>
      <c r="F66" s="4" t="n">
        <v>46314.24604205656</v>
      </c>
      <c r="G66" t="b">
        <v>1</v>
      </c>
      <c r="I66" t="inlineStr">
        <is>
          <t>AUD</t>
        </is>
      </c>
      <c r="J66" t="n">
        <v>-5.3446</v>
      </c>
      <c r="K66" s="5" t="inlineStr">
        <is>
          <t>01a152b9-95c6-742f-9e96-a37e19627f89</t>
        </is>
      </c>
      <c r="L66" s="5" t="inlineStr">
        <is>
          <t>01a152b9-9af9-76ba-84e7-6efb7e411789</t>
        </is>
      </c>
      <c r="M66" s="6" t="n">
        <v>43647</v>
      </c>
    </row>
    <row r="67">
      <c r="A67" s="5" t="inlineStr">
        <is>
          <t>01a152b9-9b39-70e1-b1c1-609acba6b9ea</t>
        </is>
      </c>
      <c r="D67" s="5" t="inlineStr">
        <is>
          <t>01a152b9-6e67-75da-8adb-b03e5d07fd21</t>
        </is>
      </c>
      <c r="E67" s="4" t="n">
        <v>46314.24604214788</v>
      </c>
      <c r="F67" s="4" t="n">
        <v>46314.24604214796</v>
      </c>
      <c r="G67" t="b">
        <v>1</v>
      </c>
      <c r="I67" t="inlineStr">
        <is>
          <t>AUD</t>
        </is>
      </c>
      <c r="J67" t="n">
        <v>-5.3446</v>
      </c>
      <c r="K67" s="5" t="inlineStr">
        <is>
          <t>01a152b9-95fb-7120-b341-b6f29d875206</t>
        </is>
      </c>
      <c r="L67" s="5" t="inlineStr">
        <is>
          <t>01a152b9-9af9-76ba-84e7-6efb7e411789</t>
        </is>
      </c>
      <c r="M67" s="6" t="n">
        <v>43647</v>
      </c>
    </row>
    <row r="68">
      <c r="A68" s="5" t="inlineStr">
        <is>
          <t>01a152b9-9b42-745d-ab3f-54dff8a5b3b8</t>
        </is>
      </c>
      <c r="D68" s="5" t="inlineStr">
        <is>
          <t>01a152b9-6e67-75da-8adb-b03e5d07fd21</t>
        </is>
      </c>
      <c r="E68" s="4" t="n">
        <v>46314.2460422522</v>
      </c>
      <c r="F68" s="4" t="n">
        <v>46314.2460422523</v>
      </c>
      <c r="G68" t="b">
        <v>1</v>
      </c>
      <c r="I68" t="inlineStr">
        <is>
          <t>AUD</t>
        </is>
      </c>
      <c r="J68" t="n">
        <v>-5.3446</v>
      </c>
      <c r="K68" s="5" t="inlineStr">
        <is>
          <t>01a152b9-9615-743d-b72a-abe2116267b7</t>
        </is>
      </c>
      <c r="L68" s="5" t="inlineStr">
        <is>
          <t>01a152b9-9af9-76ba-84e7-6efb7e411789</t>
        </is>
      </c>
      <c r="M68" s="6" t="n">
        <v>43647</v>
      </c>
    </row>
    <row r="69">
      <c r="A69" s="5" t="inlineStr">
        <is>
          <t>01a152b9-9b4a-7626-8a9b-2e85ed3e38df</t>
        </is>
      </c>
      <c r="D69" s="5" t="inlineStr">
        <is>
          <t>01a152b9-6e67-75da-8adb-b03e5d07fd21</t>
        </is>
      </c>
      <c r="E69" s="4" t="n">
        <v>46314.24604234703</v>
      </c>
      <c r="F69" s="4" t="n">
        <v>46314.24604234712</v>
      </c>
      <c r="G69" t="b">
        <v>1</v>
      </c>
      <c r="I69" t="inlineStr">
        <is>
          <t>AUD</t>
        </is>
      </c>
      <c r="J69" t="n">
        <v>-9.6203</v>
      </c>
      <c r="K69" s="5" t="inlineStr">
        <is>
          <t>01a152b9-9574-7264-bf24-1c4e0839a2c8</t>
        </is>
      </c>
      <c r="L69" s="5" t="inlineStr">
        <is>
          <t>01a152b9-9af9-76ba-84e7-6efb7e411789</t>
        </is>
      </c>
      <c r="M69" s="6" t="n">
        <v>43647</v>
      </c>
    </row>
    <row r="70">
      <c r="A70" s="5" t="inlineStr">
        <is>
          <t>01a152b9-9b51-76a4-a28e-a6b81ed617b1</t>
        </is>
      </c>
      <c r="D70" s="5" t="inlineStr">
        <is>
          <t>01a152b9-6e67-75da-8adb-b03e5d07fd21</t>
        </is>
      </c>
      <c r="E70" s="4" t="n">
        <v>46314.24604243045</v>
      </c>
      <c r="F70" s="4" t="n">
        <v>46314.24604243055</v>
      </c>
      <c r="G70" t="b">
        <v>1</v>
      </c>
      <c r="I70" t="inlineStr">
        <is>
          <t>AUD</t>
        </is>
      </c>
      <c r="J70" t="n">
        <v>-10.6893</v>
      </c>
      <c r="K70" s="5" t="inlineStr">
        <is>
          <t>01a152b9-9500-709e-8410-7a936bd089c9</t>
        </is>
      </c>
      <c r="L70" s="5" t="inlineStr">
        <is>
          <t>01a152b9-9af9-76ba-84e7-6efb7e411789</t>
        </is>
      </c>
      <c r="M70" s="6" t="n">
        <v>43647</v>
      </c>
    </row>
    <row r="71">
      <c r="A71" s="5" t="inlineStr">
        <is>
          <t>01a152b9-9b58-7029-9781-db282d7288d0</t>
        </is>
      </c>
      <c r="D71" s="5" t="inlineStr">
        <is>
          <t>01a152b9-6e67-75da-8adb-b03e5d07fd21</t>
        </is>
      </c>
      <c r="E71" s="4" t="n">
        <v>46314.24604250869</v>
      </c>
      <c r="F71" s="4" t="n">
        <v>46314.24604250876</v>
      </c>
      <c r="G71" t="b">
        <v>1</v>
      </c>
      <c r="I71" t="inlineStr">
        <is>
          <t>AUD</t>
        </is>
      </c>
      <c r="J71" t="n">
        <v>-10.6893</v>
      </c>
      <c r="K71" s="5" t="inlineStr">
        <is>
          <t>01a152b9-951c-75db-abc6-3b68329be7a6</t>
        </is>
      </c>
      <c r="L71" s="5" t="inlineStr">
        <is>
          <t>01a152b9-9af9-76ba-84e7-6efb7e411789</t>
        </is>
      </c>
      <c r="M71" s="6" t="n">
        <v>43647</v>
      </c>
    </row>
    <row r="72">
      <c r="A72" s="5" t="inlineStr">
        <is>
          <t>01a152b9-9b5f-76e6-a6e5-fb04ab1340f4</t>
        </is>
      </c>
      <c r="D72" s="5" t="inlineStr">
        <is>
          <t>01a152b9-6e67-75da-8adb-b03e5d07fd21</t>
        </is>
      </c>
      <c r="E72" s="4" t="n">
        <v>46314.24604259035</v>
      </c>
      <c r="F72" s="4" t="n">
        <v>46314.24604259041</v>
      </c>
      <c r="G72" t="b">
        <v>1</v>
      </c>
      <c r="I72" t="inlineStr">
        <is>
          <t>AUD</t>
        </is>
      </c>
      <c r="J72" t="n">
        <v>-10.6893</v>
      </c>
      <c r="K72" s="5" t="inlineStr">
        <is>
          <t>01a152b9-953a-77b8-8f2e-2d4feaabe9bc</t>
        </is>
      </c>
      <c r="L72" s="5" t="inlineStr">
        <is>
          <t>01a152b9-9af9-76ba-84e7-6efb7e411789</t>
        </is>
      </c>
      <c r="M72" s="6" t="n">
        <v>43647</v>
      </c>
    </row>
    <row r="73">
      <c r="A73" s="5" t="inlineStr">
        <is>
          <t>01a152b9-9b66-70e6-9f45-3b23cf983f45</t>
        </is>
      </c>
      <c r="D73" s="5" t="inlineStr">
        <is>
          <t>01a152b9-6e67-75da-8adb-b03e5d07fd21</t>
        </is>
      </c>
      <c r="E73" s="4" t="n">
        <v>46314.24604266739</v>
      </c>
      <c r="F73" s="4" t="n">
        <v>46314.2460426675</v>
      </c>
      <c r="G73" t="b">
        <v>1</v>
      </c>
      <c r="I73" t="inlineStr">
        <is>
          <t>AUD</t>
        </is>
      </c>
      <c r="J73" t="n">
        <v>-10.6893</v>
      </c>
      <c r="K73" s="5" t="inlineStr">
        <is>
          <t>01a152b9-9557-73d7-96a4-1c9494e1cc27</t>
        </is>
      </c>
      <c r="L73" s="5" t="inlineStr">
        <is>
          <t>01a152b9-9af9-76ba-84e7-6efb7e411789</t>
        </is>
      </c>
      <c r="M73" s="6" t="n">
        <v>43647</v>
      </c>
    </row>
    <row r="74">
      <c r="A74" s="5" t="inlineStr">
        <is>
          <t>01a152b9-9b6e-71fd-8a24-b1c34d3b113f</t>
        </is>
      </c>
      <c r="D74" s="5" t="inlineStr">
        <is>
          <t>01a152b9-6e67-75da-8adb-b03e5d07fd21</t>
        </is>
      </c>
      <c r="E74" s="4" t="n">
        <v>46314.24604276309</v>
      </c>
      <c r="F74" s="4" t="n">
        <v>46314.24604276322</v>
      </c>
      <c r="G74" t="b">
        <v>1</v>
      </c>
      <c r="I74" t="inlineStr">
        <is>
          <t>AUD</t>
        </is>
      </c>
      <c r="J74" t="n">
        <v>-10.6893</v>
      </c>
      <c r="K74" s="5" t="inlineStr">
        <is>
          <t>01a152b9-958f-7703-a5c4-c31e1306711f</t>
        </is>
      </c>
      <c r="L74" s="5" t="inlineStr">
        <is>
          <t>01a152b9-9af9-76ba-84e7-6efb7e411789</t>
        </is>
      </c>
      <c r="M74" s="6" t="n">
        <v>43647</v>
      </c>
    </row>
    <row r="75">
      <c r="A75" s="5" t="inlineStr">
        <is>
          <t>01a152b9-9b75-7741-8187-c6a2f0e989ee</t>
        </is>
      </c>
      <c r="D75" s="5" t="inlineStr">
        <is>
          <t>01a152b9-6e67-75da-8adb-b03e5d07fd21</t>
        </is>
      </c>
      <c r="E75" s="4" t="n">
        <v>46314.24604284815</v>
      </c>
      <c r="F75" s="4" t="n">
        <v>46314.24604284825</v>
      </c>
      <c r="G75" t="b">
        <v>1</v>
      </c>
      <c r="I75" t="inlineStr">
        <is>
          <t>AUD</t>
        </is>
      </c>
      <c r="J75" t="n">
        <v>-13.3616</v>
      </c>
      <c r="K75" s="5" t="inlineStr">
        <is>
          <t>01a152b9-9489-75d9-9632-6da6174dc905</t>
        </is>
      </c>
      <c r="L75" s="5" t="inlineStr">
        <is>
          <t>01a152b9-9af9-76ba-84e7-6efb7e411789</t>
        </is>
      </c>
      <c r="M75" s="6" t="n">
        <v>43647</v>
      </c>
    </row>
    <row r="76">
      <c r="A76" s="5" t="inlineStr">
        <is>
          <t>01a152b9-9b7d-74bb-9371-fcba433d2146</t>
        </is>
      </c>
      <c r="D76" s="5" t="inlineStr">
        <is>
          <t>01a152b9-6e67-75da-8adb-b03e5d07fd21</t>
        </is>
      </c>
      <c r="E76" s="4" t="n">
        <v>46314.24604293115</v>
      </c>
      <c r="F76" s="4" t="n">
        <v>46314.24604293124</v>
      </c>
      <c r="G76" t="b">
        <v>1</v>
      </c>
      <c r="I76" t="inlineStr">
        <is>
          <t>AUD</t>
        </is>
      </c>
      <c r="J76" t="n">
        <v>-13.3616</v>
      </c>
      <c r="K76" s="5" t="inlineStr">
        <is>
          <t>01a152b9-94a7-731e-bcf5-1459d6c541b5</t>
        </is>
      </c>
      <c r="L76" s="5" t="inlineStr">
        <is>
          <t>01a152b9-9af9-76ba-84e7-6efb7e411789</t>
        </is>
      </c>
      <c r="M76" s="6" t="n">
        <v>43647</v>
      </c>
    </row>
    <row r="77">
      <c r="A77" s="5" t="inlineStr">
        <is>
          <t>01a152b9-9b84-74d6-bb34-a8795f09aeed</t>
        </is>
      </c>
      <c r="D77" s="5" t="inlineStr">
        <is>
          <t>01a152b9-6e67-75da-8adb-b03e5d07fd21</t>
        </is>
      </c>
      <c r="E77" s="4" t="n">
        <v>46314.24604301594</v>
      </c>
      <c r="F77" s="4" t="n">
        <v>46314.24604301603</v>
      </c>
      <c r="G77" t="b">
        <v>1</v>
      </c>
      <c r="I77" t="inlineStr">
        <is>
          <t>AUD</t>
        </is>
      </c>
      <c r="J77" t="n">
        <v>-13.3616</v>
      </c>
      <c r="K77" s="5" t="inlineStr">
        <is>
          <t>01a152b9-94c8-7073-9619-9f770f6e7fc2</t>
        </is>
      </c>
      <c r="L77" s="5" t="inlineStr">
        <is>
          <t>01a152b9-9af9-76ba-84e7-6efb7e411789</t>
        </is>
      </c>
      <c r="M77" s="6" t="n">
        <v>43647</v>
      </c>
    </row>
    <row r="78">
      <c r="A78" s="5" t="inlineStr">
        <is>
          <t>01a152b9-9bea-72c8-8ee8-5510359b18a7</t>
        </is>
      </c>
      <c r="D78" s="5" t="inlineStr">
        <is>
          <t>01a152b9-6e67-75da-8adb-b03e5d07fd21</t>
        </is>
      </c>
      <c r="E78" s="4" t="n">
        <v>46314.24604420221</v>
      </c>
      <c r="F78" s="4" t="n">
        <v>46314.2460442023</v>
      </c>
      <c r="G78" t="b">
        <v>1</v>
      </c>
      <c r="I78" t="inlineStr">
        <is>
          <t>AUD</t>
        </is>
      </c>
      <c r="J78" t="n">
        <v>104.6879</v>
      </c>
      <c r="K78" s="5" t="inlineStr">
        <is>
          <t>01a152b9-9310-73e5-9fb3-d0a2d881b358</t>
        </is>
      </c>
      <c r="L78" s="5" t="inlineStr">
        <is>
          <t>01a152b9-9be8-7190-b61c-08b802a1ae71</t>
        </is>
      </c>
      <c r="M78" s="6" t="n">
        <v>44013</v>
      </c>
    </row>
    <row r="79">
      <c r="A79" s="5" t="inlineStr">
        <is>
          <t>01a152b9-9bf3-7468-9b2f-f3783860f8ef</t>
        </is>
      </c>
      <c r="D79" s="5" t="inlineStr">
        <is>
          <t>01a152b9-6e67-75da-8adb-b03e5d07fd21</t>
        </is>
      </c>
      <c r="E79" s="4" t="n">
        <v>46314.246044306</v>
      </c>
      <c r="F79" s="4" t="n">
        <v>46314.24604430617</v>
      </c>
      <c r="G79" t="b">
        <v>1</v>
      </c>
      <c r="I79" t="inlineStr">
        <is>
          <t>AUD</t>
        </is>
      </c>
      <c r="J79" t="n">
        <v>133.2391</v>
      </c>
      <c r="K79" s="5" t="inlineStr">
        <is>
          <t>01a152b9-944e-753e-b691-b12012b84d66</t>
        </is>
      </c>
      <c r="L79" s="5" t="inlineStr">
        <is>
          <t>01a152b9-9be8-7190-b61c-08b802a1ae71</t>
        </is>
      </c>
      <c r="M79" s="6" t="n">
        <v>44013</v>
      </c>
    </row>
    <row r="80">
      <c r="A80" s="5" t="inlineStr">
        <is>
          <t>01a152b9-9bfc-72ee-bfbe-60dbd5d4ed97</t>
        </is>
      </c>
      <c r="D80" s="5" t="inlineStr">
        <is>
          <t>01a152b9-6e67-75da-8adb-b03e5d07fd21</t>
        </is>
      </c>
      <c r="E80" s="4" t="n">
        <v>46314.24604440261</v>
      </c>
      <c r="F80" s="4" t="n">
        <v>46314.24604440269</v>
      </c>
      <c r="G80" t="b">
        <v>1</v>
      </c>
      <c r="I80" t="inlineStr">
        <is>
          <t>AUD</t>
        </is>
      </c>
      <c r="J80" t="n">
        <v>180.8246</v>
      </c>
      <c r="K80" s="5" t="inlineStr">
        <is>
          <t>01a152b9-9330-70a0-a8f8-e4bd1c0a37d1</t>
        </is>
      </c>
      <c r="L80" s="5" t="inlineStr">
        <is>
          <t>01a152b9-9be8-7190-b61c-08b802a1ae71</t>
        </is>
      </c>
      <c r="M80" s="6" t="n">
        <v>44013</v>
      </c>
    </row>
    <row r="81">
      <c r="A81" s="5" t="inlineStr">
        <is>
          <t>01a152b9-9c03-717c-9504-4c52217c099e</t>
        </is>
      </c>
      <c r="D81" s="5" t="inlineStr">
        <is>
          <t>01a152b9-6e67-75da-8adb-b03e5d07fd21</t>
        </is>
      </c>
      <c r="E81" s="4" t="n">
        <v>46314.24604449105</v>
      </c>
      <c r="F81" s="4" t="n">
        <v>46314.24604449116</v>
      </c>
      <c r="G81" t="b">
        <v>1</v>
      </c>
      <c r="I81" t="inlineStr">
        <is>
          <t>AUD</t>
        </is>
      </c>
      <c r="J81" t="n">
        <v>181.6897</v>
      </c>
      <c r="K81" s="5" t="inlineStr">
        <is>
          <t>01a152b9-936b-763f-b2ea-0377d064edc9</t>
        </is>
      </c>
      <c r="L81" s="5" t="inlineStr">
        <is>
          <t>01a152b9-9be8-7190-b61c-08b802a1ae71</t>
        </is>
      </c>
      <c r="M81" s="6" t="n">
        <v>44013</v>
      </c>
    </row>
    <row r="82">
      <c r="A82" s="5" t="inlineStr">
        <is>
          <t>01a152b9-9c0b-7346-80f7-b449c5f2b445</t>
        </is>
      </c>
      <c r="D82" s="5" t="inlineStr">
        <is>
          <t>01a152b9-6e67-75da-8adb-b03e5d07fd21</t>
        </is>
      </c>
      <c r="E82" s="4" t="n">
        <v>46314.24604458224</v>
      </c>
      <c r="F82" s="4" t="n">
        <v>46314.24604458232</v>
      </c>
      <c r="G82" t="b">
        <v>1</v>
      </c>
      <c r="I82" t="inlineStr">
        <is>
          <t>AUD</t>
        </is>
      </c>
      <c r="J82" t="n">
        <v>201.5891</v>
      </c>
      <c r="K82" s="5" t="inlineStr">
        <is>
          <t>01a152b9-93d8-741c-b03f-96b816de68cf</t>
        </is>
      </c>
      <c r="L82" s="5" t="inlineStr">
        <is>
          <t>01a152b9-9be8-7190-b61c-08b802a1ae71</t>
        </is>
      </c>
      <c r="M82" s="6" t="n">
        <v>44013</v>
      </c>
    </row>
    <row r="83">
      <c r="A83" s="5" t="inlineStr">
        <is>
          <t>01a152b9-9c13-7632-a696-9022bee2a14c</t>
        </is>
      </c>
      <c r="D83" s="5" t="inlineStr">
        <is>
          <t>01a152b9-6e67-75da-8adb-b03e5d07fd21</t>
        </is>
      </c>
      <c r="E83" s="4" t="n">
        <v>46314.24604467412</v>
      </c>
      <c r="F83" s="4" t="n">
        <v>46314.24604467421</v>
      </c>
      <c r="G83" t="b">
        <v>1</v>
      </c>
      <c r="I83" t="inlineStr">
        <is>
          <t>AUD</t>
        </is>
      </c>
      <c r="J83" t="n">
        <v>205.915</v>
      </c>
      <c r="K83" s="5" t="inlineStr">
        <is>
          <t>01a152b9-934b-7247-b088-6dad534183ec</t>
        </is>
      </c>
      <c r="L83" s="5" t="inlineStr">
        <is>
          <t>01a152b9-9be8-7190-b61c-08b802a1ae71</t>
        </is>
      </c>
      <c r="M83" s="6" t="n">
        <v>44013</v>
      </c>
    </row>
    <row r="84">
      <c r="A84" s="5" t="inlineStr">
        <is>
          <t>01a152b9-9c1b-70a9-98ba-ee0c8f2af2dc</t>
        </is>
      </c>
      <c r="D84" s="5" t="inlineStr">
        <is>
          <t>01a152b9-6e67-75da-8adb-b03e5d07fd21</t>
        </is>
      </c>
      <c r="E84" s="4" t="n">
        <v>46314.24604476728</v>
      </c>
      <c r="F84" s="4" t="n">
        <v>46314.24604476736</v>
      </c>
      <c r="G84" t="b">
        <v>1</v>
      </c>
      <c r="I84" t="inlineStr">
        <is>
          <t>AUD</t>
        </is>
      </c>
      <c r="J84" t="n">
        <v>222.3536</v>
      </c>
      <c r="K84" s="5" t="inlineStr">
        <is>
          <t>01a152b9-93a0-7020-914d-afff81d3a029</t>
        </is>
      </c>
      <c r="L84" s="5" t="inlineStr">
        <is>
          <t>01a152b9-9be8-7190-b61c-08b802a1ae71</t>
        </is>
      </c>
      <c r="M84" s="6" t="n">
        <v>44013</v>
      </c>
    </row>
    <row r="85">
      <c r="A85" s="5" t="inlineStr">
        <is>
          <t>01a152b9-9c23-7461-9908-7fb9c8d86a3c</t>
        </is>
      </c>
      <c r="D85" s="5" t="inlineStr">
        <is>
          <t>01a152b9-6e67-75da-8adb-b03e5d07fd21</t>
        </is>
      </c>
      <c r="E85" s="4" t="n">
        <v>46314.24604486061</v>
      </c>
      <c r="F85" s="4" t="n">
        <v>46314.24606006249</v>
      </c>
      <c r="G85" t="b">
        <v>0</v>
      </c>
      <c r="I85" t="inlineStr">
        <is>
          <t>AUD</t>
        </is>
      </c>
      <c r="J85" t="n">
        <v>251.7701</v>
      </c>
      <c r="K85" s="5" t="inlineStr">
        <is>
          <t>01a152b9-93ba-7162-b94e-4a96e2f43e27</t>
        </is>
      </c>
      <c r="L85" s="5" t="inlineStr">
        <is>
          <t>01a152b9-9be8-7190-b61c-08b802a1ae71</t>
        </is>
      </c>
      <c r="M85" s="6" t="n">
        <v>44013</v>
      </c>
      <c r="N85" s="6" t="n">
        <v>44747</v>
      </c>
    </row>
    <row r="86">
      <c r="A86" s="5" t="inlineStr">
        <is>
          <t>01a152b9-9c2a-73c9-a832-4624826b5a65</t>
        </is>
      </c>
      <c r="D86" s="5" t="inlineStr">
        <is>
          <t>01a152b9-6e67-75da-8adb-b03e5d07fd21</t>
        </is>
      </c>
      <c r="E86" s="4" t="n">
        <v>46314.24604493983</v>
      </c>
      <c r="F86" s="4" t="n">
        <v>46314.24605174755</v>
      </c>
      <c r="G86" t="b">
        <v>0</v>
      </c>
      <c r="I86" t="inlineStr">
        <is>
          <t>AUD</t>
        </is>
      </c>
      <c r="J86" t="n">
        <v>297.6251</v>
      </c>
      <c r="K86" s="5" t="inlineStr">
        <is>
          <t>01a152b9-9386-7582-9aa2-0771b5a4639a</t>
        </is>
      </c>
      <c r="L86" s="5" t="inlineStr">
        <is>
          <t>01a152b9-9be8-7190-b61c-08b802a1ae71</t>
        </is>
      </c>
      <c r="M86" s="6" t="n">
        <v>44013</v>
      </c>
      <c r="N86" s="6" t="n">
        <v>44742</v>
      </c>
    </row>
    <row r="87">
      <c r="A87" s="5" t="inlineStr">
        <is>
          <t>01a152b9-9c32-7585-8c9c-e5f9c3b0cda9</t>
        </is>
      </c>
      <c r="D87" s="5" t="inlineStr">
        <is>
          <t>01a152b9-6e67-75da-8adb-b03e5d07fd21</t>
        </is>
      </c>
      <c r="E87" s="4" t="n">
        <v>46314.24604503047</v>
      </c>
      <c r="F87" s="4" t="n">
        <v>46314.24604503058</v>
      </c>
      <c r="G87" t="b">
        <v>1</v>
      </c>
      <c r="I87" t="inlineStr">
        <is>
          <t>AUD</t>
        </is>
      </c>
      <c r="J87" t="n">
        <v>346.0758</v>
      </c>
      <c r="K87" s="5" t="inlineStr">
        <is>
          <t>01a152b9-942e-76dc-a2de-ceec571c1474</t>
        </is>
      </c>
      <c r="L87" s="5" t="inlineStr">
        <is>
          <t>01a152b9-9be8-7190-b61c-08b802a1ae71</t>
        </is>
      </c>
      <c r="M87" s="6" t="n">
        <v>44013</v>
      </c>
    </row>
    <row r="88">
      <c r="A88" s="5" t="inlineStr">
        <is>
          <t>01a152b9-9c70-7147-b77b-44541d13f804</t>
        </is>
      </c>
      <c r="D88" s="5" t="inlineStr">
        <is>
          <t>01a152b9-6e67-75da-8adb-b03e5d07fd21</t>
        </is>
      </c>
      <c r="E88" s="4" t="n">
        <v>46314.24604574359</v>
      </c>
      <c r="F88" s="4" t="n">
        <v>46314.24604574369</v>
      </c>
      <c r="G88" t="b">
        <v>1</v>
      </c>
      <c r="I88" t="inlineStr">
        <is>
          <t>AUD</t>
        </is>
      </c>
      <c r="J88" t="n">
        <v>8.019500000000001</v>
      </c>
      <c r="K88" s="5" t="inlineStr">
        <is>
          <t>01a152b9-978f-76b8-9e81-87c8ddd6856a</t>
        </is>
      </c>
      <c r="L88" s="5" t="inlineStr">
        <is>
          <t>01a152b9-9c6c-755a-8f1b-b86efe9edc32</t>
        </is>
      </c>
      <c r="M88" s="6" t="n">
        <v>44013</v>
      </c>
    </row>
    <row r="89">
      <c r="A89" s="5" t="inlineStr">
        <is>
          <t>01a152b9-9c77-70ab-9a64-94a7f250eb3e</t>
        </is>
      </c>
      <c r="D89" s="5" t="inlineStr">
        <is>
          <t>01a152b9-6e67-75da-8adb-b03e5d07fd21</t>
        </is>
      </c>
      <c r="E89" s="4" t="n">
        <v>46314.24604582986</v>
      </c>
      <c r="F89" s="4" t="n">
        <v>46314.24604582997</v>
      </c>
      <c r="G89" t="b">
        <v>1</v>
      </c>
      <c r="I89" t="inlineStr">
        <is>
          <t>AUD</t>
        </is>
      </c>
      <c r="J89" t="n">
        <v>12.1986</v>
      </c>
      <c r="K89" s="5" t="inlineStr">
        <is>
          <t>01a152b9-975c-7693-b7fc-10db74004923</t>
        </is>
      </c>
      <c r="L89" s="5" t="inlineStr">
        <is>
          <t>01a152b9-9c6c-755a-8f1b-b86efe9edc32</t>
        </is>
      </c>
      <c r="M89" s="6" t="n">
        <v>44013</v>
      </c>
    </row>
    <row r="90">
      <c r="A90" s="5" t="inlineStr">
        <is>
          <t>01a152b9-9c7e-73e1-a050-ae65b1a3bb19</t>
        </is>
      </c>
      <c r="D90" s="5" t="inlineStr">
        <is>
          <t>01a152b9-6e67-75da-8adb-b03e5d07fd21</t>
        </is>
      </c>
      <c r="E90" s="4" t="n">
        <v>46314.24604591438</v>
      </c>
      <c r="F90" s="4" t="n">
        <v>46314.24604591448</v>
      </c>
      <c r="G90" t="b">
        <v>1</v>
      </c>
      <c r="I90" t="inlineStr">
        <is>
          <t>AUD</t>
        </is>
      </c>
      <c r="J90" t="n">
        <v>18.5238</v>
      </c>
      <c r="K90" s="5" t="inlineStr">
        <is>
          <t>01a152b9-973f-7476-a1c5-8dd9c2e5ff83</t>
        </is>
      </c>
      <c r="L90" s="5" t="inlineStr">
        <is>
          <t>01a152b9-9c6c-755a-8f1b-b86efe9edc32</t>
        </is>
      </c>
      <c r="M90" s="6" t="n">
        <v>44013</v>
      </c>
    </row>
    <row r="91">
      <c r="A91" s="5" t="inlineStr">
        <is>
          <t>01a152b9-9c85-7247-8f50-7e099d2535ed</t>
        </is>
      </c>
      <c r="D91" s="5" t="inlineStr">
        <is>
          <t>01a152b9-6e67-75da-8adb-b03e5d07fd21</t>
        </is>
      </c>
      <c r="E91" s="4" t="n">
        <v>46314.24604599558</v>
      </c>
      <c r="F91" s="4" t="n">
        <v>46314.24604599571</v>
      </c>
      <c r="G91" t="b">
        <v>1</v>
      </c>
      <c r="I91" t="inlineStr">
        <is>
          <t>AUD</t>
        </is>
      </c>
      <c r="J91" t="n">
        <v>21.2346</v>
      </c>
      <c r="K91" s="5" t="inlineStr">
        <is>
          <t>01a152b9-9776-73a9-82d2-82fb7d3d8ad6</t>
        </is>
      </c>
      <c r="L91" s="5" t="inlineStr">
        <is>
          <t>01a152b9-9c6c-755a-8f1b-b86efe9edc32</t>
        </is>
      </c>
      <c r="M91" s="6" t="n">
        <v>44013</v>
      </c>
    </row>
    <row r="92">
      <c r="A92" s="5" t="inlineStr">
        <is>
          <t>01a152b9-9c8d-7334-a1c8-34a240f72e16</t>
        </is>
      </c>
      <c r="D92" s="5" t="inlineStr">
        <is>
          <t>01a152b9-6e67-75da-8adb-b03e5d07fd21</t>
        </is>
      </c>
      <c r="E92" s="4" t="n">
        <v>46314.24604608539</v>
      </c>
      <c r="F92" s="4" t="n">
        <v>46314.2460460855</v>
      </c>
      <c r="G92" t="b">
        <v>1</v>
      </c>
      <c r="I92" t="inlineStr">
        <is>
          <t>AUD</t>
        </is>
      </c>
      <c r="J92" t="n">
        <v>22.3641</v>
      </c>
      <c r="K92" s="5" t="inlineStr">
        <is>
          <t>01a152b9-9722-7470-9f99-1a35c33b284d</t>
        </is>
      </c>
      <c r="L92" s="5" t="inlineStr">
        <is>
          <t>01a152b9-9c6c-755a-8f1b-b86efe9edc32</t>
        </is>
      </c>
      <c r="M92" s="6" t="n">
        <v>44013</v>
      </c>
    </row>
    <row r="93">
      <c r="A93" s="5" t="inlineStr">
        <is>
          <t>01a152b9-9c96-7453-9f70-022c2b7f01d9</t>
        </is>
      </c>
      <c r="D93" s="5" t="inlineStr">
        <is>
          <t>01a152b9-6e67-75da-8adb-b03e5d07fd21</t>
        </is>
      </c>
      <c r="E93" s="4" t="n">
        <v>46314.246046187</v>
      </c>
      <c r="F93" s="4" t="n">
        <v>46314.24604618713</v>
      </c>
      <c r="G93" t="b">
        <v>1</v>
      </c>
      <c r="I93" t="inlineStr">
        <is>
          <t>AUD</t>
        </is>
      </c>
      <c r="J93" t="n">
        <v>25.5267</v>
      </c>
      <c r="K93" s="5" t="inlineStr">
        <is>
          <t>01a152b9-9705-75c9-9088-a143adf8e95a</t>
        </is>
      </c>
      <c r="L93" s="5" t="inlineStr">
        <is>
          <t>01a152b9-9c6c-755a-8f1b-b86efe9edc32</t>
        </is>
      </c>
      <c r="M93" s="6" t="n">
        <v>44013</v>
      </c>
    </row>
    <row r="94">
      <c r="A94" s="5" t="inlineStr">
        <is>
          <t>01a152b9-9c9e-738d-a7e0-b0c198643589</t>
        </is>
      </c>
      <c r="D94" s="5" t="inlineStr">
        <is>
          <t>01a152b9-6e67-75da-8adb-b03e5d07fd21</t>
        </is>
      </c>
      <c r="E94" s="4" t="n">
        <v>46314.24604627748</v>
      </c>
      <c r="F94" s="4" t="n">
        <v>46314.24604627756</v>
      </c>
      <c r="G94" t="b">
        <v>1</v>
      </c>
      <c r="I94" t="inlineStr">
        <is>
          <t>AUD</t>
        </is>
      </c>
      <c r="J94" t="n">
        <v>28.8023</v>
      </c>
      <c r="K94" s="5" t="inlineStr">
        <is>
          <t>01a152b9-96e6-73de-aad9-0b8f9536b51d</t>
        </is>
      </c>
      <c r="L94" s="5" t="inlineStr">
        <is>
          <t>01a152b9-9c6c-755a-8f1b-b86efe9edc32</t>
        </is>
      </c>
      <c r="M94" s="6" t="n">
        <v>44013</v>
      </c>
    </row>
    <row r="95">
      <c r="A95" s="5" t="inlineStr">
        <is>
          <t>01a152b9-9ca5-7426-b8fa-4a0aba8e5fb3</t>
        </is>
      </c>
      <c r="D95" s="5" t="inlineStr">
        <is>
          <t>01a152b9-6e67-75da-8adb-b03e5d07fd21</t>
        </is>
      </c>
      <c r="E95" s="4" t="n">
        <v>46314.24604636386</v>
      </c>
      <c r="F95" s="4" t="n">
        <v>46314.24604636394</v>
      </c>
      <c r="G95" t="b">
        <v>1</v>
      </c>
      <c r="I95" t="inlineStr">
        <is>
          <t>AUD</t>
        </is>
      </c>
      <c r="J95" t="n">
        <v>41.2268</v>
      </c>
      <c r="K95" s="5" t="inlineStr">
        <is>
          <t>01a152b9-95e1-7395-82be-501ffc413824</t>
        </is>
      </c>
      <c r="L95" s="5" t="inlineStr">
        <is>
          <t>01a152b9-9c6c-755a-8f1b-b86efe9edc32</t>
        </is>
      </c>
      <c r="M95" s="6" t="n">
        <v>44013</v>
      </c>
    </row>
    <row r="96">
      <c r="A96" s="5" t="inlineStr">
        <is>
          <t>01a152b9-9cad-736e-9638-8a9fb0144548</t>
        </is>
      </c>
      <c r="D96" s="5" t="inlineStr">
        <is>
          <t>01a152b9-6e67-75da-8adb-b03e5d07fd21</t>
        </is>
      </c>
      <c r="E96" s="4" t="n">
        <v>46314.24604645381</v>
      </c>
      <c r="F96" s="4" t="n">
        <v>46314.2460464539</v>
      </c>
      <c r="G96" t="b">
        <v>1</v>
      </c>
      <c r="I96" t="inlineStr">
        <is>
          <t>AUD</t>
        </is>
      </c>
      <c r="J96" t="n">
        <v>41.2268</v>
      </c>
      <c r="K96" s="5" t="inlineStr">
        <is>
          <t>01a152b9-968b-7582-a40a-451d61aca7f6</t>
        </is>
      </c>
      <c r="L96" s="5" t="inlineStr">
        <is>
          <t>01a152b9-9c6c-755a-8f1b-b86efe9edc32</t>
        </is>
      </c>
      <c r="M96" s="6" t="n">
        <v>44013</v>
      </c>
    </row>
    <row r="97">
      <c r="A97" s="5" t="inlineStr">
        <is>
          <t>01a152b9-9cb5-711e-93d2-be2e03bd7a1e</t>
        </is>
      </c>
      <c r="D97" s="5" t="inlineStr">
        <is>
          <t>01a152b9-6e67-75da-8adb-b03e5d07fd21</t>
        </is>
      </c>
      <c r="E97" s="4" t="n">
        <v>46314.246046541</v>
      </c>
      <c r="F97" s="4" t="n">
        <v>46314.24604654109</v>
      </c>
      <c r="G97" t="b">
        <v>1</v>
      </c>
      <c r="I97" t="inlineStr">
        <is>
          <t>AUD</t>
        </is>
      </c>
      <c r="J97" t="n">
        <v>65.9629</v>
      </c>
      <c r="K97" s="5" t="inlineStr">
        <is>
          <t>01a152b9-962f-7367-a84a-0c600737cd69</t>
        </is>
      </c>
      <c r="L97" s="5" t="inlineStr">
        <is>
          <t>01a152b9-9c6c-755a-8f1b-b86efe9edc32</t>
        </is>
      </c>
      <c r="M97" s="6" t="n">
        <v>44013</v>
      </c>
    </row>
    <row r="98">
      <c r="A98" s="5" t="inlineStr">
        <is>
          <t>01a152b9-9cbc-7383-8b3e-618c8aa988d4</t>
        </is>
      </c>
      <c r="D98" s="5" t="inlineStr">
        <is>
          <t>01a152b9-6e67-75da-8adb-b03e5d07fd21</t>
        </is>
      </c>
      <c r="E98" s="4" t="n">
        <v>46314.24604662717</v>
      </c>
      <c r="F98" s="4" t="n">
        <v>46314.24604662727</v>
      </c>
      <c r="G98" t="b">
        <v>1</v>
      </c>
      <c r="I98" t="inlineStr">
        <is>
          <t>AUD</t>
        </is>
      </c>
      <c r="J98" t="n">
        <v>67.31829999999999</v>
      </c>
      <c r="K98" s="5" t="inlineStr">
        <is>
          <t>01a152b9-96c7-7247-9b18-b04e067b75ed</t>
        </is>
      </c>
      <c r="L98" s="5" t="inlineStr">
        <is>
          <t>01a152b9-9c6c-755a-8f1b-b86efe9edc32</t>
        </is>
      </c>
      <c r="M98" s="6" t="n">
        <v>44013</v>
      </c>
    </row>
    <row r="99">
      <c r="A99" s="5" t="inlineStr">
        <is>
          <t>01a152b9-9cc3-763e-92a4-7563c425ba9e</t>
        </is>
      </c>
      <c r="D99" s="5" t="inlineStr">
        <is>
          <t>01a152b9-6e67-75da-8adb-b03e5d07fd21</t>
        </is>
      </c>
      <c r="E99" s="4" t="n">
        <v>46314.24604671157</v>
      </c>
      <c r="F99" s="4" t="n">
        <v>46314.24604671168</v>
      </c>
      <c r="G99" t="b">
        <v>1</v>
      </c>
      <c r="I99" t="inlineStr">
        <is>
          <t>AUD</t>
        </is>
      </c>
      <c r="J99" t="n">
        <v>79.0651</v>
      </c>
      <c r="K99" s="5" t="inlineStr">
        <is>
          <t>01a152b9-96a5-755d-8cd5-b9f3af1122f4</t>
        </is>
      </c>
      <c r="L99" s="5" t="inlineStr">
        <is>
          <t>01a152b9-9c6c-755a-8f1b-b86efe9edc32</t>
        </is>
      </c>
      <c r="M99" s="6" t="n">
        <v>44013</v>
      </c>
    </row>
    <row r="100">
      <c r="A100" s="5" t="inlineStr">
        <is>
          <t>01a152b9-9ccb-72af-9dc4-d4581a54ea8e</t>
        </is>
      </c>
      <c r="D100" s="5" t="inlineStr">
        <is>
          <t>01a152b9-6e67-75da-8adb-b03e5d07fd21</t>
        </is>
      </c>
      <c r="E100" s="4" t="n">
        <v>46314.24604680023</v>
      </c>
      <c r="F100" s="4" t="n">
        <v>46314.24604680031</v>
      </c>
      <c r="G100" t="b">
        <v>1</v>
      </c>
      <c r="I100" t="inlineStr">
        <is>
          <t>AUD</t>
        </is>
      </c>
      <c r="J100" t="n">
        <v>82.45359999999999</v>
      </c>
      <c r="K100" s="5" t="inlineStr">
        <is>
          <t>01a152b9-94e5-7643-9595-d903ba15e5b7</t>
        </is>
      </c>
      <c r="L100" s="5" t="inlineStr">
        <is>
          <t>01a152b9-9c6c-755a-8f1b-b86efe9edc32</t>
        </is>
      </c>
      <c r="M100" s="6" t="n">
        <v>44013</v>
      </c>
    </row>
    <row r="101">
      <c r="A101" s="5" t="inlineStr">
        <is>
          <t>01a152b9-9cd3-7304-818e-1a023356dc31</t>
        </is>
      </c>
      <c r="D101" s="5" t="inlineStr">
        <is>
          <t>01a152b9-6e67-75da-8adb-b03e5d07fd21</t>
        </is>
      </c>
      <c r="E101" s="4" t="n">
        <v>46314.24604689457</v>
      </c>
      <c r="F101" s="4" t="n">
        <v>46314.24604689467</v>
      </c>
      <c r="G101" t="b">
        <v>1</v>
      </c>
      <c r="I101" t="inlineStr">
        <is>
          <t>AUD</t>
        </is>
      </c>
      <c r="J101" t="n">
        <v>82.45359999999999</v>
      </c>
      <c r="K101" s="5" t="inlineStr">
        <is>
          <t>01a152b9-95ac-746c-9a8c-b4eb3f58a5a6</t>
        </is>
      </c>
      <c r="L101" s="5" t="inlineStr">
        <is>
          <t>01a152b9-9c6c-755a-8f1b-b86efe9edc32</t>
        </is>
      </c>
      <c r="M101" s="6" t="n">
        <v>44013</v>
      </c>
    </row>
    <row r="102">
      <c r="A102" s="5" t="inlineStr">
        <is>
          <t>01a152b9-9cdc-7458-9d13-56e665f79017</t>
        </is>
      </c>
      <c r="D102" s="5" t="inlineStr">
        <is>
          <t>01a152b9-6e67-75da-8adb-b03e5d07fd21</t>
        </is>
      </c>
      <c r="E102" s="4" t="n">
        <v>46314.24604700006</v>
      </c>
      <c r="F102" s="4" t="n">
        <v>46314.24604700015</v>
      </c>
      <c r="G102" t="b">
        <v>1</v>
      </c>
      <c r="I102" t="inlineStr">
        <is>
          <t>AUD</t>
        </is>
      </c>
      <c r="J102" t="n">
        <v>82.45359999999999</v>
      </c>
      <c r="K102" s="5" t="inlineStr">
        <is>
          <t>01a152b9-95c6-742f-9e96-a37e19627f89</t>
        </is>
      </c>
      <c r="L102" s="5" t="inlineStr">
        <is>
          <t>01a152b9-9c6c-755a-8f1b-b86efe9edc32</t>
        </is>
      </c>
      <c r="M102" s="6" t="n">
        <v>44013</v>
      </c>
    </row>
    <row r="103">
      <c r="A103" s="5" t="inlineStr">
        <is>
          <t>01a152b9-9ce4-7255-b339-bd7fb2927033</t>
        </is>
      </c>
      <c r="D103" s="5" t="inlineStr">
        <is>
          <t>01a152b9-6e67-75da-8adb-b03e5d07fd21</t>
        </is>
      </c>
      <c r="E103" s="4" t="n">
        <v>46314.24604708799</v>
      </c>
      <c r="F103" s="4" t="n">
        <v>46314.24604708809</v>
      </c>
      <c r="G103" t="b">
        <v>1</v>
      </c>
      <c r="I103" t="inlineStr">
        <is>
          <t>AUD</t>
        </is>
      </c>
      <c r="J103" t="n">
        <v>82.45359999999999</v>
      </c>
      <c r="K103" s="5" t="inlineStr">
        <is>
          <t>01a152b9-95fb-7120-b341-b6f29d875206</t>
        </is>
      </c>
      <c r="L103" s="5" t="inlineStr">
        <is>
          <t>01a152b9-9c6c-755a-8f1b-b86efe9edc32</t>
        </is>
      </c>
      <c r="M103" s="6" t="n">
        <v>44013</v>
      </c>
    </row>
    <row r="104">
      <c r="A104" s="5" t="inlineStr">
        <is>
          <t>01a152b9-9ced-730d-87f6-559837093932</t>
        </is>
      </c>
      <c r="D104" s="5" t="inlineStr">
        <is>
          <t>01a152b9-6e67-75da-8adb-b03e5d07fd21</t>
        </is>
      </c>
      <c r="E104" s="4" t="n">
        <v>46314.24604719289</v>
      </c>
      <c r="F104" s="4" t="n">
        <v>46314.24604719302</v>
      </c>
      <c r="G104" t="b">
        <v>1</v>
      </c>
      <c r="I104" t="inlineStr">
        <is>
          <t>AUD</t>
        </is>
      </c>
      <c r="J104" t="n">
        <v>82.45359999999999</v>
      </c>
      <c r="K104" s="5" t="inlineStr">
        <is>
          <t>01a152b9-9615-743d-b72a-abe2116267b7</t>
        </is>
      </c>
      <c r="L104" s="5" t="inlineStr">
        <is>
          <t>01a152b9-9c6c-755a-8f1b-b86efe9edc32</t>
        </is>
      </c>
      <c r="M104" s="6" t="n">
        <v>44013</v>
      </c>
    </row>
    <row r="105">
      <c r="A105" s="5" t="inlineStr">
        <is>
          <t>01a152b9-9cf6-723f-ad40-b46a9487e6f0</t>
        </is>
      </c>
      <c r="D105" s="5" t="inlineStr">
        <is>
          <t>01a152b9-6e67-75da-8adb-b03e5d07fd21</t>
        </is>
      </c>
      <c r="E105" s="4" t="n">
        <v>46314.24604730269</v>
      </c>
      <c r="F105" s="4" t="n">
        <v>46314.24604730277</v>
      </c>
      <c r="G105" t="b">
        <v>1</v>
      </c>
      <c r="I105" t="inlineStr">
        <is>
          <t>AUD</t>
        </is>
      </c>
      <c r="J105" t="n">
        <v>82.45359999999999</v>
      </c>
      <c r="K105" s="5" t="inlineStr">
        <is>
          <t>01a152b9-964c-760f-b649-b5089fe2f69f</t>
        </is>
      </c>
      <c r="L105" s="5" t="inlineStr">
        <is>
          <t>01a152b9-9c6c-755a-8f1b-b86efe9edc32</t>
        </is>
      </c>
      <c r="M105" s="6" t="n">
        <v>44013</v>
      </c>
    </row>
    <row r="106">
      <c r="A106" s="5" t="inlineStr">
        <is>
          <t>01a152b9-9cff-762f-b174-a77b600647ae</t>
        </is>
      </c>
      <c r="D106" s="5" t="inlineStr">
        <is>
          <t>01a152b9-6e67-75da-8adb-b03e5d07fd21</t>
        </is>
      </c>
      <c r="E106" s="4" t="n">
        <v>46314.24604739975</v>
      </c>
      <c r="F106" s="4" t="n">
        <v>46314.24604739985</v>
      </c>
      <c r="G106" t="b">
        <v>1</v>
      </c>
      <c r="I106" t="inlineStr">
        <is>
          <t>AUD</t>
        </is>
      </c>
      <c r="J106" t="n">
        <v>82.45359999999999</v>
      </c>
      <c r="K106" s="5" t="inlineStr">
        <is>
          <t>01a152b9-966d-7399-b21c-89ba0f404c00</t>
        </is>
      </c>
      <c r="L106" s="5" t="inlineStr">
        <is>
          <t>01a152b9-9c6c-755a-8f1b-b86efe9edc32</t>
        </is>
      </c>
      <c r="M106" s="6" t="n">
        <v>44013</v>
      </c>
    </row>
    <row r="107">
      <c r="A107" s="5" t="inlineStr">
        <is>
          <t>01a152b9-9d06-7024-993a-b0e7c46e9c15</t>
        </is>
      </c>
      <c r="D107" s="5" t="inlineStr">
        <is>
          <t>01a152b9-6e67-75da-8adb-b03e5d07fd21</t>
        </is>
      </c>
      <c r="E107" s="4" t="n">
        <v>46314.24604748649</v>
      </c>
      <c r="F107" s="4" t="n">
        <v>46314.24604748659</v>
      </c>
      <c r="G107" t="b">
        <v>1</v>
      </c>
      <c r="I107" t="inlineStr">
        <is>
          <t>AUD</t>
        </is>
      </c>
      <c r="J107" t="n">
        <v>148.4165</v>
      </c>
      <c r="K107" s="5" t="inlineStr">
        <is>
          <t>01a152b9-9574-7264-bf24-1c4e0839a2c8</t>
        </is>
      </c>
      <c r="L107" s="5" t="inlineStr">
        <is>
          <t>01a152b9-9c6c-755a-8f1b-b86efe9edc32</t>
        </is>
      </c>
      <c r="M107" s="6" t="n">
        <v>44013</v>
      </c>
    </row>
    <row r="108">
      <c r="A108" s="5" t="inlineStr">
        <is>
          <t>01a152b9-9d0e-7362-b8d8-6a9cbf69ae0a</t>
        </is>
      </c>
      <c r="D108" s="5" t="inlineStr">
        <is>
          <t>01a152b9-6e67-75da-8adb-b03e5d07fd21</t>
        </is>
      </c>
      <c r="E108" s="4" t="n">
        <v>46314.24604757161</v>
      </c>
      <c r="F108" s="4" t="n">
        <v>46314.2460475717</v>
      </c>
      <c r="G108" t="b">
        <v>1</v>
      </c>
      <c r="I108" t="inlineStr">
        <is>
          <t>AUD</t>
        </is>
      </c>
      <c r="J108" t="n">
        <v>164.9073</v>
      </c>
      <c r="K108" s="5" t="inlineStr">
        <is>
          <t>01a152b9-9500-709e-8410-7a936bd089c9</t>
        </is>
      </c>
      <c r="L108" s="5" t="inlineStr">
        <is>
          <t>01a152b9-9c6c-755a-8f1b-b86efe9edc32</t>
        </is>
      </c>
      <c r="M108" s="6" t="n">
        <v>44013</v>
      </c>
    </row>
    <row r="109">
      <c r="A109" s="5" t="inlineStr">
        <is>
          <t>01a152b9-9d17-77c7-92f3-f29e3099f477</t>
        </is>
      </c>
      <c r="D109" s="5" t="inlineStr">
        <is>
          <t>01a152b9-6e67-75da-8adb-b03e5d07fd21</t>
        </is>
      </c>
      <c r="E109" s="4" t="n">
        <v>46314.24604767633</v>
      </c>
      <c r="F109" s="4" t="n">
        <v>46314.24604767647</v>
      </c>
      <c r="G109" t="b">
        <v>1</v>
      </c>
      <c r="I109" t="inlineStr">
        <is>
          <t>AUD</t>
        </is>
      </c>
      <c r="J109" t="n">
        <v>164.9073</v>
      </c>
      <c r="K109" s="5" t="inlineStr">
        <is>
          <t>01a152b9-951c-75db-abc6-3b68329be7a6</t>
        </is>
      </c>
      <c r="L109" s="5" t="inlineStr">
        <is>
          <t>01a152b9-9c6c-755a-8f1b-b86efe9edc32</t>
        </is>
      </c>
      <c r="M109" s="6" t="n">
        <v>44013</v>
      </c>
    </row>
    <row r="110">
      <c r="A110" s="5" t="inlineStr">
        <is>
          <t>01a152b9-9d20-7442-9138-320ddd8c6557</t>
        </is>
      </c>
      <c r="D110" s="5" t="inlineStr">
        <is>
          <t>01a152b9-6e67-75da-8adb-b03e5d07fd21</t>
        </is>
      </c>
      <c r="E110" s="4" t="n">
        <v>46314.24604778595</v>
      </c>
      <c r="F110" s="4" t="n">
        <v>46314.24604778607</v>
      </c>
      <c r="G110" t="b">
        <v>1</v>
      </c>
      <c r="I110" t="inlineStr">
        <is>
          <t>AUD</t>
        </is>
      </c>
      <c r="J110" t="n">
        <v>164.9073</v>
      </c>
      <c r="K110" s="5" t="inlineStr">
        <is>
          <t>01a152b9-953a-77b8-8f2e-2d4feaabe9bc</t>
        </is>
      </c>
      <c r="L110" s="5" t="inlineStr">
        <is>
          <t>01a152b9-9c6c-755a-8f1b-b86efe9edc32</t>
        </is>
      </c>
      <c r="M110" s="6" t="n">
        <v>44013</v>
      </c>
    </row>
    <row r="111">
      <c r="A111" s="5" t="inlineStr">
        <is>
          <t>01a152b9-9d29-7529-b4b3-78df0726008f</t>
        </is>
      </c>
      <c r="D111" s="5" t="inlineStr">
        <is>
          <t>01a152b9-6e67-75da-8adb-b03e5d07fd21</t>
        </is>
      </c>
      <c r="E111" s="4" t="n">
        <v>46314.24604789443</v>
      </c>
      <c r="F111" s="4" t="n">
        <v>46314.24604789456</v>
      </c>
      <c r="G111" t="b">
        <v>1</v>
      </c>
      <c r="I111" t="inlineStr">
        <is>
          <t>AUD</t>
        </is>
      </c>
      <c r="J111" t="n">
        <v>164.9073</v>
      </c>
      <c r="K111" s="5" t="inlineStr">
        <is>
          <t>01a152b9-9557-73d7-96a4-1c9494e1cc27</t>
        </is>
      </c>
      <c r="L111" s="5" t="inlineStr">
        <is>
          <t>01a152b9-9c6c-755a-8f1b-b86efe9edc32</t>
        </is>
      </c>
      <c r="M111" s="6" t="n">
        <v>44013</v>
      </c>
    </row>
    <row r="112">
      <c r="A112" s="5" t="inlineStr">
        <is>
          <t>01a152b9-9d33-72bc-b66f-825cf8cf3fce</t>
        </is>
      </c>
      <c r="D112" s="5" t="inlineStr">
        <is>
          <t>01a152b9-6e67-75da-8adb-b03e5d07fd21</t>
        </is>
      </c>
      <c r="E112" s="4" t="n">
        <v>46314.24604800604</v>
      </c>
      <c r="F112" s="4" t="n">
        <v>46314.24604800617</v>
      </c>
      <c r="G112" t="b">
        <v>1</v>
      </c>
      <c r="I112" t="inlineStr">
        <is>
          <t>AUD</t>
        </is>
      </c>
      <c r="J112" t="n">
        <v>164.9073</v>
      </c>
      <c r="K112" s="5" t="inlineStr">
        <is>
          <t>01a152b9-958f-7703-a5c4-c31e1306711f</t>
        </is>
      </c>
      <c r="L112" s="5" t="inlineStr">
        <is>
          <t>01a152b9-9c6c-755a-8f1b-b86efe9edc32</t>
        </is>
      </c>
      <c r="M112" s="6" t="n">
        <v>44013</v>
      </c>
    </row>
    <row r="113">
      <c r="A113" s="5" t="inlineStr">
        <is>
          <t>01a152b9-9d3c-7362-aa63-39118aba72bf</t>
        </is>
      </c>
      <c r="D113" s="5" t="inlineStr">
        <is>
          <t>01a152b9-6e67-75da-8adb-b03e5d07fd21</t>
        </is>
      </c>
      <c r="E113" s="4" t="n">
        <v>46314.24604811405</v>
      </c>
      <c r="F113" s="4" t="n">
        <v>46314.24604811415</v>
      </c>
      <c r="G113" t="b">
        <v>1</v>
      </c>
      <c r="I113" t="inlineStr">
        <is>
          <t>AUD</t>
        </is>
      </c>
      <c r="J113" t="n">
        <v>206.1341</v>
      </c>
      <c r="K113" s="5" t="inlineStr">
        <is>
          <t>01a152b9-9489-75d9-9632-6da6174dc905</t>
        </is>
      </c>
      <c r="L113" s="5" t="inlineStr">
        <is>
          <t>01a152b9-9c6c-755a-8f1b-b86efe9edc32</t>
        </is>
      </c>
      <c r="M113" s="6" t="n">
        <v>44013</v>
      </c>
    </row>
    <row r="114">
      <c r="A114" s="5" t="inlineStr">
        <is>
          <t>01a152b9-9d45-72d7-bddd-f74f943a36f6</t>
        </is>
      </c>
      <c r="D114" s="5" t="inlineStr">
        <is>
          <t>01a152b9-6e67-75da-8adb-b03e5d07fd21</t>
        </is>
      </c>
      <c r="E114" s="4" t="n">
        <v>46314.24604821664</v>
      </c>
      <c r="F114" s="4" t="n">
        <v>46314.24604821674</v>
      </c>
      <c r="G114" t="b">
        <v>1</v>
      </c>
      <c r="I114" t="inlineStr">
        <is>
          <t>AUD</t>
        </is>
      </c>
      <c r="J114" t="n">
        <v>206.1341</v>
      </c>
      <c r="K114" s="5" t="inlineStr">
        <is>
          <t>01a152b9-94a7-731e-bcf5-1459d6c541b5</t>
        </is>
      </c>
      <c r="L114" s="5" t="inlineStr">
        <is>
          <t>01a152b9-9c6c-755a-8f1b-b86efe9edc32</t>
        </is>
      </c>
      <c r="M114" s="6" t="n">
        <v>44013</v>
      </c>
    </row>
    <row r="115">
      <c r="A115" s="5" t="inlineStr">
        <is>
          <t>01a152b9-9d4d-77d0-8576-69fa9fc09b54</t>
        </is>
      </c>
      <c r="D115" s="5" t="inlineStr">
        <is>
          <t>01a152b9-6e67-75da-8adb-b03e5d07fd21</t>
        </is>
      </c>
      <c r="E115" s="4" t="n">
        <v>46314.24604830977</v>
      </c>
      <c r="F115" s="4" t="n">
        <v>46314.24604830986</v>
      </c>
      <c r="G115" t="b">
        <v>1</v>
      </c>
      <c r="I115" t="inlineStr">
        <is>
          <t>AUD</t>
        </is>
      </c>
      <c r="J115" t="n">
        <v>206.1341</v>
      </c>
      <c r="K115" s="5" t="inlineStr">
        <is>
          <t>01a152b9-94c8-7073-9619-9f770f6e7fc2</t>
        </is>
      </c>
      <c r="L115" s="5" t="inlineStr">
        <is>
          <t>01a152b9-9c6c-755a-8f1b-b86efe9edc32</t>
        </is>
      </c>
      <c r="M115" s="6" t="n">
        <v>44013</v>
      </c>
    </row>
    <row r="116">
      <c r="A116" s="5" t="inlineStr">
        <is>
          <t>01a152b9-9e4d-7247-a4b0-078dd87fd85e</t>
        </is>
      </c>
      <c r="D116" s="5" t="inlineStr">
        <is>
          <t>01a152b9-6e67-75da-8adb-b03e5d07fd21</t>
        </is>
      </c>
      <c r="E116" s="4" t="n">
        <v>46314.24605127626</v>
      </c>
      <c r="F116" s="4" t="n">
        <v>46314.24605127636</v>
      </c>
      <c r="G116" t="b">
        <v>1</v>
      </c>
      <c r="I116" t="inlineStr">
        <is>
          <t>AUD</t>
        </is>
      </c>
      <c r="J116" t="n">
        <v>53.004</v>
      </c>
      <c r="K116" s="5" t="inlineStr">
        <is>
          <t>01a152b9-9e3b-705d-8c1e-253f5175eee2</t>
        </is>
      </c>
      <c r="L116" s="5" t="inlineStr">
        <is>
          <t>01a152b9-9a76-73ac-9c1a-314efbe7883a</t>
        </is>
      </c>
      <c r="M116" s="6" t="n">
        <v>44742</v>
      </c>
    </row>
    <row r="117">
      <c r="A117" s="5" t="inlineStr">
        <is>
          <t>01a152b9-9e56-7192-a4ab-543bbb8b4947</t>
        </is>
      </c>
      <c r="D117" s="5" t="inlineStr">
        <is>
          <t>01a152b9-6e67-75da-8adb-b03e5d07fd21</t>
        </is>
      </c>
      <c r="E117" s="4" t="n">
        <v>46314.24605136934</v>
      </c>
      <c r="F117" s="4" t="n">
        <v>46314.24605136939</v>
      </c>
      <c r="G117" t="b">
        <v>1</v>
      </c>
      <c r="I117" t="inlineStr">
        <is>
          <t>AUD</t>
        </is>
      </c>
      <c r="J117" t="n">
        <v>227.5096</v>
      </c>
      <c r="K117" s="5" t="inlineStr">
        <is>
          <t>01a152b9-9e42-72a2-9279-21d4ef4be340</t>
        </is>
      </c>
      <c r="L117" s="5" t="inlineStr">
        <is>
          <t>01a152b9-9a76-73ac-9c1a-314efbe7883a</t>
        </is>
      </c>
      <c r="M117" s="6" t="n">
        <v>44742</v>
      </c>
    </row>
    <row r="118">
      <c r="A118" s="5" t="inlineStr">
        <is>
          <t>01a152b9-9e67-76e2-b5f9-82d2f2ab782f</t>
        </is>
      </c>
      <c r="D118" s="5" t="inlineStr">
        <is>
          <t>01a152b9-6e67-75da-8adb-b03e5d07fd21</t>
        </is>
      </c>
      <c r="E118" s="4" t="n">
        <v>46314.24605157308</v>
      </c>
      <c r="F118" s="4" t="n">
        <v>46314.24605157317</v>
      </c>
      <c r="G118" t="b">
        <v>1</v>
      </c>
      <c r="I118" t="inlineStr">
        <is>
          <t>AUD</t>
        </is>
      </c>
      <c r="J118" t="n">
        <v>56.2373</v>
      </c>
      <c r="K118" s="5" t="inlineStr">
        <is>
          <t>01a152b9-9e3b-705d-8c1e-253f5175eee2</t>
        </is>
      </c>
      <c r="L118" s="5" t="inlineStr">
        <is>
          <t>01a152b9-9be8-7190-b61c-08b802a1ae71</t>
        </is>
      </c>
      <c r="M118" s="6" t="n">
        <v>44742</v>
      </c>
    </row>
    <row r="119">
      <c r="A119" s="5" t="inlineStr">
        <is>
          <t>01a152b9-9e6f-77b6-b686-b629381f37fe</t>
        </is>
      </c>
      <c r="D119" s="5" t="inlineStr">
        <is>
          <t>01a152b9-6e67-75da-8adb-b03e5d07fd21</t>
        </is>
      </c>
      <c r="E119" s="4" t="n">
        <v>46314.24605165803</v>
      </c>
      <c r="F119" s="4" t="n">
        <v>46314.24605165809</v>
      </c>
      <c r="G119" t="b">
        <v>1</v>
      </c>
      <c r="I119" t="inlineStr">
        <is>
          <t>AUD</t>
        </is>
      </c>
      <c r="J119" t="n">
        <v>241.3878</v>
      </c>
      <c r="K119" s="5" t="inlineStr">
        <is>
          <t>01a152b9-9e42-72a2-9279-21d4ef4be340</t>
        </is>
      </c>
      <c r="L119" s="5" t="inlineStr">
        <is>
          <t>01a152b9-9be8-7190-b61c-08b802a1ae71</t>
        </is>
      </c>
      <c r="M119" s="6" t="n">
        <v>44742</v>
      </c>
    </row>
    <row r="120">
      <c r="A120" s="5" t="inlineStr">
        <is>
          <t>01a152b9-9ea9-74ec-ab6f-fe940ac3a1df</t>
        </is>
      </c>
      <c r="D120" s="5" t="inlineStr">
        <is>
          <t>01a152b9-6e67-75da-8adb-b03e5d07fd21</t>
        </is>
      </c>
      <c r="E120" s="4" t="n">
        <v>46314.24605233344</v>
      </c>
      <c r="F120" s="4" t="n">
        <v>46314.24605233354</v>
      </c>
      <c r="G120" t="b">
        <v>1</v>
      </c>
      <c r="I120" t="inlineStr">
        <is>
          <t>AUD</t>
        </is>
      </c>
      <c r="J120" t="n">
        <v>-0.8624000000000001</v>
      </c>
      <c r="K120" s="5" t="inlineStr">
        <is>
          <t>01a152b9-9e3b-705d-8c1e-253f5175eee2</t>
        </is>
      </c>
      <c r="L120" s="5" t="inlineStr">
        <is>
          <t>01a152b9-9ea5-74f8-869e-2f153e93267b</t>
        </is>
      </c>
      <c r="M120" s="6" t="n">
        <v>44378</v>
      </c>
    </row>
    <row r="121">
      <c r="A121" s="5" t="inlineStr">
        <is>
          <t>01a152b9-9eb7-71b8-b11f-e73f2ab93424</t>
        </is>
      </c>
      <c r="D121" s="5" t="inlineStr">
        <is>
          <t>01a152b9-6e67-75da-8adb-b03e5d07fd21</t>
        </is>
      </c>
      <c r="E121" s="4" t="n">
        <v>46314.24605249282</v>
      </c>
      <c r="F121" s="4" t="n">
        <v>46314.24605249292</v>
      </c>
      <c r="G121" t="b">
        <v>1</v>
      </c>
      <c r="I121" t="inlineStr">
        <is>
          <t>AUD</t>
        </is>
      </c>
      <c r="J121" t="n">
        <v>-1.6055</v>
      </c>
      <c r="K121" s="5" t="inlineStr">
        <is>
          <t>01a152b9-9310-73e5-9fb3-d0a2d881b358</t>
        </is>
      </c>
      <c r="L121" s="5" t="inlineStr">
        <is>
          <t>01a152b9-9ea5-74f8-869e-2f153e93267b</t>
        </is>
      </c>
      <c r="M121" s="6" t="n">
        <v>44378</v>
      </c>
    </row>
    <row r="122">
      <c r="A122" s="5" t="inlineStr">
        <is>
          <t>01a152b9-9ec5-71b9-8e0e-d001e09b73ca</t>
        </is>
      </c>
      <c r="D122" s="5" t="inlineStr">
        <is>
          <t>01a152b9-6e67-75da-8adb-b03e5d07fd21</t>
        </is>
      </c>
      <c r="E122" s="4" t="n">
        <v>46314.2460526558</v>
      </c>
      <c r="F122" s="4" t="n">
        <v>46314.24605265592</v>
      </c>
      <c r="G122" t="b">
        <v>1</v>
      </c>
      <c r="I122" t="inlineStr">
        <is>
          <t>AUD</t>
        </is>
      </c>
      <c r="J122" t="n">
        <v>-2.0433</v>
      </c>
      <c r="K122" s="5" t="inlineStr">
        <is>
          <t>01a152b9-944e-753e-b691-b12012b84d66</t>
        </is>
      </c>
      <c r="L122" s="5" t="inlineStr">
        <is>
          <t>01a152b9-9ea5-74f8-869e-2f153e93267b</t>
        </is>
      </c>
      <c r="M122" s="6" t="n">
        <v>44378</v>
      </c>
    </row>
    <row r="123">
      <c r="A123" s="5" t="inlineStr">
        <is>
          <t>01a152b9-9ece-7725-a07e-1e1d5ddfeba3</t>
        </is>
      </c>
      <c r="D123" s="5" t="inlineStr">
        <is>
          <t>01a152b9-6e67-75da-8adb-b03e5d07fd21</t>
        </is>
      </c>
      <c r="E123" s="4" t="n">
        <v>46314.24605276286</v>
      </c>
      <c r="F123" s="4" t="n">
        <v>46314.24605276297</v>
      </c>
      <c r="G123" t="b">
        <v>1</v>
      </c>
      <c r="I123" t="inlineStr">
        <is>
          <t>AUD</t>
        </is>
      </c>
      <c r="J123" t="n">
        <v>-2.7731</v>
      </c>
      <c r="K123" s="5" t="inlineStr">
        <is>
          <t>01a152b9-9330-70a0-a8f8-e4bd1c0a37d1</t>
        </is>
      </c>
      <c r="L123" s="5" t="inlineStr">
        <is>
          <t>01a152b9-9ea5-74f8-869e-2f153e93267b</t>
        </is>
      </c>
      <c r="M123" s="6" t="n">
        <v>44378</v>
      </c>
    </row>
    <row r="124">
      <c r="A124" s="5" t="inlineStr">
        <is>
          <t>01a152b9-9ed9-70bc-9502-75c69eeb8608</t>
        </is>
      </c>
      <c r="D124" s="5" t="inlineStr">
        <is>
          <t>01a152b9-6e67-75da-8adb-b03e5d07fd21</t>
        </is>
      </c>
      <c r="E124" s="4" t="n">
        <v>46314.24605289344</v>
      </c>
      <c r="F124" s="4" t="n">
        <v>46314.24605289353</v>
      </c>
      <c r="G124" t="b">
        <v>1</v>
      </c>
      <c r="I124" t="inlineStr">
        <is>
          <t>AUD</t>
        </is>
      </c>
      <c r="J124" t="n">
        <v>-2.7863</v>
      </c>
      <c r="K124" s="5" t="inlineStr">
        <is>
          <t>01a152b9-936b-763f-b2ea-0377d064edc9</t>
        </is>
      </c>
      <c r="L124" s="5" t="inlineStr">
        <is>
          <t>01a152b9-9ea5-74f8-869e-2f153e93267b</t>
        </is>
      </c>
      <c r="M124" s="6" t="n">
        <v>44378</v>
      </c>
    </row>
    <row r="125">
      <c r="A125" s="5" t="inlineStr">
        <is>
          <t>01a152b9-9ee5-7057-8309-e2834261eacd</t>
        </is>
      </c>
      <c r="D125" s="5" t="inlineStr">
        <is>
          <t>01a152b9-6e67-75da-8adb-b03e5d07fd21</t>
        </is>
      </c>
      <c r="E125" s="4" t="n">
        <v>46314.24605302611</v>
      </c>
      <c r="F125" s="4" t="n">
        <v>46314.24605302623</v>
      </c>
      <c r="G125" t="b">
        <v>1</v>
      </c>
      <c r="I125" t="inlineStr">
        <is>
          <t>AUD</t>
        </is>
      </c>
      <c r="J125" t="n">
        <v>-3.0915</v>
      </c>
      <c r="K125" s="5" t="inlineStr">
        <is>
          <t>01a152b9-93d8-741c-b03f-96b816de68cf</t>
        </is>
      </c>
      <c r="L125" s="5" t="inlineStr">
        <is>
          <t>01a152b9-9ea5-74f8-869e-2f153e93267b</t>
        </is>
      </c>
      <c r="M125" s="6" t="n">
        <v>44378</v>
      </c>
    </row>
    <row r="126">
      <c r="A126" s="5" t="inlineStr">
        <is>
          <t>01a152b9-9eed-7219-8895-eadbabef169b</t>
        </is>
      </c>
      <c r="D126" s="5" t="inlineStr">
        <is>
          <t>01a152b9-6e67-75da-8adb-b03e5d07fd21</t>
        </is>
      </c>
      <c r="E126" s="4" t="n">
        <v>46314.24605311549</v>
      </c>
      <c r="F126" s="4" t="n">
        <v>46314.24605311558</v>
      </c>
      <c r="G126" t="b">
        <v>1</v>
      </c>
      <c r="I126" t="inlineStr">
        <is>
          <t>AUD</t>
        </is>
      </c>
      <c r="J126" t="n">
        <v>-3.1578</v>
      </c>
      <c r="K126" s="5" t="inlineStr">
        <is>
          <t>01a152b9-934b-7247-b088-6dad534183ec</t>
        </is>
      </c>
      <c r="L126" s="5" t="inlineStr">
        <is>
          <t>01a152b9-9ea5-74f8-869e-2f153e93267b</t>
        </is>
      </c>
      <c r="M126" s="6" t="n">
        <v>44378</v>
      </c>
    </row>
    <row r="127">
      <c r="A127" s="5" t="inlineStr">
        <is>
          <t>01a152b9-9ef9-7065-bd7d-4fd60c94a483</t>
        </is>
      </c>
      <c r="D127" s="5" t="inlineStr">
        <is>
          <t>01a152b9-6e67-75da-8adb-b03e5d07fd21</t>
        </is>
      </c>
      <c r="E127" s="4" t="n">
        <v>46314.2460532565</v>
      </c>
      <c r="F127" s="4" t="n">
        <v>46314.2460532566</v>
      </c>
      <c r="G127" t="b">
        <v>1</v>
      </c>
      <c r="I127" t="inlineStr">
        <is>
          <t>AUD</t>
        </is>
      </c>
      <c r="J127" t="n">
        <v>-3.4099</v>
      </c>
      <c r="K127" s="5" t="inlineStr">
        <is>
          <t>01a152b9-93a0-7020-914d-afff81d3a029</t>
        </is>
      </c>
      <c r="L127" s="5" t="inlineStr">
        <is>
          <t>01a152b9-9ea5-74f8-869e-2f153e93267b</t>
        </is>
      </c>
      <c r="M127" s="6" t="n">
        <v>44378</v>
      </c>
    </row>
    <row r="128">
      <c r="A128" s="5" t="inlineStr">
        <is>
          <t>01a152b9-9f01-73ae-8300-6960421143d4</t>
        </is>
      </c>
      <c r="D128" s="5" t="inlineStr">
        <is>
          <t>01a152b9-6e67-75da-8adb-b03e5d07fd21</t>
        </is>
      </c>
      <c r="E128" s="4" t="n">
        <v>46314.24605334763</v>
      </c>
      <c r="F128" s="4" t="n">
        <v>46314.24605334772</v>
      </c>
      <c r="G128" t="b">
        <v>1</v>
      </c>
      <c r="I128" t="inlineStr">
        <is>
          <t>AUD</t>
        </is>
      </c>
      <c r="J128" t="n">
        <v>-3.7018</v>
      </c>
      <c r="K128" s="5" t="inlineStr">
        <is>
          <t>01a152b9-9e42-72a2-9279-21d4ef4be340</t>
        </is>
      </c>
      <c r="L128" s="5" t="inlineStr">
        <is>
          <t>01a152b9-9ea5-74f8-869e-2f153e93267b</t>
        </is>
      </c>
      <c r="M128" s="6" t="n">
        <v>44378</v>
      </c>
    </row>
    <row r="129">
      <c r="A129" s="5" t="inlineStr">
        <is>
          <t>01a152b9-9f09-751c-89cc-6d1fa9e7487c</t>
        </is>
      </c>
      <c r="D129" s="5" t="inlineStr">
        <is>
          <t>01a152b9-6e67-75da-8adb-b03e5d07fd21</t>
        </is>
      </c>
      <c r="E129" s="4" t="n">
        <v>46314.24605343898</v>
      </c>
      <c r="F129" s="4" t="n">
        <v>46314.24606039978</v>
      </c>
      <c r="G129" t="b">
        <v>0</v>
      </c>
      <c r="I129" t="inlineStr">
        <is>
          <t>AUD</t>
        </is>
      </c>
      <c r="J129" t="n">
        <v>-3.8611</v>
      </c>
      <c r="K129" s="5" t="inlineStr">
        <is>
          <t>01a152b9-93ba-7162-b94e-4a96e2f43e27</t>
        </is>
      </c>
      <c r="L129" s="5" t="inlineStr">
        <is>
          <t>01a152b9-9ea5-74f8-869e-2f153e93267b</t>
        </is>
      </c>
      <c r="M129" s="6" t="n">
        <v>44378</v>
      </c>
      <c r="N129" s="6" t="n">
        <v>44747</v>
      </c>
    </row>
    <row r="130">
      <c r="A130" s="5" t="inlineStr">
        <is>
          <t>01a152b9-9f10-7314-b3ed-7918a96b3a24</t>
        </is>
      </c>
      <c r="D130" s="5" t="inlineStr">
        <is>
          <t>01a152b9-6e67-75da-8adb-b03e5d07fd21</t>
        </is>
      </c>
      <c r="E130" s="4" t="n">
        <v>46314.24605352165</v>
      </c>
      <c r="F130" s="4" t="n">
        <v>46314.24605352174</v>
      </c>
      <c r="G130" t="b">
        <v>1</v>
      </c>
      <c r="I130" t="inlineStr">
        <is>
          <t>AUD</t>
        </is>
      </c>
      <c r="J130" t="n">
        <v>-5.3073</v>
      </c>
      <c r="K130" s="5" t="inlineStr">
        <is>
          <t>01a152b9-942e-76dc-a2de-ceec571c1474</t>
        </is>
      </c>
      <c r="L130" s="5" t="inlineStr">
        <is>
          <t>01a152b9-9ea5-74f8-869e-2f153e93267b</t>
        </is>
      </c>
      <c r="M130" s="6" t="n">
        <v>44378</v>
      </c>
    </row>
    <row r="131">
      <c r="A131" s="5" t="inlineStr">
        <is>
          <t>01a152b9-9f5a-7172-907a-c6547965dcba</t>
        </is>
      </c>
      <c r="D131" s="5" t="inlineStr">
        <is>
          <t>01a152b9-6e67-75da-8adb-b03e5d07fd21</t>
        </is>
      </c>
      <c r="E131" s="4" t="n">
        <v>46314.24605438013</v>
      </c>
      <c r="F131" s="4" t="n">
        <v>46314.24605438029</v>
      </c>
      <c r="G131" t="b">
        <v>1</v>
      </c>
      <c r="I131" t="inlineStr">
        <is>
          <t>AUD</t>
        </is>
      </c>
      <c r="J131" t="n">
        <v>9.589399999999999</v>
      </c>
      <c r="K131" s="5" t="inlineStr">
        <is>
          <t>01a152b9-95e1-7395-82be-501ffc413824</t>
        </is>
      </c>
      <c r="L131" s="5" t="inlineStr">
        <is>
          <t>01a152b9-9f55-7219-937e-49ee9be44160</t>
        </is>
      </c>
      <c r="M131" s="6" t="n">
        <v>44378</v>
      </c>
    </row>
    <row r="132">
      <c r="A132" s="5" t="inlineStr">
        <is>
          <t>01a152b9-9f63-7391-9836-a3d96ae17e67</t>
        </is>
      </c>
      <c r="D132" s="5" t="inlineStr">
        <is>
          <t>01a152b9-6e67-75da-8adb-b03e5d07fd21</t>
        </is>
      </c>
      <c r="E132" s="4" t="n">
        <v>46314.24605448138</v>
      </c>
      <c r="F132" s="4" t="n">
        <v>46314.2460544815</v>
      </c>
      <c r="G132" t="b">
        <v>1</v>
      </c>
      <c r="I132" t="inlineStr">
        <is>
          <t>AUD</t>
        </is>
      </c>
      <c r="J132" t="n">
        <v>9.589399999999999</v>
      </c>
      <c r="K132" s="5" t="inlineStr">
        <is>
          <t>01a152b9-968b-7582-a40a-451d61aca7f6</t>
        </is>
      </c>
      <c r="L132" s="5" t="inlineStr">
        <is>
          <t>01a152b9-9f55-7219-937e-49ee9be44160</t>
        </is>
      </c>
      <c r="M132" s="6" t="n">
        <v>44378</v>
      </c>
    </row>
    <row r="133">
      <c r="A133" s="5" t="inlineStr">
        <is>
          <t>01a152b9-9f6b-713e-94ce-57f232a4744f</t>
        </is>
      </c>
      <c r="D133" s="5" t="inlineStr">
        <is>
          <t>01a152b9-6e67-75da-8adb-b03e5d07fd21</t>
        </is>
      </c>
      <c r="E133" s="4" t="n">
        <v>46314.24605458344</v>
      </c>
      <c r="F133" s="4" t="n">
        <v>46314.24605458356</v>
      </c>
      <c r="G133" t="b">
        <v>1</v>
      </c>
      <c r="I133" t="inlineStr">
        <is>
          <t>AUD</t>
        </is>
      </c>
      <c r="J133" t="n">
        <v>9.589399999999999</v>
      </c>
      <c r="K133" s="5" t="inlineStr">
        <is>
          <t>01a152b9-96e6-73de-aad9-0b8f9536b51d</t>
        </is>
      </c>
      <c r="L133" s="5" t="inlineStr">
        <is>
          <t>01a152b9-9f55-7219-937e-49ee9be44160</t>
        </is>
      </c>
      <c r="M133" s="6" t="n">
        <v>44378</v>
      </c>
    </row>
    <row r="134">
      <c r="A134" s="5" t="inlineStr">
        <is>
          <t>01a152b9-9f75-70a7-922d-b31f6863a53b</t>
        </is>
      </c>
      <c r="D134" s="5" t="inlineStr">
        <is>
          <t>01a152b9-6e67-75da-8adb-b03e5d07fd21</t>
        </is>
      </c>
      <c r="E134" s="4" t="n">
        <v>46314.24605469382</v>
      </c>
      <c r="F134" s="4" t="n">
        <v>46314.24605469393</v>
      </c>
      <c r="G134" t="b">
        <v>1</v>
      </c>
      <c r="I134" t="inlineStr">
        <is>
          <t>AUD</t>
        </is>
      </c>
      <c r="J134" t="n">
        <v>9.589399999999999</v>
      </c>
      <c r="K134" s="5" t="inlineStr">
        <is>
          <t>01a152b9-9705-75c9-9088-a143adf8e95a</t>
        </is>
      </c>
      <c r="L134" s="5" t="inlineStr">
        <is>
          <t>01a152b9-9f55-7219-937e-49ee9be44160</t>
        </is>
      </c>
      <c r="M134" s="6" t="n">
        <v>44378</v>
      </c>
    </row>
    <row r="135">
      <c r="A135" s="5" t="inlineStr">
        <is>
          <t>01a152b9-9f7d-7530-a110-510e4a3a88d2</t>
        </is>
      </c>
      <c r="D135" s="5" t="inlineStr">
        <is>
          <t>01a152b9-6e67-75da-8adb-b03e5d07fd21</t>
        </is>
      </c>
      <c r="E135" s="4" t="n">
        <v>46314.24605479099</v>
      </c>
      <c r="F135" s="4" t="n">
        <v>46314.24605479109</v>
      </c>
      <c r="G135" t="b">
        <v>1</v>
      </c>
      <c r="I135" t="inlineStr">
        <is>
          <t>AUD</t>
        </is>
      </c>
      <c r="J135" t="n">
        <v>9.589399999999999</v>
      </c>
      <c r="K135" s="5" t="inlineStr">
        <is>
          <t>01a152b9-9722-7470-9f99-1a35c33b284d</t>
        </is>
      </c>
      <c r="L135" s="5" t="inlineStr">
        <is>
          <t>01a152b9-9f55-7219-937e-49ee9be44160</t>
        </is>
      </c>
      <c r="M135" s="6" t="n">
        <v>44378</v>
      </c>
    </row>
    <row r="136">
      <c r="A136" s="5" t="inlineStr">
        <is>
          <t>01a152b9-9f86-775f-99aa-16e80d50c862</t>
        </is>
      </c>
      <c r="D136" s="5" t="inlineStr">
        <is>
          <t>01a152b9-6e67-75da-8adb-b03e5d07fd21</t>
        </is>
      </c>
      <c r="E136" s="4" t="n">
        <v>46314.24605489523</v>
      </c>
      <c r="F136" s="4" t="n">
        <v>46314.24605489532</v>
      </c>
      <c r="G136" t="b">
        <v>1</v>
      </c>
      <c r="I136" t="inlineStr">
        <is>
          <t>AUD</t>
        </is>
      </c>
      <c r="J136" t="n">
        <v>9.589399999999999</v>
      </c>
      <c r="K136" s="5" t="inlineStr">
        <is>
          <t>01a152b9-973f-7476-a1c5-8dd9c2e5ff83</t>
        </is>
      </c>
      <c r="L136" s="5" t="inlineStr">
        <is>
          <t>01a152b9-9f55-7219-937e-49ee9be44160</t>
        </is>
      </c>
      <c r="M136" s="6" t="n">
        <v>44378</v>
      </c>
    </row>
    <row r="137">
      <c r="A137" s="5" t="inlineStr">
        <is>
          <t>01a152b9-9f8e-73d5-8ba1-242dc7e5bbf1</t>
        </is>
      </c>
      <c r="D137" s="5" t="inlineStr">
        <is>
          <t>01a152b9-6e67-75da-8adb-b03e5d07fd21</t>
        </is>
      </c>
      <c r="E137" s="4" t="n">
        <v>46314.2460549808</v>
      </c>
      <c r="F137" s="4" t="n">
        <v>46314.24605498088</v>
      </c>
      <c r="G137" t="b">
        <v>1</v>
      </c>
      <c r="I137" t="inlineStr">
        <is>
          <t>AUD</t>
        </is>
      </c>
      <c r="J137" t="n">
        <v>9.589399999999999</v>
      </c>
      <c r="K137" s="5" t="inlineStr">
        <is>
          <t>01a152b9-975c-7693-b7fc-10db74004923</t>
        </is>
      </c>
      <c r="L137" s="5" t="inlineStr">
        <is>
          <t>01a152b9-9f55-7219-937e-49ee9be44160</t>
        </is>
      </c>
      <c r="M137" s="6" t="n">
        <v>44378</v>
      </c>
    </row>
    <row r="138">
      <c r="A138" s="5" t="inlineStr">
        <is>
          <t>01a152b9-9f96-7738-8b38-d16c87ad474a</t>
        </is>
      </c>
      <c r="D138" s="5" t="inlineStr">
        <is>
          <t>01a152b9-6e67-75da-8adb-b03e5d07fd21</t>
        </is>
      </c>
      <c r="E138" s="4" t="n">
        <v>46314.24605507099</v>
      </c>
      <c r="F138" s="4" t="n">
        <v>46314.24605507107</v>
      </c>
      <c r="G138" t="b">
        <v>1</v>
      </c>
      <c r="I138" t="inlineStr">
        <is>
          <t>AUD</t>
        </is>
      </c>
      <c r="J138" t="n">
        <v>9.589399999999999</v>
      </c>
      <c r="K138" s="5" t="inlineStr">
        <is>
          <t>01a152b9-978f-76b8-9e81-87c8ddd6856a</t>
        </is>
      </c>
      <c r="L138" s="5" t="inlineStr">
        <is>
          <t>01a152b9-9f55-7219-937e-49ee9be44160</t>
        </is>
      </c>
      <c r="M138" s="6" t="n">
        <v>44378</v>
      </c>
    </row>
    <row r="139">
      <c r="A139" s="5" t="inlineStr">
        <is>
          <t>01a152b9-9f9e-77a3-8cf0-d6b39a82f866</t>
        </is>
      </c>
      <c r="D139" s="5" t="inlineStr">
        <is>
          <t>01a152b9-6e67-75da-8adb-b03e5d07fd21</t>
        </is>
      </c>
      <c r="E139" s="4" t="n">
        <v>46314.2460551639</v>
      </c>
      <c r="F139" s="4" t="n">
        <v>46314.246055164</v>
      </c>
      <c r="G139" t="b">
        <v>1</v>
      </c>
      <c r="I139" t="inlineStr">
        <is>
          <t>AUD</t>
        </is>
      </c>
      <c r="J139" t="n">
        <v>15.3431</v>
      </c>
      <c r="K139" s="5" t="inlineStr">
        <is>
          <t>01a152b9-962f-7367-a84a-0c600737cd69</t>
        </is>
      </c>
      <c r="L139" s="5" t="inlineStr">
        <is>
          <t>01a152b9-9f55-7219-937e-49ee9be44160</t>
        </is>
      </c>
      <c r="M139" s="6" t="n">
        <v>44378</v>
      </c>
    </row>
    <row r="140">
      <c r="A140" s="5" t="inlineStr">
        <is>
          <t>01a152b9-9fa5-7197-b0c6-a4a960cb119c</t>
        </is>
      </c>
      <c r="D140" s="5" t="inlineStr">
        <is>
          <t>01a152b9-6e67-75da-8adb-b03e5d07fd21</t>
        </is>
      </c>
      <c r="E140" s="4" t="n">
        <v>46314.24605525113</v>
      </c>
      <c r="F140" s="4" t="n">
        <v>46314.24605525121</v>
      </c>
      <c r="G140" t="b">
        <v>1</v>
      </c>
      <c r="I140" t="inlineStr">
        <is>
          <t>AUD</t>
        </is>
      </c>
      <c r="J140" t="n">
        <v>19.1789</v>
      </c>
      <c r="K140" s="5" t="inlineStr">
        <is>
          <t>01a152b9-94e5-7643-9595-d903ba15e5b7</t>
        </is>
      </c>
      <c r="L140" s="5" t="inlineStr">
        <is>
          <t>01a152b9-9f55-7219-937e-49ee9be44160</t>
        </is>
      </c>
      <c r="M140" s="6" t="n">
        <v>44378</v>
      </c>
    </row>
    <row r="141">
      <c r="A141" s="5" t="inlineStr">
        <is>
          <t>01a152b9-9fad-7517-9a6d-5e4705cb7159</t>
        </is>
      </c>
      <c r="D141" s="5" t="inlineStr">
        <is>
          <t>01a152b9-6e67-75da-8adb-b03e5d07fd21</t>
        </is>
      </c>
      <c r="E141" s="4" t="n">
        <v>46314.24605533712</v>
      </c>
      <c r="F141" s="4" t="n">
        <v>46314.24605533721</v>
      </c>
      <c r="G141" t="b">
        <v>1</v>
      </c>
      <c r="I141" t="inlineStr">
        <is>
          <t>AUD</t>
        </is>
      </c>
      <c r="J141" t="n">
        <v>19.1789</v>
      </c>
      <c r="K141" s="5" t="inlineStr">
        <is>
          <t>01a152b9-95ac-746c-9a8c-b4eb3f58a5a6</t>
        </is>
      </c>
      <c r="L141" s="5" t="inlineStr">
        <is>
          <t>01a152b9-9f55-7219-937e-49ee9be44160</t>
        </is>
      </c>
      <c r="M141" s="6" t="n">
        <v>44378</v>
      </c>
    </row>
    <row r="142">
      <c r="A142" s="5" t="inlineStr">
        <is>
          <t>01a152b9-9fb4-7510-b4e8-2e5896de711a</t>
        </is>
      </c>
      <c r="D142" s="5" t="inlineStr">
        <is>
          <t>01a152b9-6e67-75da-8adb-b03e5d07fd21</t>
        </is>
      </c>
      <c r="E142" s="4" t="n">
        <v>46314.24605542972</v>
      </c>
      <c r="F142" s="4" t="n">
        <v>46314.24605542984</v>
      </c>
      <c r="G142" t="b">
        <v>1</v>
      </c>
      <c r="I142" t="inlineStr">
        <is>
          <t>AUD</t>
        </is>
      </c>
      <c r="J142" t="n">
        <v>19.1789</v>
      </c>
      <c r="K142" s="5" t="inlineStr">
        <is>
          <t>01a152b9-95c6-742f-9e96-a37e19627f89</t>
        </is>
      </c>
      <c r="L142" s="5" t="inlineStr">
        <is>
          <t>01a152b9-9f55-7219-937e-49ee9be44160</t>
        </is>
      </c>
      <c r="M142" s="6" t="n">
        <v>44378</v>
      </c>
    </row>
    <row r="143">
      <c r="A143" s="5" t="inlineStr">
        <is>
          <t>01a152b9-9fbd-7384-ab3c-b4f8076c80a5</t>
        </is>
      </c>
      <c r="D143" s="5" t="inlineStr">
        <is>
          <t>01a152b9-6e67-75da-8adb-b03e5d07fd21</t>
        </is>
      </c>
      <c r="E143" s="4" t="n">
        <v>46314.24605553031</v>
      </c>
      <c r="F143" s="4" t="n">
        <v>46314.24605553043</v>
      </c>
      <c r="G143" t="b">
        <v>1</v>
      </c>
      <c r="I143" t="inlineStr">
        <is>
          <t>AUD</t>
        </is>
      </c>
      <c r="J143" t="n">
        <v>19.1789</v>
      </c>
      <c r="K143" s="5" t="inlineStr">
        <is>
          <t>01a152b9-95fb-7120-b341-b6f29d875206</t>
        </is>
      </c>
      <c r="L143" s="5" t="inlineStr">
        <is>
          <t>01a152b9-9f55-7219-937e-49ee9be44160</t>
        </is>
      </c>
      <c r="M143" s="6" t="n">
        <v>44378</v>
      </c>
    </row>
    <row r="144">
      <c r="A144" s="5" t="inlineStr">
        <is>
          <t>01a152b9-9fc5-735a-a949-1517f5d294af</t>
        </is>
      </c>
      <c r="D144" s="5" t="inlineStr">
        <is>
          <t>01a152b9-6e67-75da-8adb-b03e5d07fd21</t>
        </is>
      </c>
      <c r="E144" s="4" t="n">
        <v>46314.24605561862</v>
      </c>
      <c r="F144" s="4" t="n">
        <v>46314.24605561871</v>
      </c>
      <c r="G144" t="b">
        <v>1</v>
      </c>
      <c r="I144" t="inlineStr">
        <is>
          <t>AUD</t>
        </is>
      </c>
      <c r="J144" t="n">
        <v>19.1789</v>
      </c>
      <c r="K144" s="5" t="inlineStr">
        <is>
          <t>01a152b9-9615-743d-b72a-abe2116267b7</t>
        </is>
      </c>
      <c r="L144" s="5" t="inlineStr">
        <is>
          <t>01a152b9-9f55-7219-937e-49ee9be44160</t>
        </is>
      </c>
      <c r="M144" s="6" t="n">
        <v>44378</v>
      </c>
    </row>
    <row r="145">
      <c r="A145" s="5" t="inlineStr">
        <is>
          <t>01a152b9-9fcd-7777-996a-df84a2c14b4a</t>
        </is>
      </c>
      <c r="D145" s="5" t="inlineStr">
        <is>
          <t>01a152b9-6e67-75da-8adb-b03e5d07fd21</t>
        </is>
      </c>
      <c r="E145" s="4" t="n">
        <v>46314.24605571072</v>
      </c>
      <c r="F145" s="4" t="n">
        <v>46314.24605571081</v>
      </c>
      <c r="G145" t="b">
        <v>1</v>
      </c>
      <c r="I145" t="inlineStr">
        <is>
          <t>AUD</t>
        </is>
      </c>
      <c r="J145" t="n">
        <v>19.1789</v>
      </c>
      <c r="K145" s="5" t="inlineStr">
        <is>
          <t>01a152b9-964c-760f-b649-b5089fe2f69f</t>
        </is>
      </c>
      <c r="L145" s="5" t="inlineStr">
        <is>
          <t>01a152b9-9f55-7219-937e-49ee9be44160</t>
        </is>
      </c>
      <c r="M145" s="6" t="n">
        <v>44378</v>
      </c>
    </row>
    <row r="146">
      <c r="A146" s="5" t="inlineStr">
        <is>
          <t>01a152b9-9fd6-70ee-b078-23815ff5e4a5</t>
        </is>
      </c>
      <c r="D146" s="5" t="inlineStr">
        <is>
          <t>01a152b9-6e67-75da-8adb-b03e5d07fd21</t>
        </is>
      </c>
      <c r="E146" s="4" t="n">
        <v>46314.24605581717</v>
      </c>
      <c r="F146" s="4" t="n">
        <v>46314.24605581731</v>
      </c>
      <c r="G146" t="b">
        <v>1</v>
      </c>
      <c r="I146" t="inlineStr">
        <is>
          <t>AUD</t>
        </is>
      </c>
      <c r="J146" t="n">
        <v>19.1789</v>
      </c>
      <c r="K146" s="5" t="inlineStr">
        <is>
          <t>01a152b9-966d-7399-b21c-89ba0f404c00</t>
        </is>
      </c>
      <c r="L146" s="5" t="inlineStr">
        <is>
          <t>01a152b9-9f55-7219-937e-49ee9be44160</t>
        </is>
      </c>
      <c r="M146" s="6" t="n">
        <v>44378</v>
      </c>
    </row>
    <row r="147">
      <c r="A147" s="5" t="inlineStr">
        <is>
          <t>01a152b9-9fdf-7641-8e58-6ecd5849e965</t>
        </is>
      </c>
      <c r="D147" s="5" t="inlineStr">
        <is>
          <t>01a152b9-6e67-75da-8adb-b03e5d07fd21</t>
        </is>
      </c>
      <c r="E147" s="4" t="n">
        <v>46314.24605592028</v>
      </c>
      <c r="F147" s="4" t="n">
        <v>46314.24605592037</v>
      </c>
      <c r="G147" t="b">
        <v>1</v>
      </c>
      <c r="I147" t="inlineStr">
        <is>
          <t>AUD</t>
        </is>
      </c>
      <c r="J147" t="n">
        <v>19.1789</v>
      </c>
      <c r="K147" s="5" t="inlineStr">
        <is>
          <t>01a152b9-96a5-755d-8cd5-b9f3af1122f4</t>
        </is>
      </c>
      <c r="L147" s="5" t="inlineStr">
        <is>
          <t>01a152b9-9f55-7219-937e-49ee9be44160</t>
        </is>
      </c>
      <c r="M147" s="6" t="n">
        <v>44378</v>
      </c>
    </row>
    <row r="148">
      <c r="A148" s="5" t="inlineStr">
        <is>
          <t>01a152b9-9fe7-70ba-b9ff-62c60c9c9e6b</t>
        </is>
      </c>
      <c r="D148" s="5" t="inlineStr">
        <is>
          <t>01a152b9-6e67-75da-8adb-b03e5d07fd21</t>
        </is>
      </c>
      <c r="E148" s="4" t="n">
        <v>46314.24605601688</v>
      </c>
      <c r="F148" s="4" t="n">
        <v>46314.24605601698</v>
      </c>
      <c r="G148" t="b">
        <v>1</v>
      </c>
      <c r="I148" t="inlineStr">
        <is>
          <t>AUD</t>
        </is>
      </c>
      <c r="J148" t="n">
        <v>19.1789</v>
      </c>
      <c r="K148" s="5" t="inlineStr">
        <is>
          <t>01a152b9-96c7-7247-9b18-b04e067b75ed</t>
        </is>
      </c>
      <c r="L148" s="5" t="inlineStr">
        <is>
          <t>01a152b9-9f55-7219-937e-49ee9be44160</t>
        </is>
      </c>
      <c r="M148" s="6" t="n">
        <v>44378</v>
      </c>
    </row>
    <row r="149">
      <c r="A149" s="5" t="inlineStr">
        <is>
          <t>01a152b9-9fef-75cc-a003-9cfacea75ff6</t>
        </is>
      </c>
      <c r="D149" s="5" t="inlineStr">
        <is>
          <t>01a152b9-6e67-75da-8adb-b03e5d07fd21</t>
        </is>
      </c>
      <c r="E149" s="4" t="n">
        <v>46314.24605610916</v>
      </c>
      <c r="F149" s="4" t="n">
        <v>46314.24605610924</v>
      </c>
      <c r="G149" t="b">
        <v>1</v>
      </c>
      <c r="I149" t="inlineStr">
        <is>
          <t>AUD</t>
        </is>
      </c>
      <c r="J149" t="n">
        <v>19.1789</v>
      </c>
      <c r="K149" s="5" t="inlineStr">
        <is>
          <t>01a152b9-9776-73a9-82d2-82fb7d3d8ad6</t>
        </is>
      </c>
      <c r="L149" s="5" t="inlineStr">
        <is>
          <t>01a152b9-9f55-7219-937e-49ee9be44160</t>
        </is>
      </c>
      <c r="M149" s="6" t="n">
        <v>44378</v>
      </c>
    </row>
    <row r="150">
      <c r="A150" s="5" t="inlineStr">
        <is>
          <t>01a152b9-9ff7-7057-82c3-09c4e2f02e45</t>
        </is>
      </c>
      <c r="D150" s="5" t="inlineStr">
        <is>
          <t>01a152b9-6e67-75da-8adb-b03e5d07fd21</t>
        </is>
      </c>
      <c r="E150" s="4" t="n">
        <v>46314.24605620378</v>
      </c>
      <c r="F150" s="4" t="n">
        <v>46314.2460562039</v>
      </c>
      <c r="G150" t="b">
        <v>1</v>
      </c>
      <c r="I150" t="inlineStr">
        <is>
          <t>AUD</t>
        </is>
      </c>
      <c r="J150" t="n">
        <v>34.522</v>
      </c>
      <c r="K150" s="5" t="inlineStr">
        <is>
          <t>01a152b9-9574-7264-bf24-1c4e0839a2c8</t>
        </is>
      </c>
      <c r="L150" s="5" t="inlineStr">
        <is>
          <t>01a152b9-9f55-7219-937e-49ee9be44160</t>
        </is>
      </c>
      <c r="M150" s="6" t="n">
        <v>44378</v>
      </c>
    </row>
    <row r="151">
      <c r="A151" s="5" t="inlineStr">
        <is>
          <t>01a152b9-a001-73cd-b09c-92e31643a7ad</t>
        </is>
      </c>
      <c r="D151" s="5" t="inlineStr">
        <is>
          <t>01a152b9-6e67-75da-8adb-b03e5d07fd21</t>
        </is>
      </c>
      <c r="E151" s="4" t="n">
        <v>46314.24605631828</v>
      </c>
      <c r="F151" s="4" t="n">
        <v>46314.24605631837</v>
      </c>
      <c r="G151" t="b">
        <v>1</v>
      </c>
      <c r="I151" t="inlineStr">
        <is>
          <t>AUD</t>
        </is>
      </c>
      <c r="J151" t="n">
        <v>38.3578</v>
      </c>
      <c r="K151" s="5" t="inlineStr">
        <is>
          <t>01a152b9-9500-709e-8410-7a936bd089c9</t>
        </is>
      </c>
      <c r="L151" s="5" t="inlineStr">
        <is>
          <t>01a152b9-9f55-7219-937e-49ee9be44160</t>
        </is>
      </c>
      <c r="M151" s="6" t="n">
        <v>44378</v>
      </c>
    </row>
    <row r="152">
      <c r="A152" s="5" t="inlineStr">
        <is>
          <t>01a152b9-a00a-74d3-a4a9-14dc85d7f013</t>
        </is>
      </c>
      <c r="D152" s="5" t="inlineStr">
        <is>
          <t>01a152b9-6e67-75da-8adb-b03e5d07fd21</t>
        </is>
      </c>
      <c r="E152" s="4" t="n">
        <v>46314.24605641786</v>
      </c>
      <c r="F152" s="4" t="n">
        <v>46314.24605641796</v>
      </c>
      <c r="G152" t="b">
        <v>1</v>
      </c>
      <c r="I152" t="inlineStr">
        <is>
          <t>AUD</t>
        </is>
      </c>
      <c r="J152" t="n">
        <v>38.3578</v>
      </c>
      <c r="K152" s="5" t="inlineStr">
        <is>
          <t>01a152b9-951c-75db-abc6-3b68329be7a6</t>
        </is>
      </c>
      <c r="L152" s="5" t="inlineStr">
        <is>
          <t>01a152b9-9f55-7219-937e-49ee9be44160</t>
        </is>
      </c>
      <c r="M152" s="6" t="n">
        <v>44378</v>
      </c>
    </row>
    <row r="153">
      <c r="A153" s="5" t="inlineStr">
        <is>
          <t>01a152b9-a013-716b-8f05-e5f6783cd0be</t>
        </is>
      </c>
      <c r="D153" s="5" t="inlineStr">
        <is>
          <t>01a152b9-6e67-75da-8adb-b03e5d07fd21</t>
        </is>
      </c>
      <c r="E153" s="4" t="n">
        <v>46314.24605652328</v>
      </c>
      <c r="F153" s="4" t="n">
        <v>46314.24605652338</v>
      </c>
      <c r="G153" t="b">
        <v>1</v>
      </c>
      <c r="I153" t="inlineStr">
        <is>
          <t>AUD</t>
        </is>
      </c>
      <c r="J153" t="n">
        <v>38.3578</v>
      </c>
      <c r="K153" s="5" t="inlineStr">
        <is>
          <t>01a152b9-953a-77b8-8f2e-2d4feaabe9bc</t>
        </is>
      </c>
      <c r="L153" s="5" t="inlineStr">
        <is>
          <t>01a152b9-9f55-7219-937e-49ee9be44160</t>
        </is>
      </c>
      <c r="M153" s="6" t="n">
        <v>44378</v>
      </c>
    </row>
    <row r="154">
      <c r="A154" s="5" t="inlineStr">
        <is>
          <t>01a152b9-a01d-77a6-8845-e92fbd06a27b</t>
        </is>
      </c>
      <c r="D154" s="5" t="inlineStr">
        <is>
          <t>01a152b9-6e67-75da-8adb-b03e5d07fd21</t>
        </is>
      </c>
      <c r="E154" s="4" t="n">
        <v>46314.24605664117</v>
      </c>
      <c r="F154" s="4" t="n">
        <v>46314.24605664131</v>
      </c>
      <c r="G154" t="b">
        <v>1</v>
      </c>
      <c r="I154" t="inlineStr">
        <is>
          <t>AUD</t>
        </is>
      </c>
      <c r="J154" t="n">
        <v>38.3578</v>
      </c>
      <c r="K154" s="5" t="inlineStr">
        <is>
          <t>01a152b9-9557-73d7-96a4-1c9494e1cc27</t>
        </is>
      </c>
      <c r="L154" s="5" t="inlineStr">
        <is>
          <t>01a152b9-9f55-7219-937e-49ee9be44160</t>
        </is>
      </c>
      <c r="M154" s="6" t="n">
        <v>44378</v>
      </c>
    </row>
    <row r="155">
      <c r="A155" s="5" t="inlineStr">
        <is>
          <t>01a152b9-a027-7543-b4db-1d764e785192</t>
        </is>
      </c>
      <c r="D155" s="5" t="inlineStr">
        <is>
          <t>01a152b9-6e67-75da-8adb-b03e5d07fd21</t>
        </is>
      </c>
      <c r="E155" s="4" t="n">
        <v>46314.24605675337</v>
      </c>
      <c r="F155" s="4" t="n">
        <v>46314.24605675346</v>
      </c>
      <c r="G155" t="b">
        <v>1</v>
      </c>
      <c r="I155" t="inlineStr">
        <is>
          <t>AUD</t>
        </is>
      </c>
      <c r="J155" t="n">
        <v>38.3578</v>
      </c>
      <c r="K155" s="5" t="inlineStr">
        <is>
          <t>01a152b9-958f-7703-a5c4-c31e1306711f</t>
        </is>
      </c>
      <c r="L155" s="5" t="inlineStr">
        <is>
          <t>01a152b9-9f55-7219-937e-49ee9be44160</t>
        </is>
      </c>
      <c r="M155" s="6" t="n">
        <v>44378</v>
      </c>
    </row>
    <row r="156">
      <c r="A156" s="5" t="inlineStr">
        <is>
          <t>01a152b9-a02f-76b7-a725-f971eec13b49</t>
        </is>
      </c>
      <c r="D156" s="5" t="inlineStr">
        <is>
          <t>01a152b9-6e67-75da-8adb-b03e5d07fd21</t>
        </is>
      </c>
      <c r="E156" s="4" t="n">
        <v>46314.24605685024</v>
      </c>
      <c r="F156" s="4" t="n">
        <v>46314.24605685036</v>
      </c>
      <c r="G156" t="b">
        <v>1</v>
      </c>
      <c r="I156" t="inlineStr">
        <is>
          <t>AUD</t>
        </is>
      </c>
      <c r="J156" t="n">
        <v>47.9472</v>
      </c>
      <c r="K156" s="5" t="inlineStr">
        <is>
          <t>01a152b9-9489-75d9-9632-6da6174dc905</t>
        </is>
      </c>
      <c r="L156" s="5" t="inlineStr">
        <is>
          <t>01a152b9-9f55-7219-937e-49ee9be44160</t>
        </is>
      </c>
      <c r="M156" s="6" t="n">
        <v>44378</v>
      </c>
    </row>
    <row r="157">
      <c r="A157" s="5" t="inlineStr">
        <is>
          <t>01a152b9-a038-7034-8860-15ad95a3f8a0</t>
        </is>
      </c>
      <c r="D157" s="5" t="inlineStr">
        <is>
          <t>01a152b9-6e67-75da-8adb-b03e5d07fd21</t>
        </is>
      </c>
      <c r="E157" s="4" t="n">
        <v>46314.24605694944</v>
      </c>
      <c r="F157" s="4" t="n">
        <v>46314.24605694956</v>
      </c>
      <c r="G157" t="b">
        <v>1</v>
      </c>
      <c r="I157" t="inlineStr">
        <is>
          <t>AUD</t>
        </is>
      </c>
      <c r="J157" t="n">
        <v>47.9472</v>
      </c>
      <c r="K157" s="5" t="inlineStr">
        <is>
          <t>01a152b9-94a7-731e-bcf5-1459d6c541b5</t>
        </is>
      </c>
      <c r="L157" s="5" t="inlineStr">
        <is>
          <t>01a152b9-9f55-7219-937e-49ee9be44160</t>
        </is>
      </c>
      <c r="M157" s="6" t="n">
        <v>44378</v>
      </c>
    </row>
    <row r="158">
      <c r="A158" s="5" t="inlineStr">
        <is>
          <t>01a152b9-a040-7595-ad01-07c2c159769b</t>
        </is>
      </c>
      <c r="D158" s="5" t="inlineStr">
        <is>
          <t>01a152b9-6e67-75da-8adb-b03e5d07fd21</t>
        </is>
      </c>
      <c r="E158" s="4" t="n">
        <v>46314.24605703863</v>
      </c>
      <c r="F158" s="4" t="n">
        <v>46314.24605703873</v>
      </c>
      <c r="G158" t="b">
        <v>1</v>
      </c>
      <c r="I158" t="inlineStr">
        <is>
          <t>AUD</t>
        </is>
      </c>
      <c r="J158" t="n">
        <v>47.9473</v>
      </c>
      <c r="K158" s="5" t="inlineStr">
        <is>
          <t>01a152b9-94c8-7073-9619-9f770f6e7fc2</t>
        </is>
      </c>
      <c r="L158" s="5" t="inlineStr">
        <is>
          <t>01a152b9-9f55-7219-937e-49ee9be44160</t>
        </is>
      </c>
      <c r="M158" s="6" t="n">
        <v>44378</v>
      </c>
    </row>
    <row r="159">
      <c r="A159" s="5" t="inlineStr">
        <is>
          <t>01a152b9-a11a-731c-b1c7-f4649ef4d0f8</t>
        </is>
      </c>
      <c r="D159" s="5" t="inlineStr">
        <is>
          <t>01a152b9-6e67-75da-8adb-b03e5d07fd21</t>
        </is>
      </c>
      <c r="E159" s="4" t="n">
        <v>46314.24605956764</v>
      </c>
      <c r="F159" s="4" t="n">
        <v>46314.2460595677</v>
      </c>
      <c r="G159" t="b">
        <v>1</v>
      </c>
      <c r="I159" t="inlineStr">
        <is>
          <t>AUD</t>
        </is>
      </c>
      <c r="J159" t="n">
        <v>20.8161</v>
      </c>
      <c r="K159" s="5" t="inlineStr">
        <is>
          <t>01a152b9-a109-726b-9c25-da3204f138b9</t>
        </is>
      </c>
      <c r="L159" s="5" t="inlineStr">
        <is>
          <t>01a152b9-9a76-73ac-9c1a-314efbe7883a</t>
        </is>
      </c>
      <c r="M159" s="6" t="n">
        <v>44747</v>
      </c>
    </row>
    <row r="160">
      <c r="A160" s="5" t="inlineStr">
        <is>
          <t>01a152b9-a123-7129-a6b7-404c43af0b17</t>
        </is>
      </c>
      <c r="D160" s="5" t="inlineStr">
        <is>
          <t>01a152b9-6e67-75da-8adb-b03e5d07fd21</t>
        </is>
      </c>
      <c r="E160" s="4" t="n">
        <v>46314.24605967879</v>
      </c>
      <c r="F160" s="4" t="n">
        <v>46314.24605967889</v>
      </c>
      <c r="G160" t="b">
        <v>1</v>
      </c>
      <c r="I160" t="inlineStr">
        <is>
          <t>AUD</t>
        </is>
      </c>
      <c r="J160" t="n">
        <v>56.8441</v>
      </c>
      <c r="K160" s="5" t="inlineStr">
        <is>
          <t>01a152b9-a110-72b2-aa42-12d813cddfe5</t>
        </is>
      </c>
      <c r="L160" s="5" t="inlineStr">
        <is>
          <t>01a152b9-9a76-73ac-9c1a-314efbe7883a</t>
        </is>
      </c>
      <c r="M160" s="6" t="n">
        <v>44747</v>
      </c>
    </row>
    <row r="161">
      <c r="A161" s="5" t="inlineStr">
        <is>
          <t>01a152b9-a135-7587-80af-bde93a6894f9</t>
        </is>
      </c>
      <c r="D161" s="5" t="inlineStr">
        <is>
          <t>01a152b9-6e67-75da-8adb-b03e5d07fd21</t>
        </is>
      </c>
      <c r="E161" s="4" t="n">
        <v>46314.24605987893</v>
      </c>
      <c r="F161" s="4" t="n">
        <v>46314.24605987898</v>
      </c>
      <c r="G161" t="b">
        <v>1</v>
      </c>
      <c r="I161" t="inlineStr">
        <is>
          <t>AUD</t>
        </is>
      </c>
      <c r="J161" t="n">
        <v>67.48480000000001</v>
      </c>
      <c r="K161" s="5" t="inlineStr">
        <is>
          <t>01a152b9-a109-726b-9c25-da3204f138b9</t>
        </is>
      </c>
      <c r="L161" s="5" t="inlineStr">
        <is>
          <t>01a152b9-9be8-7190-b61c-08b802a1ae71</t>
        </is>
      </c>
      <c r="M161" s="6" t="n">
        <v>44747</v>
      </c>
    </row>
    <row r="162">
      <c r="A162" s="5" t="inlineStr">
        <is>
          <t>01a152b9-a13c-747e-8fdc-5b7fcb3fd946</t>
        </is>
      </c>
      <c r="D162" s="5" t="inlineStr">
        <is>
          <t>01a152b9-6e67-75da-8adb-b03e5d07fd21</t>
        </is>
      </c>
      <c r="E162" s="4" t="n">
        <v>46314.24605996179</v>
      </c>
      <c r="F162" s="4" t="n">
        <v>46314.24605996185</v>
      </c>
      <c r="G162" t="b">
        <v>1</v>
      </c>
      <c r="I162" t="inlineStr">
        <is>
          <t>AUD</t>
        </is>
      </c>
      <c r="J162" t="n">
        <v>184.2853</v>
      </c>
      <c r="K162" s="5" t="inlineStr">
        <is>
          <t>01a152b9-a110-72b2-aa42-12d813cddfe5</t>
        </is>
      </c>
      <c r="L162" s="5" t="inlineStr">
        <is>
          <t>01a152b9-9be8-7190-b61c-08b802a1ae71</t>
        </is>
      </c>
      <c r="M162" s="6" t="n">
        <v>44747</v>
      </c>
    </row>
    <row r="163">
      <c r="A163" s="5" t="inlineStr">
        <is>
          <t>01a152b9-a14f-745a-b3ae-925cdf4bfe0a</t>
        </is>
      </c>
      <c r="D163" s="5" t="inlineStr">
        <is>
          <t>01a152b9-6e67-75da-8adb-b03e5d07fd21</t>
        </is>
      </c>
      <c r="E163" s="4" t="n">
        <v>46314.24606018588</v>
      </c>
      <c r="F163" s="4" t="n">
        <v>46314.24606018596</v>
      </c>
      <c r="G163" t="b">
        <v>1</v>
      </c>
      <c r="I163" t="inlineStr">
        <is>
          <t>AUD</t>
        </is>
      </c>
      <c r="J163" t="n">
        <v>-1.0349</v>
      </c>
      <c r="K163" s="5" t="inlineStr">
        <is>
          <t>01a152b9-a109-726b-9c25-da3204f138b9</t>
        </is>
      </c>
      <c r="L163" s="5" t="inlineStr">
        <is>
          <t>01a152b9-9ea5-74f8-869e-2f153e93267b</t>
        </is>
      </c>
      <c r="M163" s="6" t="n">
        <v>44747</v>
      </c>
    </row>
    <row r="164">
      <c r="A164" s="5" t="inlineStr">
        <is>
          <t>01a152b9-a158-7443-aafe-5dd8cee98be2</t>
        </is>
      </c>
      <c r="D164" s="5" t="inlineStr">
        <is>
          <t>01a152b9-6e67-75da-8adb-b03e5d07fd21</t>
        </is>
      </c>
      <c r="E164" s="4" t="n">
        <v>46314.24606028727</v>
      </c>
      <c r="F164" s="4" t="n">
        <v>46314.24606028734</v>
      </c>
      <c r="G164" t="b">
        <v>1</v>
      </c>
      <c r="I164" t="inlineStr">
        <is>
          <t>AUD</t>
        </is>
      </c>
      <c r="J164" t="n">
        <v>-2.8262</v>
      </c>
      <c r="K164" s="5" t="inlineStr">
        <is>
          <t>01a152b9-a110-72b2-aa42-12d813cddfe5</t>
        </is>
      </c>
      <c r="L164" s="5" t="inlineStr">
        <is>
          <t>01a152b9-9ea5-74f8-869e-2f153e93267b</t>
        </is>
      </c>
      <c r="M164" s="6" t="n">
        <v>44747</v>
      </c>
    </row>
    <row r="165">
      <c r="A165" s="5" t="inlineStr">
        <is>
          <t>01a152b9-a1fd-70b2-84e1-46f82fdc12bc</t>
        </is>
      </c>
      <c r="D165" s="5" t="inlineStr">
        <is>
          <t>01a152b9-6e67-75da-8adb-b03e5d07fd21</t>
        </is>
      </c>
      <c r="E165" s="4" t="n">
        <v>46314.24606219295</v>
      </c>
      <c r="F165" s="4" t="n">
        <v>46314.24606219304</v>
      </c>
      <c r="G165" t="b">
        <v>1</v>
      </c>
      <c r="I165" t="inlineStr">
        <is>
          <t>AUD</t>
        </is>
      </c>
      <c r="J165" t="n">
        <v>27.6833</v>
      </c>
      <c r="K165" s="5" t="inlineStr">
        <is>
          <t>01a152b9-95e1-7395-82be-501ffc413824</t>
        </is>
      </c>
      <c r="L165" s="5" t="inlineStr">
        <is>
          <t>01a152b9-a1f9-777d-8f7d-6fece85c9489</t>
        </is>
      </c>
      <c r="M165" s="6" t="n">
        <v>44743</v>
      </c>
    </row>
    <row r="166">
      <c r="A166" s="5" t="inlineStr">
        <is>
          <t>01a152b9-a204-7210-bbc5-35885f0d01f9</t>
        </is>
      </c>
      <c r="D166" s="5" t="inlineStr">
        <is>
          <t>01a152b9-6e67-75da-8adb-b03e5d07fd21</t>
        </is>
      </c>
      <c r="E166" s="4" t="n">
        <v>46314.24606227755</v>
      </c>
      <c r="F166" s="4" t="n">
        <v>46314.24606227764</v>
      </c>
      <c r="G166" t="b">
        <v>1</v>
      </c>
      <c r="I166" t="inlineStr">
        <is>
          <t>AUD</t>
        </is>
      </c>
      <c r="J166" t="n">
        <v>27.6833</v>
      </c>
      <c r="K166" s="5" t="inlineStr">
        <is>
          <t>01a152b9-968b-7582-a40a-451d61aca7f6</t>
        </is>
      </c>
      <c r="L166" s="5" t="inlineStr">
        <is>
          <t>01a152b9-a1f9-777d-8f7d-6fece85c9489</t>
        </is>
      </c>
      <c r="M166" s="6" t="n">
        <v>44743</v>
      </c>
    </row>
    <row r="167">
      <c r="A167" s="5" t="inlineStr">
        <is>
          <t>01a152b9-a20d-7638-b3c4-5039f92e681e</t>
        </is>
      </c>
      <c r="D167" s="5" t="inlineStr">
        <is>
          <t>01a152b9-6e67-75da-8adb-b03e5d07fd21</t>
        </is>
      </c>
      <c r="E167" s="4" t="n">
        <v>46314.2460623803</v>
      </c>
      <c r="F167" s="4" t="n">
        <v>46314.24606238039</v>
      </c>
      <c r="G167" t="b">
        <v>1</v>
      </c>
      <c r="I167" t="inlineStr">
        <is>
          <t>AUD</t>
        </is>
      </c>
      <c r="J167" t="n">
        <v>27.6833</v>
      </c>
      <c r="K167" s="5" t="inlineStr">
        <is>
          <t>01a152b9-96e6-73de-aad9-0b8f9536b51d</t>
        </is>
      </c>
      <c r="L167" s="5" t="inlineStr">
        <is>
          <t>01a152b9-a1f9-777d-8f7d-6fece85c9489</t>
        </is>
      </c>
      <c r="M167" s="6" t="n">
        <v>44743</v>
      </c>
    </row>
    <row r="168">
      <c r="A168" s="5" t="inlineStr">
        <is>
          <t>01a152b9-a214-7366-8af4-90035fd76199</t>
        </is>
      </c>
      <c r="D168" s="5" t="inlineStr">
        <is>
          <t>01a152b9-6e67-75da-8adb-b03e5d07fd21</t>
        </is>
      </c>
      <c r="E168" s="4" t="n">
        <v>46314.24606246456</v>
      </c>
      <c r="F168" s="4" t="n">
        <v>46314.24606246466</v>
      </c>
      <c r="G168" t="b">
        <v>1</v>
      </c>
      <c r="I168" t="inlineStr">
        <is>
          <t>AUD</t>
        </is>
      </c>
      <c r="J168" t="n">
        <v>27.6833</v>
      </c>
      <c r="K168" s="5" t="inlineStr">
        <is>
          <t>01a152b9-9705-75c9-9088-a143adf8e95a</t>
        </is>
      </c>
      <c r="L168" s="5" t="inlineStr">
        <is>
          <t>01a152b9-a1f9-777d-8f7d-6fece85c9489</t>
        </is>
      </c>
      <c r="M168" s="6" t="n">
        <v>44743</v>
      </c>
    </row>
    <row r="169">
      <c r="A169" s="5" t="inlineStr">
        <is>
          <t>01a152b9-a21e-76cf-bd82-439788692619</t>
        </is>
      </c>
      <c r="D169" s="5" t="inlineStr">
        <is>
          <t>01a152b9-6e67-75da-8adb-b03e5d07fd21</t>
        </is>
      </c>
      <c r="E169" s="4" t="n">
        <v>46314.24606257942</v>
      </c>
      <c r="F169" s="4" t="n">
        <v>46314.2460625795</v>
      </c>
      <c r="G169" t="b">
        <v>1</v>
      </c>
      <c r="I169" t="inlineStr">
        <is>
          <t>AUD</t>
        </is>
      </c>
      <c r="J169" t="n">
        <v>27.6833</v>
      </c>
      <c r="K169" s="5" t="inlineStr">
        <is>
          <t>01a152b9-9722-7470-9f99-1a35c33b284d</t>
        </is>
      </c>
      <c r="L169" s="5" t="inlineStr">
        <is>
          <t>01a152b9-a1f9-777d-8f7d-6fece85c9489</t>
        </is>
      </c>
      <c r="M169" s="6" t="n">
        <v>44743</v>
      </c>
    </row>
    <row r="170">
      <c r="A170" s="5" t="inlineStr">
        <is>
          <t>01a152b9-a226-7523-9401-e51d2351772c</t>
        </is>
      </c>
      <c r="D170" s="5" t="inlineStr">
        <is>
          <t>01a152b9-6e67-75da-8adb-b03e5d07fd21</t>
        </is>
      </c>
      <c r="E170" s="4" t="n">
        <v>46314.2460626696</v>
      </c>
      <c r="F170" s="4" t="n">
        <v>46314.24606266968</v>
      </c>
      <c r="G170" t="b">
        <v>1</v>
      </c>
      <c r="I170" t="inlineStr">
        <is>
          <t>AUD</t>
        </is>
      </c>
      <c r="J170" t="n">
        <v>27.6833</v>
      </c>
      <c r="K170" s="5" t="inlineStr">
        <is>
          <t>01a152b9-973f-7476-a1c5-8dd9c2e5ff83</t>
        </is>
      </c>
      <c r="L170" s="5" t="inlineStr">
        <is>
          <t>01a152b9-a1f9-777d-8f7d-6fece85c9489</t>
        </is>
      </c>
      <c r="M170" s="6" t="n">
        <v>44743</v>
      </c>
    </row>
    <row r="171">
      <c r="A171" s="5" t="inlineStr">
        <is>
          <t>01a152b9-a22e-76b6-ac3c-113e140dc12f</t>
        </is>
      </c>
      <c r="D171" s="5" t="inlineStr">
        <is>
          <t>01a152b9-6e67-75da-8adb-b03e5d07fd21</t>
        </is>
      </c>
      <c r="E171" s="4" t="n">
        <v>46314.24606276792</v>
      </c>
      <c r="F171" s="4" t="n">
        <v>46314.24606276802</v>
      </c>
      <c r="G171" t="b">
        <v>1</v>
      </c>
      <c r="I171" t="inlineStr">
        <is>
          <t>AUD</t>
        </is>
      </c>
      <c r="J171" t="n">
        <v>27.6833</v>
      </c>
      <c r="K171" s="5" t="inlineStr">
        <is>
          <t>01a152b9-975c-7693-b7fc-10db74004923</t>
        </is>
      </c>
      <c r="L171" s="5" t="inlineStr">
        <is>
          <t>01a152b9-a1f9-777d-8f7d-6fece85c9489</t>
        </is>
      </c>
      <c r="M171" s="6" t="n">
        <v>44743</v>
      </c>
    </row>
    <row r="172">
      <c r="A172" s="5" t="inlineStr">
        <is>
          <t>01a152b9-a238-7166-94ac-f5ae5122c222</t>
        </is>
      </c>
      <c r="D172" s="5" t="inlineStr">
        <is>
          <t>01a152b9-6e67-75da-8adb-b03e5d07fd21</t>
        </is>
      </c>
      <c r="E172" s="4" t="n">
        <v>46314.24606287955</v>
      </c>
      <c r="F172" s="4" t="n">
        <v>46314.24606287968</v>
      </c>
      <c r="G172" t="b">
        <v>1</v>
      </c>
      <c r="I172" t="inlineStr">
        <is>
          <t>AUD</t>
        </is>
      </c>
      <c r="J172" t="n">
        <v>27.6833</v>
      </c>
      <c r="K172" s="5" t="inlineStr">
        <is>
          <t>01a152b9-978f-76b8-9e81-87c8ddd6856a</t>
        </is>
      </c>
      <c r="L172" s="5" t="inlineStr">
        <is>
          <t>01a152b9-a1f9-777d-8f7d-6fece85c9489</t>
        </is>
      </c>
      <c r="M172" s="6" t="n">
        <v>44743</v>
      </c>
    </row>
    <row r="173">
      <c r="A173" s="5" t="inlineStr">
        <is>
          <t>01a152b9-a241-7273-91f3-348dfbb84175</t>
        </is>
      </c>
      <c r="D173" s="5" t="inlineStr">
        <is>
          <t>01a152b9-6e67-75da-8adb-b03e5d07fd21</t>
        </is>
      </c>
      <c r="E173" s="4" t="n">
        <v>46314.24606298554</v>
      </c>
      <c r="F173" s="4" t="n">
        <v>46314.24606298566</v>
      </c>
      <c r="G173" t="b">
        <v>1</v>
      </c>
      <c r="I173" t="inlineStr">
        <is>
          <t>AUD</t>
        </is>
      </c>
      <c r="J173" t="n">
        <v>44.2933</v>
      </c>
      <c r="K173" s="5" t="inlineStr">
        <is>
          <t>01a152b9-962f-7367-a84a-0c600737cd69</t>
        </is>
      </c>
      <c r="L173" s="5" t="inlineStr">
        <is>
          <t>01a152b9-a1f9-777d-8f7d-6fece85c9489</t>
        </is>
      </c>
      <c r="M173" s="6" t="n">
        <v>44743</v>
      </c>
    </row>
    <row r="174">
      <c r="A174" s="5" t="inlineStr">
        <is>
          <t>01a152b9-a24a-747f-b01d-d9478d88756c</t>
        </is>
      </c>
      <c r="D174" s="5" t="inlineStr">
        <is>
          <t>01a152b9-6e67-75da-8adb-b03e5d07fd21</t>
        </is>
      </c>
      <c r="E174" s="4" t="n">
        <v>46314.24606308805</v>
      </c>
      <c r="F174" s="4" t="n">
        <v>46314.24606308817</v>
      </c>
      <c r="G174" t="b">
        <v>1</v>
      </c>
      <c r="I174" t="inlineStr">
        <is>
          <t>AUD</t>
        </is>
      </c>
      <c r="J174" t="n">
        <v>55.3666</v>
      </c>
      <c r="K174" s="5" t="inlineStr">
        <is>
          <t>01a152b9-94e5-7643-9595-d903ba15e5b7</t>
        </is>
      </c>
      <c r="L174" s="5" t="inlineStr">
        <is>
          <t>01a152b9-a1f9-777d-8f7d-6fece85c9489</t>
        </is>
      </c>
      <c r="M174" s="6" t="n">
        <v>44743</v>
      </c>
    </row>
    <row r="175">
      <c r="A175" s="5" t="inlineStr">
        <is>
          <t>01a152b9-a252-7312-9846-ece1dd2d932c</t>
        </is>
      </c>
      <c r="D175" s="5" t="inlineStr">
        <is>
          <t>01a152b9-6e67-75da-8adb-b03e5d07fd21</t>
        </is>
      </c>
      <c r="E175" s="4" t="n">
        <v>46314.24606317859</v>
      </c>
      <c r="F175" s="4" t="n">
        <v>46314.24606317869</v>
      </c>
      <c r="G175" t="b">
        <v>1</v>
      </c>
      <c r="I175" t="inlineStr">
        <is>
          <t>AUD</t>
        </is>
      </c>
      <c r="J175" t="n">
        <v>55.3666</v>
      </c>
      <c r="K175" s="5" t="inlineStr">
        <is>
          <t>01a152b9-95ac-746c-9a8c-b4eb3f58a5a6</t>
        </is>
      </c>
      <c r="L175" s="5" t="inlineStr">
        <is>
          <t>01a152b9-a1f9-777d-8f7d-6fece85c9489</t>
        </is>
      </c>
      <c r="M175" s="6" t="n">
        <v>44743</v>
      </c>
    </row>
    <row r="176">
      <c r="A176" s="5" t="inlineStr">
        <is>
          <t>01a152b9-a25a-734a-b206-76e86dc0b216</t>
        </is>
      </c>
      <c r="D176" s="5" t="inlineStr">
        <is>
          <t>01a152b9-6e67-75da-8adb-b03e5d07fd21</t>
        </is>
      </c>
      <c r="E176" s="4" t="n">
        <v>46314.2460632666</v>
      </c>
      <c r="F176" s="4" t="n">
        <v>46314.24606326669</v>
      </c>
      <c r="G176" t="b">
        <v>1</v>
      </c>
      <c r="I176" t="inlineStr">
        <is>
          <t>AUD</t>
        </is>
      </c>
      <c r="J176" t="n">
        <v>55.3666</v>
      </c>
      <c r="K176" s="5" t="inlineStr">
        <is>
          <t>01a152b9-95c6-742f-9e96-a37e19627f89</t>
        </is>
      </c>
      <c r="L176" s="5" t="inlineStr">
        <is>
          <t>01a152b9-a1f9-777d-8f7d-6fece85c9489</t>
        </is>
      </c>
      <c r="M176" s="6" t="n">
        <v>44743</v>
      </c>
    </row>
    <row r="177">
      <c r="A177" s="5" t="inlineStr">
        <is>
          <t>01a152b9-a261-7137-be82-186d1fddf943</t>
        </is>
      </c>
      <c r="D177" s="5" t="inlineStr">
        <is>
          <t>01a152b9-6e67-75da-8adb-b03e5d07fd21</t>
        </is>
      </c>
      <c r="E177" s="4" t="n">
        <v>46314.24606335405</v>
      </c>
      <c r="F177" s="4" t="n">
        <v>46314.24606335413</v>
      </c>
      <c r="G177" t="b">
        <v>1</v>
      </c>
      <c r="I177" t="inlineStr">
        <is>
          <t>AUD</t>
        </is>
      </c>
      <c r="J177" t="n">
        <v>55.3666</v>
      </c>
      <c r="K177" s="5" t="inlineStr">
        <is>
          <t>01a152b9-95fb-7120-b341-b6f29d875206</t>
        </is>
      </c>
      <c r="L177" s="5" t="inlineStr">
        <is>
          <t>01a152b9-a1f9-777d-8f7d-6fece85c9489</t>
        </is>
      </c>
      <c r="M177" s="6" t="n">
        <v>44743</v>
      </c>
    </row>
    <row r="178">
      <c r="A178" s="5" t="inlineStr">
        <is>
          <t>01a152b9-a269-7072-b742-665a1ca7335f</t>
        </is>
      </c>
      <c r="D178" s="5" t="inlineStr">
        <is>
          <t>01a152b9-6e67-75da-8adb-b03e5d07fd21</t>
        </is>
      </c>
      <c r="E178" s="4" t="n">
        <v>46314.24606344129</v>
      </c>
      <c r="F178" s="4" t="n">
        <v>46314.24606344138</v>
      </c>
      <c r="G178" t="b">
        <v>1</v>
      </c>
      <c r="I178" t="inlineStr">
        <is>
          <t>AUD</t>
        </is>
      </c>
      <c r="J178" t="n">
        <v>55.3666</v>
      </c>
      <c r="K178" s="5" t="inlineStr">
        <is>
          <t>01a152b9-9615-743d-b72a-abe2116267b7</t>
        </is>
      </c>
      <c r="L178" s="5" t="inlineStr">
        <is>
          <t>01a152b9-a1f9-777d-8f7d-6fece85c9489</t>
        </is>
      </c>
      <c r="M178" s="6" t="n">
        <v>44743</v>
      </c>
    </row>
    <row r="179">
      <c r="A179" s="5" t="inlineStr">
        <is>
          <t>01a152b9-a271-7102-8a72-335684a1f0a6</t>
        </is>
      </c>
      <c r="D179" s="5" t="inlineStr">
        <is>
          <t>01a152b9-6e67-75da-8adb-b03e5d07fd21</t>
        </is>
      </c>
      <c r="E179" s="4" t="n">
        <v>46314.24606354019</v>
      </c>
      <c r="F179" s="4" t="n">
        <v>46314.24606354029</v>
      </c>
      <c r="G179" t="b">
        <v>1</v>
      </c>
      <c r="I179" t="inlineStr">
        <is>
          <t>AUD</t>
        </is>
      </c>
      <c r="J179" t="n">
        <v>55.3666</v>
      </c>
      <c r="K179" s="5" t="inlineStr">
        <is>
          <t>01a152b9-964c-760f-b649-b5089fe2f69f</t>
        </is>
      </c>
      <c r="L179" s="5" t="inlineStr">
        <is>
          <t>01a152b9-a1f9-777d-8f7d-6fece85c9489</t>
        </is>
      </c>
      <c r="M179" s="6" t="n">
        <v>44743</v>
      </c>
    </row>
    <row r="180">
      <c r="A180" s="5" t="inlineStr">
        <is>
          <t>01a152b9-a27a-7452-8f55-5d787c16cecf</t>
        </is>
      </c>
      <c r="D180" s="5" t="inlineStr">
        <is>
          <t>01a152b9-6e67-75da-8adb-b03e5d07fd21</t>
        </is>
      </c>
      <c r="E180" s="4" t="n">
        <v>46314.24606364701</v>
      </c>
      <c r="F180" s="4" t="n">
        <v>46314.24606364712</v>
      </c>
      <c r="G180" t="b">
        <v>1</v>
      </c>
      <c r="I180" t="inlineStr">
        <is>
          <t>AUD</t>
        </is>
      </c>
      <c r="J180" t="n">
        <v>55.3666</v>
      </c>
      <c r="K180" s="5" t="inlineStr">
        <is>
          <t>01a152b9-966d-7399-b21c-89ba0f404c00</t>
        </is>
      </c>
      <c r="L180" s="5" t="inlineStr">
        <is>
          <t>01a152b9-a1f9-777d-8f7d-6fece85c9489</t>
        </is>
      </c>
      <c r="M180" s="6" t="n">
        <v>44743</v>
      </c>
    </row>
    <row r="181">
      <c r="A181" s="5" t="inlineStr">
        <is>
          <t>01a152b9-a283-76f5-b515-bc53b5e05b74</t>
        </is>
      </c>
      <c r="D181" s="5" t="inlineStr">
        <is>
          <t>01a152b9-6e67-75da-8adb-b03e5d07fd21</t>
        </is>
      </c>
      <c r="E181" s="4" t="n">
        <v>46314.24606374509</v>
      </c>
      <c r="F181" s="4" t="n">
        <v>46314.24606374516</v>
      </c>
      <c r="G181" t="b">
        <v>1</v>
      </c>
      <c r="I181" t="inlineStr">
        <is>
          <t>AUD</t>
        </is>
      </c>
      <c r="J181" t="n">
        <v>55.3666</v>
      </c>
      <c r="K181" s="5" t="inlineStr">
        <is>
          <t>01a152b9-96a5-755d-8cd5-b9f3af1122f4</t>
        </is>
      </c>
      <c r="L181" s="5" t="inlineStr">
        <is>
          <t>01a152b9-a1f9-777d-8f7d-6fece85c9489</t>
        </is>
      </c>
      <c r="M181" s="6" t="n">
        <v>44743</v>
      </c>
    </row>
    <row r="182">
      <c r="A182" s="5" t="inlineStr">
        <is>
          <t>01a152b9-a28a-775d-b351-cbeb1efb4ec3</t>
        </is>
      </c>
      <c r="D182" s="5" t="inlineStr">
        <is>
          <t>01a152b9-6e67-75da-8adb-b03e5d07fd21</t>
        </is>
      </c>
      <c r="E182" s="4" t="n">
        <v>46314.24606382701</v>
      </c>
      <c r="F182" s="4" t="n">
        <v>46314.24606382709</v>
      </c>
      <c r="G182" t="b">
        <v>1</v>
      </c>
      <c r="I182" t="inlineStr">
        <is>
          <t>AUD</t>
        </is>
      </c>
      <c r="J182" t="n">
        <v>55.3666</v>
      </c>
      <c r="K182" s="5" t="inlineStr">
        <is>
          <t>01a152b9-96c7-7247-9b18-b04e067b75ed</t>
        </is>
      </c>
      <c r="L182" s="5" t="inlineStr">
        <is>
          <t>01a152b9-a1f9-777d-8f7d-6fece85c9489</t>
        </is>
      </c>
      <c r="M182" s="6" t="n">
        <v>44743</v>
      </c>
    </row>
    <row r="183">
      <c r="A183" s="5" t="inlineStr">
        <is>
          <t>01a152b9-a292-72c6-9b7a-b6aed4632380</t>
        </is>
      </c>
      <c r="D183" s="5" t="inlineStr">
        <is>
          <t>01a152b9-6e67-75da-8adb-b03e5d07fd21</t>
        </is>
      </c>
      <c r="E183" s="4" t="n">
        <v>46314.24606391557</v>
      </c>
      <c r="F183" s="4" t="n">
        <v>46314.24606391566</v>
      </c>
      <c r="G183" t="b">
        <v>1</v>
      </c>
      <c r="I183" t="inlineStr">
        <is>
          <t>AUD</t>
        </is>
      </c>
      <c r="J183" t="n">
        <v>55.3666</v>
      </c>
      <c r="K183" s="5" t="inlineStr">
        <is>
          <t>01a152b9-9776-73a9-82d2-82fb7d3d8ad6</t>
        </is>
      </c>
      <c r="L183" s="5" t="inlineStr">
        <is>
          <t>01a152b9-a1f9-777d-8f7d-6fece85c9489</t>
        </is>
      </c>
      <c r="M183" s="6" t="n">
        <v>44743</v>
      </c>
    </row>
    <row r="184">
      <c r="A184" s="5" t="inlineStr">
        <is>
          <t>01a152b9-a299-7787-9426-ec31a81ba917</t>
        </is>
      </c>
      <c r="D184" s="5" t="inlineStr">
        <is>
          <t>01a152b9-6e67-75da-8adb-b03e5d07fd21</t>
        </is>
      </c>
      <c r="E184" s="4" t="n">
        <v>46314.24606399706</v>
      </c>
      <c r="F184" s="4" t="n">
        <v>46314.24606399714</v>
      </c>
      <c r="G184" t="b">
        <v>1</v>
      </c>
      <c r="I184" t="inlineStr">
        <is>
          <t>AUD</t>
        </is>
      </c>
      <c r="J184" t="n">
        <v>99.6598</v>
      </c>
      <c r="K184" s="5" t="inlineStr">
        <is>
          <t>01a152b9-9574-7264-bf24-1c4e0839a2c8</t>
        </is>
      </c>
      <c r="L184" s="5" t="inlineStr">
        <is>
          <t>01a152b9-a1f9-777d-8f7d-6fece85c9489</t>
        </is>
      </c>
      <c r="M184" s="6" t="n">
        <v>44743</v>
      </c>
    </row>
    <row r="185">
      <c r="A185" s="5" t="inlineStr">
        <is>
          <t>01a152b9-a2a0-7541-a75e-095323453691</t>
        </is>
      </c>
      <c r="D185" s="5" t="inlineStr">
        <is>
          <t>01a152b9-6e67-75da-8adb-b03e5d07fd21</t>
        </is>
      </c>
      <c r="E185" s="4" t="n">
        <v>46314.2460640824</v>
      </c>
      <c r="F185" s="4" t="n">
        <v>46314.24606408249</v>
      </c>
      <c r="G185" t="b">
        <v>1</v>
      </c>
      <c r="I185" t="inlineStr">
        <is>
          <t>AUD</t>
        </is>
      </c>
      <c r="J185" t="n">
        <v>110.7331</v>
      </c>
      <c r="K185" s="5" t="inlineStr">
        <is>
          <t>01a152b9-9500-709e-8410-7a936bd089c9</t>
        </is>
      </c>
      <c r="L185" s="5" t="inlineStr">
        <is>
          <t>01a152b9-a1f9-777d-8f7d-6fece85c9489</t>
        </is>
      </c>
      <c r="M185" s="6" t="n">
        <v>44743</v>
      </c>
    </row>
    <row r="186">
      <c r="A186" s="5" t="inlineStr">
        <is>
          <t>01a152b9-a2a8-75b9-8f1b-ea5f8751cc78</t>
        </is>
      </c>
      <c r="D186" s="5" t="inlineStr">
        <is>
          <t>01a152b9-6e67-75da-8adb-b03e5d07fd21</t>
        </is>
      </c>
      <c r="E186" s="4" t="n">
        <v>46314.24606416871</v>
      </c>
      <c r="F186" s="4" t="n">
        <v>46314.24606416882</v>
      </c>
      <c r="G186" t="b">
        <v>1</v>
      </c>
      <c r="I186" t="inlineStr">
        <is>
          <t>AUD</t>
        </is>
      </c>
      <c r="J186" t="n">
        <v>110.7331</v>
      </c>
      <c r="K186" s="5" t="inlineStr">
        <is>
          <t>01a152b9-951c-75db-abc6-3b68329be7a6</t>
        </is>
      </c>
      <c r="L186" s="5" t="inlineStr">
        <is>
          <t>01a152b9-a1f9-777d-8f7d-6fece85c9489</t>
        </is>
      </c>
      <c r="M186" s="6" t="n">
        <v>44743</v>
      </c>
    </row>
    <row r="187">
      <c r="A187" s="5" t="inlineStr">
        <is>
          <t>01a152b9-a2af-768d-8dcd-6bb923644cae</t>
        </is>
      </c>
      <c r="D187" s="5" t="inlineStr">
        <is>
          <t>01a152b9-6e67-75da-8adb-b03e5d07fd21</t>
        </is>
      </c>
      <c r="E187" s="4" t="n">
        <v>46314.24606425823</v>
      </c>
      <c r="F187" s="4" t="n">
        <v>46314.24606425833</v>
      </c>
      <c r="G187" t="b">
        <v>1</v>
      </c>
      <c r="I187" t="inlineStr">
        <is>
          <t>AUD</t>
        </is>
      </c>
      <c r="J187" t="n">
        <v>110.7331</v>
      </c>
      <c r="K187" s="5" t="inlineStr">
        <is>
          <t>01a152b9-953a-77b8-8f2e-2d4feaabe9bc</t>
        </is>
      </c>
      <c r="L187" s="5" t="inlineStr">
        <is>
          <t>01a152b9-a1f9-777d-8f7d-6fece85c9489</t>
        </is>
      </c>
      <c r="M187" s="6" t="n">
        <v>44743</v>
      </c>
    </row>
    <row r="188">
      <c r="A188" s="5" t="inlineStr">
        <is>
          <t>01a152b9-a2b7-77a6-bd0b-f635f7a4b895</t>
        </is>
      </c>
      <c r="D188" s="5" t="inlineStr">
        <is>
          <t>01a152b9-6e67-75da-8adb-b03e5d07fd21</t>
        </is>
      </c>
      <c r="E188" s="4" t="n">
        <v>46314.24606434779</v>
      </c>
      <c r="F188" s="4" t="n">
        <v>46314.24606434788</v>
      </c>
      <c r="G188" t="b">
        <v>1</v>
      </c>
      <c r="I188" t="inlineStr">
        <is>
          <t>AUD</t>
        </is>
      </c>
      <c r="J188" t="n">
        <v>110.7331</v>
      </c>
      <c r="K188" s="5" t="inlineStr">
        <is>
          <t>01a152b9-9557-73d7-96a4-1c9494e1cc27</t>
        </is>
      </c>
      <c r="L188" s="5" t="inlineStr">
        <is>
          <t>01a152b9-a1f9-777d-8f7d-6fece85c9489</t>
        </is>
      </c>
      <c r="M188" s="6" t="n">
        <v>44743</v>
      </c>
    </row>
    <row r="189">
      <c r="A189" s="5" t="inlineStr">
        <is>
          <t>01a152b9-a2bf-77d2-9f17-762a5073782a</t>
        </is>
      </c>
      <c r="D189" s="5" t="inlineStr">
        <is>
          <t>01a152b9-6e67-75da-8adb-b03e5d07fd21</t>
        </is>
      </c>
      <c r="E189" s="4" t="n">
        <v>46314.2460644358</v>
      </c>
      <c r="F189" s="4" t="n">
        <v>46314.24606443588</v>
      </c>
      <c r="G189" t="b">
        <v>1</v>
      </c>
      <c r="I189" t="inlineStr">
        <is>
          <t>AUD</t>
        </is>
      </c>
      <c r="J189" t="n">
        <v>110.7331</v>
      </c>
      <c r="K189" s="5" t="inlineStr">
        <is>
          <t>01a152b9-958f-7703-a5c4-c31e1306711f</t>
        </is>
      </c>
      <c r="L189" s="5" t="inlineStr">
        <is>
          <t>01a152b9-a1f9-777d-8f7d-6fece85c9489</t>
        </is>
      </c>
      <c r="M189" s="6" t="n">
        <v>44743</v>
      </c>
    </row>
    <row r="190">
      <c r="A190" s="5" t="inlineStr">
        <is>
          <t>01a152b9-a2c6-74cf-983a-efab258568d8</t>
        </is>
      </c>
      <c r="D190" s="5" t="inlineStr">
        <is>
          <t>01a152b9-6e67-75da-8adb-b03e5d07fd21</t>
        </is>
      </c>
      <c r="E190" s="4" t="n">
        <v>46314.24606451836</v>
      </c>
      <c r="F190" s="4" t="n">
        <v>46314.24606451844</v>
      </c>
      <c r="G190" t="b">
        <v>1</v>
      </c>
      <c r="I190" t="inlineStr">
        <is>
          <t>AUD</t>
        </is>
      </c>
      <c r="J190" t="n">
        <v>138.4164</v>
      </c>
      <c r="K190" s="5" t="inlineStr">
        <is>
          <t>01a152b9-9489-75d9-9632-6da6174dc905</t>
        </is>
      </c>
      <c r="L190" s="5" t="inlineStr">
        <is>
          <t>01a152b9-a1f9-777d-8f7d-6fece85c9489</t>
        </is>
      </c>
      <c r="M190" s="6" t="n">
        <v>44743</v>
      </c>
    </row>
    <row r="191">
      <c r="A191" s="5" t="inlineStr">
        <is>
          <t>01a152b9-a2cd-71ae-bacb-fcbf38c302d7</t>
        </is>
      </c>
      <c r="D191" s="5" t="inlineStr">
        <is>
          <t>01a152b9-6e67-75da-8adb-b03e5d07fd21</t>
        </is>
      </c>
      <c r="E191" s="4" t="n">
        <v>46314.24606460481</v>
      </c>
      <c r="F191" s="4" t="n">
        <v>46314.24606460489</v>
      </c>
      <c r="G191" t="b">
        <v>1</v>
      </c>
      <c r="I191" t="inlineStr">
        <is>
          <t>AUD</t>
        </is>
      </c>
      <c r="J191" t="n">
        <v>138.4164</v>
      </c>
      <c r="K191" s="5" t="inlineStr">
        <is>
          <t>01a152b9-94a7-731e-bcf5-1459d6c541b5</t>
        </is>
      </c>
      <c r="L191" s="5" t="inlineStr">
        <is>
          <t>01a152b9-a1f9-777d-8f7d-6fece85c9489</t>
        </is>
      </c>
      <c r="M191" s="6" t="n">
        <v>44743</v>
      </c>
    </row>
    <row r="192">
      <c r="A192" s="5" t="inlineStr">
        <is>
          <t>01a152b9-a2d5-754e-bf77-21004abdaf95</t>
        </is>
      </c>
      <c r="D192" s="5" t="inlineStr">
        <is>
          <t>01a152b9-6e67-75da-8adb-b03e5d07fd21</t>
        </is>
      </c>
      <c r="E192" s="4" t="n">
        <v>46314.24606469014</v>
      </c>
      <c r="F192" s="4" t="n">
        <v>46314.24606469021</v>
      </c>
      <c r="G192" t="b">
        <v>1</v>
      </c>
      <c r="I192" t="inlineStr">
        <is>
          <t>AUD</t>
        </is>
      </c>
      <c r="J192" t="n">
        <v>138.4162</v>
      </c>
      <c r="K192" s="5" t="inlineStr">
        <is>
          <t>01a152b9-94c8-7073-9619-9f770f6e7fc2</t>
        </is>
      </c>
      <c r="L192" s="5" t="inlineStr">
        <is>
          <t>01a152b9-a1f9-777d-8f7d-6fece85c9489</t>
        </is>
      </c>
      <c r="M192" s="6" t="n">
        <v>44743</v>
      </c>
    </row>
    <row r="193">
      <c r="A193" s="5" t="inlineStr">
        <is>
          <t>01a152b9-a37c-7161-bb77-ae55a4cc282b</t>
        </is>
      </c>
      <c r="D193" s="5" t="inlineStr">
        <is>
          <t>01a152b9-6e67-75da-8adb-b03e5d07fd21</t>
        </is>
      </c>
      <c r="E193" s="4" t="n">
        <v>46314.24606662844</v>
      </c>
      <c r="F193" s="4" t="n">
        <v>46314.24606662853</v>
      </c>
      <c r="G193" t="b">
        <v>1</v>
      </c>
      <c r="I193" t="inlineStr">
        <is>
          <t>AUD</t>
        </is>
      </c>
      <c r="J193" t="n">
        <v>28.5938</v>
      </c>
      <c r="K193" s="5" t="inlineStr">
        <is>
          <t>01a152b9-95e1-7395-82be-501ffc413824</t>
        </is>
      </c>
      <c r="L193" s="5" t="inlineStr">
        <is>
          <t>01a152b9-a378-71ad-9e63-bf781dccc053</t>
        </is>
      </c>
      <c r="M193" s="6" t="n">
        <v>45108</v>
      </c>
    </row>
    <row r="194">
      <c r="A194" s="5" t="inlineStr">
        <is>
          <t>01a152b9-a384-7631-9fe0-ecf90fbf7b72</t>
        </is>
      </c>
      <c r="D194" s="5" t="inlineStr">
        <is>
          <t>01a152b9-6e67-75da-8adb-b03e5d07fd21</t>
        </is>
      </c>
      <c r="E194" s="4" t="n">
        <v>46314.24606671798</v>
      </c>
      <c r="F194" s="4" t="n">
        <v>46314.24606671806</v>
      </c>
      <c r="G194" t="b">
        <v>1</v>
      </c>
      <c r="I194" t="inlineStr">
        <is>
          <t>AUD</t>
        </is>
      </c>
      <c r="J194" t="n">
        <v>28.5938</v>
      </c>
      <c r="K194" s="5" t="inlineStr">
        <is>
          <t>01a152b9-968b-7582-a40a-451d61aca7f6</t>
        </is>
      </c>
      <c r="L194" s="5" t="inlineStr">
        <is>
          <t>01a152b9-a378-71ad-9e63-bf781dccc053</t>
        </is>
      </c>
      <c r="M194" s="6" t="n">
        <v>45108</v>
      </c>
    </row>
    <row r="195">
      <c r="A195" s="5" t="inlineStr">
        <is>
          <t>01a152b9-a38b-77f4-b189-347cf478d7c0</t>
        </is>
      </c>
      <c r="D195" s="5" t="inlineStr">
        <is>
          <t>01a152b9-6e67-75da-8adb-b03e5d07fd21</t>
        </is>
      </c>
      <c r="E195" s="4" t="n">
        <v>46314.24606679912</v>
      </c>
      <c r="F195" s="4" t="n">
        <v>46314.24606679921</v>
      </c>
      <c r="G195" t="b">
        <v>1</v>
      </c>
      <c r="I195" t="inlineStr">
        <is>
          <t>AUD</t>
        </is>
      </c>
      <c r="J195" t="n">
        <v>28.5938</v>
      </c>
      <c r="K195" s="5" t="inlineStr">
        <is>
          <t>01a152b9-96e6-73de-aad9-0b8f9536b51d</t>
        </is>
      </c>
      <c r="L195" s="5" t="inlineStr">
        <is>
          <t>01a152b9-a378-71ad-9e63-bf781dccc053</t>
        </is>
      </c>
      <c r="M195" s="6" t="n">
        <v>45108</v>
      </c>
    </row>
    <row r="196">
      <c r="A196" s="5" t="inlineStr">
        <is>
          <t>01a152b9-a393-70f2-9f17-7ec48ba7e8b0</t>
        </is>
      </c>
      <c r="D196" s="5" t="inlineStr">
        <is>
          <t>01a152b9-6e67-75da-8adb-b03e5d07fd21</t>
        </is>
      </c>
      <c r="E196" s="4" t="n">
        <v>46314.24606689398</v>
      </c>
      <c r="F196" s="4" t="n">
        <v>46314.24606689411</v>
      </c>
      <c r="G196" t="b">
        <v>1</v>
      </c>
      <c r="I196" t="inlineStr">
        <is>
          <t>AUD</t>
        </is>
      </c>
      <c r="J196" t="n">
        <v>28.5938</v>
      </c>
      <c r="K196" s="5" t="inlineStr">
        <is>
          <t>01a152b9-9705-75c9-9088-a143adf8e95a</t>
        </is>
      </c>
      <c r="L196" s="5" t="inlineStr">
        <is>
          <t>01a152b9-a378-71ad-9e63-bf781dccc053</t>
        </is>
      </c>
      <c r="M196" s="6" t="n">
        <v>45108</v>
      </c>
    </row>
    <row r="197">
      <c r="A197" s="5" t="inlineStr">
        <is>
          <t>01a152b9-a39b-70be-917f-6992e44690e5</t>
        </is>
      </c>
      <c r="D197" s="5" t="inlineStr">
        <is>
          <t>01a152b9-6e67-75da-8adb-b03e5d07fd21</t>
        </is>
      </c>
      <c r="E197" s="4" t="n">
        <v>46314.24606698081</v>
      </c>
      <c r="F197" s="4" t="n">
        <v>46314.24606698089</v>
      </c>
      <c r="G197" t="b">
        <v>1</v>
      </c>
      <c r="I197" t="inlineStr">
        <is>
          <t>AUD</t>
        </is>
      </c>
      <c r="J197" t="n">
        <v>28.5938</v>
      </c>
      <c r="K197" s="5" t="inlineStr">
        <is>
          <t>01a152b9-9722-7470-9f99-1a35c33b284d</t>
        </is>
      </c>
      <c r="L197" s="5" t="inlineStr">
        <is>
          <t>01a152b9-a378-71ad-9e63-bf781dccc053</t>
        </is>
      </c>
      <c r="M197" s="6" t="n">
        <v>45108</v>
      </c>
    </row>
    <row r="198">
      <c r="A198" s="5" t="inlineStr">
        <is>
          <t>01a152b9-a3a2-75c3-9518-1688810e4711</t>
        </is>
      </c>
      <c r="D198" s="5" t="inlineStr">
        <is>
          <t>01a152b9-6e67-75da-8adb-b03e5d07fd21</t>
        </is>
      </c>
      <c r="E198" s="4" t="n">
        <v>46314.24606706444</v>
      </c>
      <c r="F198" s="4" t="n">
        <v>46314.24606706452</v>
      </c>
      <c r="G198" t="b">
        <v>1</v>
      </c>
      <c r="I198" t="inlineStr">
        <is>
          <t>AUD</t>
        </is>
      </c>
      <c r="J198" t="n">
        <v>28.5938</v>
      </c>
      <c r="K198" s="5" t="inlineStr">
        <is>
          <t>01a152b9-973f-7476-a1c5-8dd9c2e5ff83</t>
        </is>
      </c>
      <c r="L198" s="5" t="inlineStr">
        <is>
          <t>01a152b9-a378-71ad-9e63-bf781dccc053</t>
        </is>
      </c>
      <c r="M198" s="6" t="n">
        <v>45108</v>
      </c>
    </row>
    <row r="199">
      <c r="A199" s="5" t="inlineStr">
        <is>
          <t>01a152b9-a3a9-7461-bb65-c2d1bb569a76</t>
        </is>
      </c>
      <c r="D199" s="5" t="inlineStr">
        <is>
          <t>01a152b9-6e67-75da-8adb-b03e5d07fd21</t>
        </is>
      </c>
      <c r="E199" s="4" t="n">
        <v>46314.24606715249</v>
      </c>
      <c r="F199" s="4" t="n">
        <v>46314.24606715258</v>
      </c>
      <c r="G199" t="b">
        <v>1</v>
      </c>
      <c r="I199" t="inlineStr">
        <is>
          <t>AUD</t>
        </is>
      </c>
      <c r="J199" t="n">
        <v>28.5938</v>
      </c>
      <c r="K199" s="5" t="inlineStr">
        <is>
          <t>01a152b9-975c-7693-b7fc-10db74004923</t>
        </is>
      </c>
      <c r="L199" s="5" t="inlineStr">
        <is>
          <t>01a152b9-a378-71ad-9e63-bf781dccc053</t>
        </is>
      </c>
      <c r="M199" s="6" t="n">
        <v>45108</v>
      </c>
    </row>
    <row r="200">
      <c r="A200" s="5" t="inlineStr">
        <is>
          <t>01a152b9-a3b3-73cb-b814-6b1ac6f6958a</t>
        </is>
      </c>
      <c r="D200" s="5" t="inlineStr">
        <is>
          <t>01a152b9-6e67-75da-8adb-b03e5d07fd21</t>
        </is>
      </c>
      <c r="E200" s="4" t="n">
        <v>46314.2460672591</v>
      </c>
      <c r="F200" s="4" t="n">
        <v>46314.2460672592</v>
      </c>
      <c r="G200" t="b">
        <v>1</v>
      </c>
      <c r="I200" t="inlineStr">
        <is>
          <t>AUD</t>
        </is>
      </c>
      <c r="J200" t="n">
        <v>28.5938</v>
      </c>
      <c r="K200" s="5" t="inlineStr">
        <is>
          <t>01a152b9-978f-76b8-9e81-87c8ddd6856a</t>
        </is>
      </c>
      <c r="L200" s="5" t="inlineStr">
        <is>
          <t>01a152b9-a378-71ad-9e63-bf781dccc053</t>
        </is>
      </c>
      <c r="M200" s="6" t="n">
        <v>45108</v>
      </c>
    </row>
    <row r="201">
      <c r="A201" s="5" t="inlineStr">
        <is>
          <t>01a152b9-a3bb-7487-9030-203a775fa053</t>
        </is>
      </c>
      <c r="D201" s="5" t="inlineStr">
        <is>
          <t>01a152b9-6e67-75da-8adb-b03e5d07fd21</t>
        </is>
      </c>
      <c r="E201" s="4" t="n">
        <v>46314.2460673561</v>
      </c>
      <c r="F201" s="4" t="n">
        <v>46314.24606735619</v>
      </c>
      <c r="G201" t="b">
        <v>1</v>
      </c>
      <c r="I201" t="inlineStr">
        <is>
          <t>AUD</t>
        </is>
      </c>
      <c r="J201" t="n">
        <v>45.7501</v>
      </c>
      <c r="K201" s="5" t="inlineStr">
        <is>
          <t>01a152b9-962f-7367-a84a-0c600737cd69</t>
        </is>
      </c>
      <c r="L201" s="5" t="inlineStr">
        <is>
          <t>01a152b9-a378-71ad-9e63-bf781dccc053</t>
        </is>
      </c>
      <c r="M201" s="6" t="n">
        <v>45108</v>
      </c>
    </row>
    <row r="202">
      <c r="A202" s="5" t="inlineStr">
        <is>
          <t>01a152b9-a3c5-76f9-9125-22a624090200</t>
        </is>
      </c>
      <c r="D202" s="5" t="inlineStr">
        <is>
          <t>01a152b9-6e67-75da-8adb-b03e5d07fd21</t>
        </is>
      </c>
      <c r="E202" s="4" t="n">
        <v>46314.2460674722</v>
      </c>
      <c r="F202" s="4" t="n">
        <v>46314.24606747231</v>
      </c>
      <c r="G202" t="b">
        <v>1</v>
      </c>
      <c r="I202" t="inlineStr">
        <is>
          <t>AUD</t>
        </is>
      </c>
      <c r="J202" t="n">
        <v>57.1877</v>
      </c>
      <c r="K202" s="5" t="inlineStr">
        <is>
          <t>01a152b9-94e5-7643-9595-d903ba15e5b7</t>
        </is>
      </c>
      <c r="L202" s="5" t="inlineStr">
        <is>
          <t>01a152b9-a378-71ad-9e63-bf781dccc053</t>
        </is>
      </c>
      <c r="M202" s="6" t="n">
        <v>45108</v>
      </c>
    </row>
    <row r="203">
      <c r="A203" s="5" t="inlineStr">
        <is>
          <t>01a152b9-a3cf-74d4-8447-0c8727a10185</t>
        </is>
      </c>
      <c r="D203" s="5" t="inlineStr">
        <is>
          <t>01a152b9-6e67-75da-8adb-b03e5d07fd21</t>
        </is>
      </c>
      <c r="E203" s="4" t="n">
        <v>46314.24606759149</v>
      </c>
      <c r="F203" s="4" t="n">
        <v>46314.24606759164</v>
      </c>
      <c r="G203" t="b">
        <v>1</v>
      </c>
      <c r="I203" t="inlineStr">
        <is>
          <t>AUD</t>
        </is>
      </c>
      <c r="J203" t="n">
        <v>57.1877</v>
      </c>
      <c r="K203" s="5" t="inlineStr">
        <is>
          <t>01a152b9-95ac-746c-9a8c-b4eb3f58a5a6</t>
        </is>
      </c>
      <c r="L203" s="5" t="inlineStr">
        <is>
          <t>01a152b9-a378-71ad-9e63-bf781dccc053</t>
        </is>
      </c>
      <c r="M203" s="6" t="n">
        <v>45108</v>
      </c>
    </row>
    <row r="204">
      <c r="A204" s="5" t="inlineStr">
        <is>
          <t>01a152b9-a3d9-7539-8ce8-efa12613712d</t>
        </is>
      </c>
      <c r="D204" s="5" t="inlineStr">
        <is>
          <t>01a152b9-6e67-75da-8adb-b03e5d07fd21</t>
        </is>
      </c>
      <c r="E204" s="4" t="n">
        <v>46314.24606770053</v>
      </c>
      <c r="F204" s="4" t="n">
        <v>46314.24606770064</v>
      </c>
      <c r="G204" t="b">
        <v>1</v>
      </c>
      <c r="I204" t="inlineStr">
        <is>
          <t>AUD</t>
        </is>
      </c>
      <c r="J204" t="n">
        <v>57.1877</v>
      </c>
      <c r="K204" s="5" t="inlineStr">
        <is>
          <t>01a152b9-95c6-742f-9e96-a37e19627f89</t>
        </is>
      </c>
      <c r="L204" s="5" t="inlineStr">
        <is>
          <t>01a152b9-a378-71ad-9e63-bf781dccc053</t>
        </is>
      </c>
      <c r="M204" s="6" t="n">
        <v>45108</v>
      </c>
    </row>
    <row r="205">
      <c r="A205" s="5" t="inlineStr">
        <is>
          <t>01a152b9-a3e3-74dc-adbf-0486f7fc0bad</t>
        </is>
      </c>
      <c r="D205" s="5" t="inlineStr">
        <is>
          <t>01a152b9-6e67-75da-8adb-b03e5d07fd21</t>
        </is>
      </c>
      <c r="E205" s="4" t="n">
        <v>46314.24606782096</v>
      </c>
      <c r="F205" s="4" t="n">
        <v>46314.2460678211</v>
      </c>
      <c r="G205" t="b">
        <v>1</v>
      </c>
      <c r="I205" t="inlineStr">
        <is>
          <t>AUD</t>
        </is>
      </c>
      <c r="J205" t="n">
        <v>57.1877</v>
      </c>
      <c r="K205" s="5" t="inlineStr">
        <is>
          <t>01a152b9-95fb-7120-b341-b6f29d875206</t>
        </is>
      </c>
      <c r="L205" s="5" t="inlineStr">
        <is>
          <t>01a152b9-a378-71ad-9e63-bf781dccc053</t>
        </is>
      </c>
      <c r="M205" s="6" t="n">
        <v>45108</v>
      </c>
    </row>
    <row r="206">
      <c r="A206" s="5" t="inlineStr">
        <is>
          <t>01a152b9-a3ed-7783-8630-63d2c720855d</t>
        </is>
      </c>
      <c r="D206" s="5" t="inlineStr">
        <is>
          <t>01a152b9-6e67-75da-8adb-b03e5d07fd21</t>
        </is>
      </c>
      <c r="E206" s="4" t="n">
        <v>46314.24606793121</v>
      </c>
      <c r="F206" s="4" t="n">
        <v>46314.24606793133</v>
      </c>
      <c r="G206" t="b">
        <v>1</v>
      </c>
      <c r="I206" t="inlineStr">
        <is>
          <t>AUD</t>
        </is>
      </c>
      <c r="J206" t="n">
        <v>57.1877</v>
      </c>
      <c r="K206" s="5" t="inlineStr">
        <is>
          <t>01a152b9-9615-743d-b72a-abe2116267b7</t>
        </is>
      </c>
      <c r="L206" s="5" t="inlineStr">
        <is>
          <t>01a152b9-a378-71ad-9e63-bf781dccc053</t>
        </is>
      </c>
      <c r="M206" s="6" t="n">
        <v>45108</v>
      </c>
    </row>
    <row r="207">
      <c r="A207" s="5" t="inlineStr">
        <is>
          <t>01a152b9-a3f6-74f4-ad05-ee658964abe6</t>
        </is>
      </c>
      <c r="D207" s="5" t="inlineStr">
        <is>
          <t>01a152b9-6e67-75da-8adb-b03e5d07fd21</t>
        </is>
      </c>
      <c r="E207" s="4" t="n">
        <v>46314.24606804072</v>
      </c>
      <c r="F207" s="4" t="n">
        <v>46314.24606804085</v>
      </c>
      <c r="G207" t="b">
        <v>1</v>
      </c>
      <c r="I207" t="inlineStr">
        <is>
          <t>AUD</t>
        </is>
      </c>
      <c r="J207" t="n">
        <v>57.1877</v>
      </c>
      <c r="K207" s="5" t="inlineStr">
        <is>
          <t>01a152b9-964c-760f-b649-b5089fe2f69f</t>
        </is>
      </c>
      <c r="L207" s="5" t="inlineStr">
        <is>
          <t>01a152b9-a378-71ad-9e63-bf781dccc053</t>
        </is>
      </c>
      <c r="M207" s="6" t="n">
        <v>45108</v>
      </c>
    </row>
    <row r="208">
      <c r="A208" s="5" t="inlineStr">
        <is>
          <t>01a152b9-a400-723a-91f6-5a234c10bc33</t>
        </is>
      </c>
      <c r="D208" s="5" t="inlineStr">
        <is>
          <t>01a152b9-6e67-75da-8adb-b03e5d07fd21</t>
        </is>
      </c>
      <c r="E208" s="4" t="n">
        <v>46314.24606815346</v>
      </c>
      <c r="F208" s="4" t="n">
        <v>46314.24606815355</v>
      </c>
      <c r="G208" t="b">
        <v>1</v>
      </c>
      <c r="I208" t="inlineStr">
        <is>
          <t>AUD</t>
        </is>
      </c>
      <c r="J208" t="n">
        <v>57.1877</v>
      </c>
      <c r="K208" s="5" t="inlineStr">
        <is>
          <t>01a152b9-966d-7399-b21c-89ba0f404c00</t>
        </is>
      </c>
      <c r="L208" s="5" t="inlineStr">
        <is>
          <t>01a152b9-a378-71ad-9e63-bf781dccc053</t>
        </is>
      </c>
      <c r="M208" s="6" t="n">
        <v>45108</v>
      </c>
    </row>
    <row r="209">
      <c r="A209" s="5" t="inlineStr">
        <is>
          <t>01a152b9-a408-7656-9bd1-4205228de595</t>
        </is>
      </c>
      <c r="D209" s="5" t="inlineStr">
        <is>
          <t>01a152b9-6e67-75da-8adb-b03e5d07fd21</t>
        </is>
      </c>
      <c r="E209" s="4" t="n">
        <v>46314.24606825273</v>
      </c>
      <c r="F209" s="4" t="n">
        <v>46314.24606825287</v>
      </c>
      <c r="G209" t="b">
        <v>1</v>
      </c>
      <c r="I209" t="inlineStr">
        <is>
          <t>AUD</t>
        </is>
      </c>
      <c r="J209" t="n">
        <v>57.1877</v>
      </c>
      <c r="K209" s="5" t="inlineStr">
        <is>
          <t>01a152b9-96a5-755d-8cd5-b9f3af1122f4</t>
        </is>
      </c>
      <c r="L209" s="5" t="inlineStr">
        <is>
          <t>01a152b9-a378-71ad-9e63-bf781dccc053</t>
        </is>
      </c>
      <c r="M209" s="6" t="n">
        <v>45108</v>
      </c>
    </row>
    <row r="210">
      <c r="A210" s="5" t="inlineStr">
        <is>
          <t>01a152b9-a411-7011-9e0f-b5ff0af13d6f</t>
        </is>
      </c>
      <c r="D210" s="5" t="inlineStr">
        <is>
          <t>01a152b9-6e67-75da-8adb-b03e5d07fd21</t>
        </is>
      </c>
      <c r="E210" s="4" t="n">
        <v>46314.2460683563</v>
      </c>
      <c r="F210" s="4" t="n">
        <v>46314.24606835646</v>
      </c>
      <c r="G210" t="b">
        <v>1</v>
      </c>
      <c r="I210" t="inlineStr">
        <is>
          <t>AUD</t>
        </is>
      </c>
      <c r="J210" t="n">
        <v>57.1877</v>
      </c>
      <c r="K210" s="5" t="inlineStr">
        <is>
          <t>01a152b9-96c7-7247-9b18-b04e067b75ed</t>
        </is>
      </c>
      <c r="L210" s="5" t="inlineStr">
        <is>
          <t>01a152b9-a378-71ad-9e63-bf781dccc053</t>
        </is>
      </c>
      <c r="M210" s="6" t="n">
        <v>45108</v>
      </c>
    </row>
    <row r="211">
      <c r="A211" s="5" t="inlineStr">
        <is>
          <t>01a152b9-a41a-76f1-90a3-4c02d55ccfa0</t>
        </is>
      </c>
      <c r="D211" s="5" t="inlineStr">
        <is>
          <t>01a152b9-6e67-75da-8adb-b03e5d07fd21</t>
        </is>
      </c>
      <c r="E211" s="4" t="n">
        <v>46314.24606845345</v>
      </c>
      <c r="F211" s="4" t="n">
        <v>46314.24606845354</v>
      </c>
      <c r="G211" t="b">
        <v>1</v>
      </c>
      <c r="I211" t="inlineStr">
        <is>
          <t>AUD</t>
        </is>
      </c>
      <c r="J211" t="n">
        <v>57.1877</v>
      </c>
      <c r="K211" s="5" t="inlineStr">
        <is>
          <t>01a152b9-9776-73a9-82d2-82fb7d3d8ad6</t>
        </is>
      </c>
      <c r="L211" s="5" t="inlineStr">
        <is>
          <t>01a152b9-a378-71ad-9e63-bf781dccc053</t>
        </is>
      </c>
      <c r="M211" s="6" t="n">
        <v>45108</v>
      </c>
    </row>
    <row r="212">
      <c r="A212" s="5" t="inlineStr">
        <is>
          <t>01a152b9-a421-705f-b27c-e9c04e2480e0</t>
        </is>
      </c>
      <c r="D212" s="5" t="inlineStr">
        <is>
          <t>01a152b9-6e67-75da-8adb-b03e5d07fd21</t>
        </is>
      </c>
      <c r="E212" s="4" t="n">
        <v>46314.24606854118</v>
      </c>
      <c r="F212" s="4" t="n">
        <v>46314.24606854125</v>
      </c>
      <c r="G212" t="b">
        <v>1</v>
      </c>
      <c r="I212" t="inlineStr">
        <is>
          <t>AUD</t>
        </is>
      </c>
      <c r="J212" t="n">
        <v>102.9378</v>
      </c>
      <c r="K212" s="5" t="inlineStr">
        <is>
          <t>01a152b9-9574-7264-bf24-1c4e0839a2c8</t>
        </is>
      </c>
      <c r="L212" s="5" t="inlineStr">
        <is>
          <t>01a152b9-a378-71ad-9e63-bf781dccc053</t>
        </is>
      </c>
      <c r="M212" s="6" t="n">
        <v>45108</v>
      </c>
    </row>
    <row r="213">
      <c r="A213" s="5" t="inlineStr">
        <is>
          <t>01a152b9-a428-7017-a02a-306bde9d3a7d</t>
        </is>
      </c>
      <c r="D213" s="5" t="inlineStr">
        <is>
          <t>01a152b9-6e67-75da-8adb-b03e5d07fd21</t>
        </is>
      </c>
      <c r="E213" s="4" t="n">
        <v>46314.24606861905</v>
      </c>
      <c r="F213" s="4" t="n">
        <v>46314.24606861913</v>
      </c>
      <c r="G213" t="b">
        <v>1</v>
      </c>
      <c r="I213" t="inlineStr">
        <is>
          <t>AUD</t>
        </is>
      </c>
      <c r="J213" t="n">
        <v>114.3754</v>
      </c>
      <c r="K213" s="5" t="inlineStr">
        <is>
          <t>01a152b9-9500-709e-8410-7a936bd089c9</t>
        </is>
      </c>
      <c r="L213" s="5" t="inlineStr">
        <is>
          <t>01a152b9-a378-71ad-9e63-bf781dccc053</t>
        </is>
      </c>
      <c r="M213" s="6" t="n">
        <v>45108</v>
      </c>
    </row>
    <row r="214">
      <c r="A214" s="5" t="inlineStr">
        <is>
          <t>01a152b9-a430-771d-95ca-4e1df003c34d</t>
        </is>
      </c>
      <c r="D214" s="5" t="inlineStr">
        <is>
          <t>01a152b9-6e67-75da-8adb-b03e5d07fd21</t>
        </is>
      </c>
      <c r="E214" s="4" t="n">
        <v>46314.24606870566</v>
      </c>
      <c r="F214" s="4" t="n">
        <v>46314.24606870576</v>
      </c>
      <c r="G214" t="b">
        <v>1</v>
      </c>
      <c r="I214" t="inlineStr">
        <is>
          <t>AUD</t>
        </is>
      </c>
      <c r="J214" t="n">
        <v>114.3754</v>
      </c>
      <c r="K214" s="5" t="inlineStr">
        <is>
          <t>01a152b9-951c-75db-abc6-3b68329be7a6</t>
        </is>
      </c>
      <c r="L214" s="5" t="inlineStr">
        <is>
          <t>01a152b9-a378-71ad-9e63-bf781dccc053</t>
        </is>
      </c>
      <c r="M214" s="6" t="n">
        <v>45108</v>
      </c>
    </row>
    <row r="215">
      <c r="A215" s="5" t="inlineStr">
        <is>
          <t>01a152b9-a437-7181-a0df-936af940b120</t>
        </is>
      </c>
      <c r="D215" s="5" t="inlineStr">
        <is>
          <t>01a152b9-6e67-75da-8adb-b03e5d07fd21</t>
        </is>
      </c>
      <c r="E215" s="4" t="n">
        <v>46314.24606878619</v>
      </c>
      <c r="F215" s="4" t="n">
        <v>46314.24606878628</v>
      </c>
      <c r="G215" t="b">
        <v>1</v>
      </c>
      <c r="I215" t="inlineStr">
        <is>
          <t>AUD</t>
        </is>
      </c>
      <c r="J215" t="n">
        <v>114.3754</v>
      </c>
      <c r="K215" s="5" t="inlineStr">
        <is>
          <t>01a152b9-953a-77b8-8f2e-2d4feaabe9bc</t>
        </is>
      </c>
      <c r="L215" s="5" t="inlineStr">
        <is>
          <t>01a152b9-a378-71ad-9e63-bf781dccc053</t>
        </is>
      </c>
      <c r="M215" s="6" t="n">
        <v>45108</v>
      </c>
    </row>
    <row r="216">
      <c r="A216" s="5" t="inlineStr">
        <is>
          <t>01a152b9-a43e-719d-bc60-25a1d4e0383c</t>
        </is>
      </c>
      <c r="D216" s="5" t="inlineStr">
        <is>
          <t>01a152b9-6e67-75da-8adb-b03e5d07fd21</t>
        </is>
      </c>
      <c r="E216" s="4" t="n">
        <v>46314.24606887425</v>
      </c>
      <c r="F216" s="4" t="n">
        <v>46314.24606887434</v>
      </c>
      <c r="G216" t="b">
        <v>1</v>
      </c>
      <c r="I216" t="inlineStr">
        <is>
          <t>AUD</t>
        </is>
      </c>
      <c r="J216" t="n">
        <v>114.3754</v>
      </c>
      <c r="K216" s="5" t="inlineStr">
        <is>
          <t>01a152b9-9557-73d7-96a4-1c9494e1cc27</t>
        </is>
      </c>
      <c r="L216" s="5" t="inlineStr">
        <is>
          <t>01a152b9-a378-71ad-9e63-bf781dccc053</t>
        </is>
      </c>
      <c r="M216" s="6" t="n">
        <v>45108</v>
      </c>
    </row>
    <row r="217">
      <c r="A217" s="5" t="inlineStr">
        <is>
          <t>01a152b9-a445-7076-9da1-c90e92122778</t>
        </is>
      </c>
      <c r="D217" s="5" t="inlineStr">
        <is>
          <t>01a152b9-6e67-75da-8adb-b03e5d07fd21</t>
        </is>
      </c>
      <c r="E217" s="4" t="n">
        <v>46314.24606895183</v>
      </c>
      <c r="F217" s="4" t="n">
        <v>46314.2460689519</v>
      </c>
      <c r="G217" t="b">
        <v>1</v>
      </c>
      <c r="I217" t="inlineStr">
        <is>
          <t>AUD</t>
        </is>
      </c>
      <c r="J217" t="n">
        <v>114.3754</v>
      </c>
      <c r="K217" s="5" t="inlineStr">
        <is>
          <t>01a152b9-958f-7703-a5c4-c31e1306711f</t>
        </is>
      </c>
      <c r="L217" s="5" t="inlineStr">
        <is>
          <t>01a152b9-a378-71ad-9e63-bf781dccc053</t>
        </is>
      </c>
      <c r="M217" s="6" t="n">
        <v>45108</v>
      </c>
    </row>
    <row r="218">
      <c r="A218" s="5" t="inlineStr">
        <is>
          <t>01a152b9-a44c-7253-ba77-c75d095f9914</t>
        </is>
      </c>
      <c r="D218" s="5" t="inlineStr">
        <is>
          <t>01a152b9-6e67-75da-8adb-b03e5d07fd21</t>
        </is>
      </c>
      <c r="E218" s="4" t="n">
        <v>46314.24606903388</v>
      </c>
      <c r="F218" s="4" t="n">
        <v>46314.24606903395</v>
      </c>
      <c r="G218" t="b">
        <v>1</v>
      </c>
      <c r="I218" t="inlineStr">
        <is>
          <t>AUD</t>
        </is>
      </c>
      <c r="J218" t="n">
        <v>142.9692</v>
      </c>
      <c r="K218" s="5" t="inlineStr">
        <is>
          <t>01a152b9-9489-75d9-9632-6da6174dc905</t>
        </is>
      </c>
      <c r="L218" s="5" t="inlineStr">
        <is>
          <t>01a152b9-a378-71ad-9e63-bf781dccc053</t>
        </is>
      </c>
      <c r="M218" s="6" t="n">
        <v>45108</v>
      </c>
    </row>
    <row r="219">
      <c r="A219" s="5" t="inlineStr">
        <is>
          <t>01a152b9-a453-7479-ac5a-abf3c53e713d</t>
        </is>
      </c>
      <c r="D219" s="5" t="inlineStr">
        <is>
          <t>01a152b9-6e67-75da-8adb-b03e5d07fd21</t>
        </is>
      </c>
      <c r="E219" s="4" t="n">
        <v>46314.24606911356</v>
      </c>
      <c r="F219" s="4" t="n">
        <v>46314.24606911364</v>
      </c>
      <c r="G219" t="b">
        <v>1</v>
      </c>
      <c r="I219" t="inlineStr">
        <is>
          <t>AUD</t>
        </is>
      </c>
      <c r="J219" t="n">
        <v>142.9692</v>
      </c>
      <c r="K219" s="5" t="inlineStr">
        <is>
          <t>01a152b9-94a7-731e-bcf5-1459d6c541b5</t>
        </is>
      </c>
      <c r="L219" s="5" t="inlineStr">
        <is>
          <t>01a152b9-a378-71ad-9e63-bf781dccc053</t>
        </is>
      </c>
      <c r="M219" s="6" t="n">
        <v>45108</v>
      </c>
    </row>
    <row r="220">
      <c r="A220" s="5" t="inlineStr">
        <is>
          <t>01a152b9-a45a-73a2-878b-183136f5ec2d</t>
        </is>
      </c>
      <c r="D220" s="5" t="inlineStr">
        <is>
          <t>01a152b9-6e67-75da-8adb-b03e5d07fd21</t>
        </is>
      </c>
      <c r="E220" s="4" t="n">
        <v>46314.24606919396</v>
      </c>
      <c r="F220" s="4" t="n">
        <v>46314.24606919405</v>
      </c>
      <c r="G220" t="b">
        <v>1</v>
      </c>
      <c r="I220" t="inlineStr">
        <is>
          <t>AUD</t>
        </is>
      </c>
      <c r="J220" t="n">
        <v>142.9693</v>
      </c>
      <c r="K220" s="5" t="inlineStr">
        <is>
          <t>01a152b9-94c8-7073-9619-9f770f6e7fc2</t>
        </is>
      </c>
      <c r="L220" s="5" t="inlineStr">
        <is>
          <t>01a152b9-a378-71ad-9e63-bf781dccc053</t>
        </is>
      </c>
      <c r="M220" s="6" t="n">
        <v>45108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2" customWidth="1" min="1" max="1"/>
    <col width="19.2" customWidth="1" min="2" max="2"/>
    <col width="38.2" customWidth="1" min="3" max="3"/>
    <col width="28.2" customWidth="1" min="4" max="4"/>
    <col width="28.2" customWidth="1" min="5" max="5"/>
    <col width="11.2" customWidth="1" min="6" max="6"/>
    <col width="40.2" customWidth="1" min="7" max="7"/>
    <col width="29.2" customWidth="1" min="8" max="8"/>
    <col width="18.2" customWidth="1" min="9" max="9"/>
    <col width="12.2" customWidth="1" min="10" max="10"/>
    <col width="11.2" customWidth="1" min="11" max="11"/>
    <col width="6.2" customWidth="1" min="12" max="12"/>
    <col width="30.2" customWidth="1" min="13" max="13"/>
    <col width="15.2" customWidth="1" min="14" max="14"/>
    <col width="37.2" customWidth="1" min="15" max="15"/>
    <col width="28.2" customWidth="1" min="16" max="16"/>
    <col width="35.2" customWidth="1" min="17" max="17"/>
    <col width="26.2" customWidth="1" min="18" max="18"/>
    <col width="32.2" customWidth="1" min="19" max="19"/>
    <col width="23.2" customWidth="1" min="20" max="20"/>
    <col width="29.2" customWidth="1" min="21" max="21"/>
    <col width="20.2" customWidth="1" min="22" max="22"/>
    <col width="27.2" customWidth="1" min="23" max="23"/>
    <col width="18.2" customWidth="1" min="24" max="24"/>
    <col width="31.2" customWidth="1" min="25" max="25"/>
    <col width="44.2" customWidth="1" min="26" max="26"/>
    <col width="35.2" customWidth="1" min="27" max="27"/>
    <col width="42.2" customWidth="1" min="28" max="28"/>
    <col width="33.2" customWidth="1" min="29" max="29"/>
    <col width="44.2" customWidth="1" min="30" max="30"/>
    <col width="35.2" customWidth="1" min="31" max="31"/>
    <col width="36.2" customWidth="1" min="32" max="32"/>
    <col width="27.2" customWidth="1" min="33" max="33"/>
    <col width="46.2" customWidth="1" min="34" max="34"/>
    <col width="37.2" customWidth="1" min="35" max="35"/>
  </cols>
  <sheetData>
    <row r="1" ht="32" customHeight="1">
      <c r="A1" s="1" t="inlineStr">
        <is>
          <t>id</t>
        </is>
      </c>
      <c r="B1" s="1" t="inlineStr">
        <is>
          <t>legacy_id</t>
        </is>
      </c>
      <c r="C1" s="1" t="inlineStr">
        <is>
          <t>account_id</t>
        </is>
      </c>
      <c r="D1" s="1" t="inlineStr">
        <is>
          <t>created_at</t>
        </is>
      </c>
      <c r="E1" s="1" t="inlineStr">
        <is>
          <t>updated_at</t>
        </is>
      </c>
      <c r="F1" s="1" t="inlineStr">
        <is>
          <t>is_active</t>
        </is>
      </c>
      <c r="G1" s="1" t="inlineStr">
        <is>
          <t>notes</t>
        </is>
      </c>
      <c r="H1" s="1" t="inlineStr">
        <is>
          <t>description</t>
        </is>
      </c>
      <c r="I1" s="1" t="inlineStr">
        <is>
          <t>instrument__name</t>
        </is>
      </c>
      <c r="J1" s="1" t="inlineStr">
        <is>
          <t>date</t>
        </is>
      </c>
      <c r="K1" s="1" t="inlineStr">
        <is>
          <t>quantity</t>
        </is>
      </c>
      <c r="L1" s="1" t="inlineStr">
        <is>
          <t>file</t>
        </is>
      </c>
      <c r="M1" s="1" t="inlineStr">
        <is>
          <t>calculated_fiscal_year__name</t>
        </is>
      </c>
      <c r="N1" s="1" t="inlineStr">
        <is>
          <t>dividend_type</t>
        </is>
      </c>
      <c r="O1" s="1" t="inlineStr">
        <is>
          <t>unfranked_amount_per_share_currency</t>
        </is>
      </c>
      <c r="P1" s="1" t="inlineStr">
        <is>
          <t>unfranked_amount_per_share</t>
        </is>
      </c>
      <c r="Q1" s="1" t="inlineStr">
        <is>
          <t>franked_amount_per_share_currency</t>
        </is>
      </c>
      <c r="R1" s="1" t="inlineStr">
        <is>
          <t>franked_amount_per_share</t>
        </is>
      </c>
      <c r="S1" s="1" t="inlineStr">
        <is>
          <t>local_withholding_tax_currency</t>
        </is>
      </c>
      <c r="T1" s="1" t="inlineStr">
        <is>
          <t>local_withholding_tax</t>
        </is>
      </c>
      <c r="U1" s="1" t="inlineStr">
        <is>
          <t>foreign_tax_credit_currency</t>
        </is>
      </c>
      <c r="V1" s="1" t="inlineStr">
        <is>
          <t>foreign_tax_credit</t>
        </is>
      </c>
      <c r="W1" s="1" t="inlineStr">
        <is>
          <t>lic_capital_gain_currency</t>
        </is>
      </c>
      <c r="X1" s="1" t="inlineStr">
        <is>
          <t>lic_capital_gain</t>
        </is>
      </c>
      <c r="Y1" s="1" t="inlineStr">
        <is>
          <t>corporate_tax_rate_percentage</t>
        </is>
      </c>
      <c r="Z1" s="1" t="inlineStr">
        <is>
          <t>calculated_total_unfranked_amount_currency</t>
        </is>
      </c>
      <c r="AA1" s="1" t="inlineStr">
        <is>
          <t>calculated_total_unfranked_amount</t>
        </is>
      </c>
      <c r="AB1" s="1" t="inlineStr">
        <is>
          <t>calculated_total_franked_amount_currency</t>
        </is>
      </c>
      <c r="AC1" s="1" t="inlineStr">
        <is>
          <t>calculated_total_franked_amount</t>
        </is>
      </c>
      <c r="AD1" s="1" t="inlineStr">
        <is>
          <t>calculated_total_franking_credits_currency</t>
        </is>
      </c>
      <c r="AE1" s="1" t="inlineStr">
        <is>
          <t>calculated_total_franking_credits</t>
        </is>
      </c>
      <c r="AF1" s="1" t="inlineStr">
        <is>
          <t>calculated_total_dividend_currency</t>
        </is>
      </c>
      <c r="AG1" s="1" t="inlineStr">
        <is>
          <t>calculated_total_dividend</t>
        </is>
      </c>
      <c r="AH1" s="1" t="inlineStr">
        <is>
          <t>calculated_total_dividend_converted_currency</t>
        </is>
      </c>
      <c r="AI1" s="1" t="inlineStr">
        <is>
          <t>calculated_total_dividend_converted</t>
        </is>
      </c>
    </row>
    <row r="2">
      <c r="A2" s="5" t="inlineStr">
        <is>
          <t>01a152b9-a518-7465-8c67-902732d82805</t>
        </is>
      </c>
      <c r="B2" t="inlineStr">
        <is>
          <t>2021-02-23_AFI.AX</t>
        </is>
      </c>
      <c r="C2" s="5" t="inlineStr">
        <is>
          <t>01a152b9-6e67-75da-8adb-b03e5d07fd21</t>
        </is>
      </c>
      <c r="D2" s="4" t="n">
        <v>46314.24607140045</v>
      </c>
      <c r="E2" s="4" t="n">
        <v>46314.24607140056</v>
      </c>
      <c r="F2" t="b">
        <v>1</v>
      </c>
      <c r="G2" t="inlineStr">
        <is>
          <t>Enter percentage as integer out of 100</t>
        </is>
      </c>
      <c r="H2" t="inlineStr">
        <is>
          <t>2021-02-23 | Dividend | AFI</t>
        </is>
      </c>
      <c r="I2" t="inlineStr">
        <is>
          <t>AFI</t>
        </is>
      </c>
      <c r="J2" s="6" t="n">
        <v>44250</v>
      </c>
      <c r="K2" t="n">
        <v>4000</v>
      </c>
      <c r="L2" t="inlineStr"/>
      <c r="M2" t="inlineStr">
        <is>
          <t>FY2020/21</t>
        </is>
      </c>
      <c r="N2" t="inlineStr">
        <is>
          <t>LOCAL</t>
        </is>
      </c>
      <c r="O2" t="inlineStr">
        <is>
          <t>AUD</t>
        </is>
      </c>
      <c r="P2" t="n">
        <v>0</v>
      </c>
      <c r="Q2" t="inlineStr">
        <is>
          <t>AUD</t>
        </is>
      </c>
      <c r="R2" t="n">
        <v>0.1</v>
      </c>
      <c r="S2" t="inlineStr">
        <is>
          <t>AUD</t>
        </is>
      </c>
      <c r="T2" t="n">
        <v>0</v>
      </c>
      <c r="U2" t="inlineStr">
        <is>
          <t>AUD</t>
        </is>
      </c>
      <c r="V2" t="n">
        <v>0</v>
      </c>
      <c r="W2" t="inlineStr">
        <is>
          <t>AUD</t>
        </is>
      </c>
      <c r="X2" t="n">
        <v>0</v>
      </c>
      <c r="Y2" t="n">
        <v>30</v>
      </c>
      <c r="Z2" t="inlineStr">
        <is>
          <t>AUD</t>
        </is>
      </c>
      <c r="AA2" t="n">
        <v>0</v>
      </c>
      <c r="AB2" t="inlineStr">
        <is>
          <t>AUD</t>
        </is>
      </c>
      <c r="AC2" t="n">
        <v>400</v>
      </c>
      <c r="AD2" t="inlineStr">
        <is>
          <t>AUD</t>
        </is>
      </c>
      <c r="AE2" t="n">
        <v>171.428571</v>
      </c>
      <c r="AF2" t="inlineStr">
        <is>
          <t>AUD</t>
        </is>
      </c>
      <c r="AG2" t="n">
        <v>400</v>
      </c>
      <c r="AH2" t="inlineStr">
        <is>
          <t>AUD</t>
        </is>
      </c>
      <c r="AI2" t="n">
        <v>400</v>
      </c>
    </row>
    <row r="3">
      <c r="A3" s="5" t="inlineStr">
        <is>
          <t>01a152b9-a51c-774c-ac2a-132c290251bb</t>
        </is>
      </c>
      <c r="B3" t="inlineStr">
        <is>
          <t>2021-08-31_AFI.AX</t>
        </is>
      </c>
      <c r="C3" s="5" t="inlineStr">
        <is>
          <t>01a152b9-6e67-75da-8adb-b03e5d07fd21</t>
        </is>
      </c>
      <c r="D3" s="4" t="n">
        <v>46314.24607144406</v>
      </c>
      <c r="E3" s="4" t="n">
        <v>46314.24607144415</v>
      </c>
      <c r="F3" t="b">
        <v>1</v>
      </c>
      <c r="G3" t="n">
        <v/>
      </c>
      <c r="H3" t="inlineStr">
        <is>
          <t>2021-08-31 | Dividend | AFI</t>
        </is>
      </c>
      <c r="I3" t="inlineStr">
        <is>
          <t>AFI</t>
        </is>
      </c>
      <c r="J3" s="6" t="n">
        <v>44439</v>
      </c>
      <c r="K3" t="n">
        <v>4000</v>
      </c>
      <c r="L3" t="inlineStr"/>
      <c r="M3" t="inlineStr">
        <is>
          <t>FY2021/22</t>
        </is>
      </c>
      <c r="N3" t="inlineStr">
        <is>
          <t>LOCAL</t>
        </is>
      </c>
      <c r="O3" t="inlineStr">
        <is>
          <t>AUD</t>
        </is>
      </c>
      <c r="P3" t="n">
        <v>0</v>
      </c>
      <c r="Q3" t="inlineStr">
        <is>
          <t>AUD</t>
        </is>
      </c>
      <c r="R3" t="n">
        <v>0.14</v>
      </c>
      <c r="S3" t="inlineStr">
        <is>
          <t>AUD</t>
        </is>
      </c>
      <c r="T3" t="n">
        <v>0</v>
      </c>
      <c r="U3" t="inlineStr">
        <is>
          <t>AUD</t>
        </is>
      </c>
      <c r="V3" t="n">
        <v>0</v>
      </c>
      <c r="W3" t="inlineStr">
        <is>
          <t>AUD</t>
        </is>
      </c>
      <c r="X3" t="n">
        <v>0</v>
      </c>
      <c r="Y3" t="n">
        <v>30</v>
      </c>
      <c r="Z3" t="inlineStr">
        <is>
          <t>AUD</t>
        </is>
      </c>
      <c r="AA3" t="n">
        <v>0</v>
      </c>
      <c r="AB3" t="inlineStr">
        <is>
          <t>AUD</t>
        </is>
      </c>
      <c r="AC3" t="n">
        <v>560</v>
      </c>
      <c r="AD3" t="inlineStr">
        <is>
          <t>AUD</t>
        </is>
      </c>
      <c r="AE3" t="n">
        <v>240</v>
      </c>
      <c r="AF3" t="inlineStr">
        <is>
          <t>AUD</t>
        </is>
      </c>
      <c r="AG3" t="n">
        <v>560</v>
      </c>
      <c r="AH3" t="inlineStr">
        <is>
          <t>AUD</t>
        </is>
      </c>
      <c r="AI3" t="n">
        <v>560</v>
      </c>
    </row>
    <row r="4">
      <c r="A4" s="5" t="inlineStr">
        <is>
          <t>01a152b9-a51f-7371-97ab-a628cd4d774a</t>
        </is>
      </c>
      <c r="B4" t="inlineStr">
        <is>
          <t>2022-02-05_AFI.AX</t>
        </is>
      </c>
      <c r="C4" s="5" t="inlineStr">
        <is>
          <t>01a152b9-6e67-75da-8adb-b03e5d07fd21</t>
        </is>
      </c>
      <c r="D4" s="4" t="n">
        <v>46314.24607148289</v>
      </c>
      <c r="E4" s="4" t="n">
        <v>46314.24607148297</v>
      </c>
      <c r="F4" t="b">
        <v>1</v>
      </c>
      <c r="G4" t="n">
        <v/>
      </c>
      <c r="H4" t="inlineStr">
        <is>
          <t>2022-02-05 | Dividend | AFI</t>
        </is>
      </c>
      <c r="I4" t="inlineStr">
        <is>
          <t>AFI</t>
        </is>
      </c>
      <c r="J4" s="6" t="n">
        <v>44597</v>
      </c>
      <c r="K4" t="n">
        <v>4000</v>
      </c>
      <c r="L4" t="inlineStr"/>
      <c r="M4" t="inlineStr">
        <is>
          <t>FY2021/22</t>
        </is>
      </c>
      <c r="N4" t="inlineStr">
        <is>
          <t>LOCAL</t>
        </is>
      </c>
      <c r="O4" t="inlineStr">
        <is>
          <t>AUD</t>
        </is>
      </c>
      <c r="P4" t="n">
        <v>0</v>
      </c>
      <c r="Q4" t="inlineStr">
        <is>
          <t>AUD</t>
        </is>
      </c>
      <c r="R4" t="n">
        <v>0.1</v>
      </c>
      <c r="S4" t="inlineStr">
        <is>
          <t>AUD</t>
        </is>
      </c>
      <c r="T4" t="n">
        <v>0</v>
      </c>
      <c r="U4" t="inlineStr">
        <is>
          <t>AUD</t>
        </is>
      </c>
      <c r="V4" t="n">
        <v>0</v>
      </c>
      <c r="W4" t="inlineStr">
        <is>
          <t>AUD</t>
        </is>
      </c>
      <c r="X4" t="n">
        <v>0</v>
      </c>
      <c r="Y4" t="n">
        <v>30</v>
      </c>
      <c r="Z4" t="inlineStr">
        <is>
          <t>AUD</t>
        </is>
      </c>
      <c r="AA4" t="n">
        <v>0</v>
      </c>
      <c r="AB4" t="inlineStr">
        <is>
          <t>AUD</t>
        </is>
      </c>
      <c r="AC4" t="n">
        <v>400</v>
      </c>
      <c r="AD4" t="inlineStr">
        <is>
          <t>AUD</t>
        </is>
      </c>
      <c r="AE4" t="n">
        <v>171.428571</v>
      </c>
      <c r="AF4" t="inlineStr">
        <is>
          <t>AUD</t>
        </is>
      </c>
      <c r="AG4" t="n">
        <v>400</v>
      </c>
      <c r="AH4" t="inlineStr">
        <is>
          <t>AUD</t>
        </is>
      </c>
      <c r="AI4" t="n">
        <v>400</v>
      </c>
    </row>
    <row r="5">
      <c r="A5" s="5" t="inlineStr">
        <is>
          <t>01a152b9-a522-7695-9bae-2c12cbab4ea2</t>
        </is>
      </c>
      <c r="B5" t="inlineStr">
        <is>
          <t>2022-08-30_AFI.AX</t>
        </is>
      </c>
      <c r="C5" s="5" t="inlineStr">
        <is>
          <t>01a152b9-6e67-75da-8adb-b03e5d07fd21</t>
        </is>
      </c>
      <c r="D5" s="4" t="n">
        <v>46314.2460715179</v>
      </c>
      <c r="E5" s="4" t="n">
        <v>46314.24607151798</v>
      </c>
      <c r="F5" t="b">
        <v>1</v>
      </c>
      <c r="G5" t="n">
        <v/>
      </c>
      <c r="H5" t="inlineStr">
        <is>
          <t>2022-08-30 | Dividend | AFI</t>
        </is>
      </c>
      <c r="I5" t="inlineStr">
        <is>
          <t>AFI</t>
        </is>
      </c>
      <c r="J5" s="6" t="n">
        <v>44803</v>
      </c>
      <c r="K5" t="n">
        <v>4000</v>
      </c>
      <c r="L5" t="inlineStr"/>
      <c r="M5" t="inlineStr">
        <is>
          <t>FY2022/23</t>
        </is>
      </c>
      <c r="N5" t="inlineStr">
        <is>
          <t>LOCAL</t>
        </is>
      </c>
      <c r="O5" t="inlineStr">
        <is>
          <t>AUD</t>
        </is>
      </c>
      <c r="P5" t="n">
        <v>0</v>
      </c>
      <c r="Q5" t="inlineStr">
        <is>
          <t>AUD</t>
        </is>
      </c>
      <c r="R5" t="n">
        <v>0.14</v>
      </c>
      <c r="S5" t="inlineStr">
        <is>
          <t>AUD</t>
        </is>
      </c>
      <c r="T5" t="n">
        <v>0</v>
      </c>
      <c r="U5" t="inlineStr">
        <is>
          <t>AUD</t>
        </is>
      </c>
      <c r="V5" t="n">
        <v>0</v>
      </c>
      <c r="W5" t="inlineStr">
        <is>
          <t>AUD</t>
        </is>
      </c>
      <c r="X5" t="n">
        <v>0</v>
      </c>
      <c r="Y5" t="n">
        <v>30</v>
      </c>
      <c r="Z5" t="inlineStr">
        <is>
          <t>AUD</t>
        </is>
      </c>
      <c r="AA5" t="n">
        <v>0</v>
      </c>
      <c r="AB5" t="inlineStr">
        <is>
          <t>AUD</t>
        </is>
      </c>
      <c r="AC5" t="n">
        <v>560</v>
      </c>
      <c r="AD5" t="inlineStr">
        <is>
          <t>AUD</t>
        </is>
      </c>
      <c r="AE5" t="n">
        <v>240</v>
      </c>
      <c r="AF5" t="inlineStr">
        <is>
          <t>AUD</t>
        </is>
      </c>
      <c r="AG5" t="n">
        <v>560</v>
      </c>
      <c r="AH5" t="inlineStr">
        <is>
          <t>AUD</t>
        </is>
      </c>
      <c r="AI5" t="n">
        <v>560</v>
      </c>
    </row>
    <row r="6">
      <c r="A6" s="5" t="inlineStr">
        <is>
          <t>01a152b9-a526-74c3-bc20-eb4e5c2cc942</t>
        </is>
      </c>
      <c r="B6" t="inlineStr">
        <is>
          <t>2023-02-24_AFI.AX</t>
        </is>
      </c>
      <c r="C6" s="5" t="inlineStr">
        <is>
          <t>01a152b9-6e67-75da-8adb-b03e5d07fd21</t>
        </is>
      </c>
      <c r="D6" s="4" t="n">
        <v>46314.24607155719</v>
      </c>
      <c r="E6" s="4" t="n">
        <v>46314.24607155727</v>
      </c>
      <c r="F6" t="b">
        <v>1</v>
      </c>
      <c r="G6" t="n">
        <v/>
      </c>
      <c r="H6" t="inlineStr">
        <is>
          <t>2023-02-24 | Dividend | AFI</t>
        </is>
      </c>
      <c r="I6" t="inlineStr">
        <is>
          <t>AFI</t>
        </is>
      </c>
      <c r="J6" s="6" t="n">
        <v>44981</v>
      </c>
      <c r="K6" t="n">
        <v>4000</v>
      </c>
      <c r="L6" t="inlineStr"/>
      <c r="M6" t="inlineStr">
        <is>
          <t>FY2022/23</t>
        </is>
      </c>
      <c r="N6" t="inlineStr">
        <is>
          <t>LOCAL</t>
        </is>
      </c>
      <c r="O6" t="inlineStr">
        <is>
          <t>AUD</t>
        </is>
      </c>
      <c r="P6" t="n">
        <v>0</v>
      </c>
      <c r="Q6" t="inlineStr">
        <is>
          <t>AUD</t>
        </is>
      </c>
      <c r="R6" t="n">
        <v>0.11</v>
      </c>
      <c r="S6" t="inlineStr">
        <is>
          <t>AUD</t>
        </is>
      </c>
      <c r="T6" t="n">
        <v>0</v>
      </c>
      <c r="U6" t="inlineStr">
        <is>
          <t>AUD</t>
        </is>
      </c>
      <c r="V6" t="n">
        <v>0</v>
      </c>
      <c r="W6" t="inlineStr">
        <is>
          <t>AUD</t>
        </is>
      </c>
      <c r="X6" t="n">
        <v>0</v>
      </c>
      <c r="Y6" t="n">
        <v>30</v>
      </c>
      <c r="Z6" t="inlineStr">
        <is>
          <t>AUD</t>
        </is>
      </c>
      <c r="AA6" t="n">
        <v>0</v>
      </c>
      <c r="AB6" t="inlineStr">
        <is>
          <t>AUD</t>
        </is>
      </c>
      <c r="AC6" t="n">
        <v>440</v>
      </c>
      <c r="AD6" t="inlineStr">
        <is>
          <t>AUD</t>
        </is>
      </c>
      <c r="AE6" t="n">
        <v>188.571429</v>
      </c>
      <c r="AF6" t="inlineStr">
        <is>
          <t>AUD</t>
        </is>
      </c>
      <c r="AG6" t="n">
        <v>440</v>
      </c>
      <c r="AH6" t="inlineStr">
        <is>
          <t>AUD</t>
        </is>
      </c>
      <c r="AI6" t="n">
        <v>440</v>
      </c>
    </row>
    <row r="7">
      <c r="A7" s="5" t="inlineStr">
        <is>
          <t>01a152b9-a529-76e3-b05f-5d1327782808</t>
        </is>
      </c>
      <c r="B7" t="inlineStr">
        <is>
          <t>2023-09-01_AFI.AX</t>
        </is>
      </c>
      <c r="C7" s="5" t="inlineStr">
        <is>
          <t>01a152b9-6e67-75da-8adb-b03e5d07fd21</t>
        </is>
      </c>
      <c r="D7" s="4" t="n">
        <v>46314.24607160044</v>
      </c>
      <c r="E7" s="4" t="n">
        <v>46314.24607160053</v>
      </c>
      <c r="F7" t="b">
        <v>1</v>
      </c>
      <c r="G7" t="n">
        <v/>
      </c>
      <c r="H7" t="inlineStr">
        <is>
          <t>2023-09-01 | Dividend | AFI</t>
        </is>
      </c>
      <c r="I7" t="inlineStr">
        <is>
          <t>AFI</t>
        </is>
      </c>
      <c r="J7" s="6" t="n">
        <v>45170</v>
      </c>
      <c r="K7" t="n">
        <v>4000</v>
      </c>
      <c r="L7" t="inlineStr"/>
      <c r="M7" t="inlineStr">
        <is>
          <t>FY2023/24</t>
        </is>
      </c>
      <c r="N7" t="inlineStr">
        <is>
          <t>LOCAL</t>
        </is>
      </c>
      <c r="O7" t="inlineStr">
        <is>
          <t>AUD</t>
        </is>
      </c>
      <c r="P7" t="n">
        <v>0</v>
      </c>
      <c r="Q7" t="inlineStr">
        <is>
          <t>AUD</t>
        </is>
      </c>
      <c r="R7" t="n">
        <v>0.14</v>
      </c>
      <c r="S7" t="inlineStr">
        <is>
          <t>AUD</t>
        </is>
      </c>
      <c r="T7" t="n">
        <v>0</v>
      </c>
      <c r="U7" t="inlineStr">
        <is>
          <t>AUD</t>
        </is>
      </c>
      <c r="V7" t="n">
        <v>0</v>
      </c>
      <c r="W7" t="inlineStr">
        <is>
          <t>AUD</t>
        </is>
      </c>
      <c r="X7" t="n">
        <v>0</v>
      </c>
      <c r="Y7" t="n">
        <v>30</v>
      </c>
      <c r="Z7" t="inlineStr">
        <is>
          <t>AUD</t>
        </is>
      </c>
      <c r="AA7" t="n">
        <v>0</v>
      </c>
      <c r="AB7" t="inlineStr">
        <is>
          <t>AUD</t>
        </is>
      </c>
      <c r="AC7" t="n">
        <v>560</v>
      </c>
      <c r="AD7" t="inlineStr">
        <is>
          <t>AUD</t>
        </is>
      </c>
      <c r="AE7" t="n">
        <v>240</v>
      </c>
      <c r="AF7" t="inlineStr">
        <is>
          <t>AUD</t>
        </is>
      </c>
      <c r="AG7" t="n">
        <v>560</v>
      </c>
      <c r="AH7" t="inlineStr">
        <is>
          <t>AUD</t>
        </is>
      </c>
      <c r="AI7" t="n">
        <v>560</v>
      </c>
    </row>
    <row r="8">
      <c r="A8" s="5" t="inlineStr">
        <is>
          <t>01a152b9-a52d-779f-9d14-3ea12869b167</t>
        </is>
      </c>
      <c r="B8" t="inlineStr">
        <is>
          <t>2024-02-26_AFI.AX</t>
        </is>
      </c>
      <c r="C8" s="5" t="inlineStr">
        <is>
          <t>01a152b9-6e67-75da-8adb-b03e5d07fd21</t>
        </is>
      </c>
      <c r="D8" s="4" t="n">
        <v>46314.24607163895</v>
      </c>
      <c r="E8" s="4" t="n">
        <v>46314.24607163903</v>
      </c>
      <c r="F8" t="b">
        <v>1</v>
      </c>
      <c r="G8" t="n">
        <v/>
      </c>
      <c r="H8" t="inlineStr">
        <is>
          <t>2024-02-26 | Dividend | AFI</t>
        </is>
      </c>
      <c r="I8" t="inlineStr">
        <is>
          <t>AFI</t>
        </is>
      </c>
      <c r="J8" s="6" t="n">
        <v>45348</v>
      </c>
      <c r="K8" t="n">
        <v>4000</v>
      </c>
      <c r="L8" t="inlineStr"/>
      <c r="M8" t="inlineStr">
        <is>
          <t>FY2023/24</t>
        </is>
      </c>
      <c r="N8" t="inlineStr">
        <is>
          <t>LOCAL</t>
        </is>
      </c>
      <c r="O8" t="inlineStr">
        <is>
          <t>AUD</t>
        </is>
      </c>
      <c r="P8" t="n">
        <v>0</v>
      </c>
      <c r="Q8" t="inlineStr">
        <is>
          <t>AUD</t>
        </is>
      </c>
      <c r="R8" t="n">
        <v>0.115</v>
      </c>
      <c r="S8" t="inlineStr">
        <is>
          <t>AUD</t>
        </is>
      </c>
      <c r="T8" t="n">
        <v>0</v>
      </c>
      <c r="U8" t="inlineStr">
        <is>
          <t>AUD</t>
        </is>
      </c>
      <c r="V8" t="n">
        <v>0</v>
      </c>
      <c r="W8" t="inlineStr">
        <is>
          <t>AUD</t>
        </is>
      </c>
      <c r="X8" t="n">
        <v>0</v>
      </c>
      <c r="Y8" t="n">
        <v>30</v>
      </c>
      <c r="Z8" t="inlineStr">
        <is>
          <t>AUD</t>
        </is>
      </c>
      <c r="AA8" t="n">
        <v>0</v>
      </c>
      <c r="AB8" t="inlineStr">
        <is>
          <t>AUD</t>
        </is>
      </c>
      <c r="AC8" t="n">
        <v>460</v>
      </c>
      <c r="AD8" t="inlineStr">
        <is>
          <t>AUD</t>
        </is>
      </c>
      <c r="AE8" t="n">
        <v>197.142857</v>
      </c>
      <c r="AF8" t="inlineStr">
        <is>
          <t>AUD</t>
        </is>
      </c>
      <c r="AG8" t="n">
        <v>460</v>
      </c>
      <c r="AH8" t="inlineStr">
        <is>
          <t>AUD</t>
        </is>
      </c>
      <c r="AI8" t="n">
        <v>460</v>
      </c>
    </row>
    <row r="9">
      <c r="A9" s="5" t="inlineStr">
        <is>
          <t>01a152b9-a530-76fc-be7f-229e9c9a8857</t>
        </is>
      </c>
      <c r="B9" t="inlineStr">
        <is>
          <t>2024-08-30_AFI.AX</t>
        </is>
      </c>
      <c r="C9" s="5" t="inlineStr">
        <is>
          <t>01a152b9-6e67-75da-8adb-b03e5d07fd21</t>
        </is>
      </c>
      <c r="D9" s="4" t="n">
        <v>46314.24607167764</v>
      </c>
      <c r="E9" s="4" t="n">
        <v>46314.24607167772</v>
      </c>
      <c r="F9" t="b">
        <v>1</v>
      </c>
      <c r="G9" t="n">
        <v/>
      </c>
      <c r="H9" t="inlineStr">
        <is>
          <t>2024-08-30 | Dividend | AFI</t>
        </is>
      </c>
      <c r="I9" t="inlineStr">
        <is>
          <t>AFI</t>
        </is>
      </c>
      <c r="J9" s="6" t="n">
        <v>45534</v>
      </c>
      <c r="K9" t="n">
        <v>4000</v>
      </c>
      <c r="L9" t="inlineStr"/>
      <c r="M9" t="inlineStr">
        <is>
          <t>FY2024/25</t>
        </is>
      </c>
      <c r="N9" t="inlineStr">
        <is>
          <t>LOCAL</t>
        </is>
      </c>
      <c r="O9" t="inlineStr">
        <is>
          <t>AUD</t>
        </is>
      </c>
      <c r="P9" t="n">
        <v>0</v>
      </c>
      <c r="Q9" t="inlineStr">
        <is>
          <t>AUD</t>
        </is>
      </c>
      <c r="R9" t="n">
        <v>0.145</v>
      </c>
      <c r="S9" t="inlineStr">
        <is>
          <t>AUD</t>
        </is>
      </c>
      <c r="T9" t="n">
        <v>0</v>
      </c>
      <c r="U9" t="inlineStr">
        <is>
          <t>AUD</t>
        </is>
      </c>
      <c r="V9" t="n">
        <v>0</v>
      </c>
      <c r="W9" t="inlineStr">
        <is>
          <t>AUD</t>
        </is>
      </c>
      <c r="X9" t="n">
        <v>0</v>
      </c>
      <c r="Y9" t="n">
        <v>30</v>
      </c>
      <c r="Z9" t="inlineStr">
        <is>
          <t>AUD</t>
        </is>
      </c>
      <c r="AA9" t="n">
        <v>0</v>
      </c>
      <c r="AB9" t="inlineStr">
        <is>
          <t>AUD</t>
        </is>
      </c>
      <c r="AC9" t="n">
        <v>580</v>
      </c>
      <c r="AD9" t="inlineStr">
        <is>
          <t>AUD</t>
        </is>
      </c>
      <c r="AE9" t="n">
        <v>248.571429</v>
      </c>
      <c r="AF9" t="inlineStr">
        <is>
          <t>AUD</t>
        </is>
      </c>
      <c r="AG9" t="n">
        <v>580</v>
      </c>
      <c r="AH9" t="inlineStr">
        <is>
          <t>AUD</t>
        </is>
      </c>
      <c r="AI9" t="n">
        <v>580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2" customWidth="1" min="1" max="1"/>
    <col width="20.2" customWidth="1" min="2" max="2"/>
    <col width="38.2" customWidth="1" min="3" max="3"/>
    <col width="28.2" customWidth="1" min="4" max="4"/>
    <col width="28.2" customWidth="1" min="5" max="5"/>
    <col width="11.2" customWidth="1" min="6" max="6"/>
    <col width="7.2" customWidth="1" min="7" max="7"/>
    <col width="34.2" customWidth="1" min="8" max="8"/>
    <col width="18.2" customWidth="1" min="9" max="9"/>
    <col width="12.2" customWidth="1" min="10" max="10"/>
    <col width="11.2" customWidth="1" min="11" max="11"/>
    <col width="6.2" customWidth="1" min="12" max="12"/>
    <col width="30.2" customWidth="1" min="13" max="13"/>
    <col width="40.2" customWidth="1" min="14" max="14"/>
    <col width="31.2" customWidth="1" min="15" max="15"/>
    <col width="32.2" customWidth="1" min="16" max="16"/>
    <col width="23.2" customWidth="1" min="17" max="17"/>
    <col width="40.2" customWidth="1" min="18" max="18"/>
    <col width="31.2" customWidth="1" min="19" max="19"/>
    <col width="50.2" customWidth="1" min="20" max="20"/>
    <col width="41.2" customWidth="1" min="21" max="21"/>
  </cols>
  <sheetData>
    <row r="1" ht="32" customHeight="1">
      <c r="A1" s="1" t="inlineStr">
        <is>
          <t>id</t>
        </is>
      </c>
      <c r="B1" s="1" t="inlineStr">
        <is>
          <t>legacy_id</t>
        </is>
      </c>
      <c r="C1" s="1" t="inlineStr">
        <is>
          <t>account_id</t>
        </is>
      </c>
      <c r="D1" s="1" t="inlineStr">
        <is>
          <t>created_at</t>
        </is>
      </c>
      <c r="E1" s="1" t="inlineStr">
        <is>
          <t>updated_at</t>
        </is>
      </c>
      <c r="F1" s="1" t="inlineStr">
        <is>
          <t>is_active</t>
        </is>
      </c>
      <c r="G1" s="1" t="inlineStr">
        <is>
          <t>notes</t>
        </is>
      </c>
      <c r="H1" s="1" t="inlineStr">
        <is>
          <t>description</t>
        </is>
      </c>
      <c r="I1" s="1" t="inlineStr">
        <is>
          <t>instrument__name</t>
        </is>
      </c>
      <c r="J1" s="1" t="inlineStr">
        <is>
          <t>date</t>
        </is>
      </c>
      <c r="K1" s="1" t="inlineStr">
        <is>
          <t>quantity</t>
        </is>
      </c>
      <c r="L1" s="1" t="inlineStr">
        <is>
          <t>file</t>
        </is>
      </c>
      <c r="M1" s="1" t="inlineStr">
        <is>
          <t>calculated_fiscal_year__name</t>
        </is>
      </c>
      <c r="N1" s="1" t="inlineStr">
        <is>
          <t>distribution_amount_per_share_currency</t>
        </is>
      </c>
      <c r="O1" s="1" t="inlineStr">
        <is>
          <t>distribution_amount_per_share</t>
        </is>
      </c>
      <c r="P1" s="1" t="inlineStr">
        <is>
          <t>total_withholding_tax_currency</t>
        </is>
      </c>
      <c r="Q1" s="1" t="inlineStr">
        <is>
          <t>total_withholding_tax</t>
        </is>
      </c>
      <c r="R1" s="1" t="inlineStr">
        <is>
          <t>calculated_total_distribution_currency</t>
        </is>
      </c>
      <c r="S1" s="1" t="inlineStr">
        <is>
          <t>calculated_total_distribution</t>
        </is>
      </c>
      <c r="T1" s="1" t="inlineStr">
        <is>
          <t>calculated_total_distribution_converted_currency</t>
        </is>
      </c>
      <c r="U1" s="1" t="inlineStr">
        <is>
          <t>calculated_total_distribution_converted</t>
        </is>
      </c>
    </row>
    <row r="2">
      <c r="A2" s="5" t="inlineStr">
        <is>
          <t>01a152b9-a552-7319-bd4d-bec3a92cc163</t>
        </is>
      </c>
      <c r="B2" t="inlineStr">
        <is>
          <t>2018-04-04_VDHG.AX</t>
        </is>
      </c>
      <c r="C2" s="5" t="inlineStr">
        <is>
          <t>01a152b9-6e67-75da-8adb-b03e5d07fd21</t>
        </is>
      </c>
      <c r="D2" s="4" t="n">
        <v>46314.24607207645</v>
      </c>
      <c r="E2" s="4" t="n">
        <v>46314.24607207659</v>
      </c>
      <c r="F2" t="b">
        <v>1</v>
      </c>
      <c r="H2" t="inlineStr">
        <is>
          <t>2018-04-04 | Distribution | VDHG</t>
        </is>
      </c>
      <c r="I2" t="inlineStr">
        <is>
          <t>VDHG</t>
        </is>
      </c>
      <c r="J2" s="6" t="n">
        <v>43194</v>
      </c>
      <c r="K2" t="n">
        <v>418</v>
      </c>
      <c r="L2" t="inlineStr"/>
      <c r="M2" t="inlineStr">
        <is>
          <t>FY2017/18</t>
        </is>
      </c>
      <c r="N2" t="inlineStr">
        <is>
          <t>AUD</t>
        </is>
      </c>
      <c r="O2" t="n">
        <v>0.183884</v>
      </c>
      <c r="P2" t="inlineStr">
        <is>
          <t>AUD</t>
        </is>
      </c>
      <c r="Q2" t="n">
        <v>0</v>
      </c>
      <c r="R2" t="inlineStr">
        <is>
          <t>AUD</t>
        </is>
      </c>
      <c r="S2" t="n">
        <v>76.863512</v>
      </c>
      <c r="T2" t="inlineStr">
        <is>
          <t>AUD</t>
        </is>
      </c>
      <c r="U2" t="n">
        <v>76.863512</v>
      </c>
    </row>
    <row r="3">
      <c r="A3" s="5" t="inlineStr">
        <is>
          <t>01a152b9-a557-771c-bb92-af749204c362</t>
        </is>
      </c>
      <c r="B3" t="inlineStr">
        <is>
          <t>2018-07-04_VDHG.AX</t>
        </is>
      </c>
      <c r="C3" s="5" t="inlineStr">
        <is>
          <t>01a152b9-6e67-75da-8adb-b03e5d07fd21</t>
        </is>
      </c>
      <c r="D3" s="4" t="n">
        <v>46314.24607212673</v>
      </c>
      <c r="E3" s="4" t="n">
        <v>46314.24607212687</v>
      </c>
      <c r="F3" t="b">
        <v>1</v>
      </c>
      <c r="H3" t="inlineStr">
        <is>
          <t>2018-07-04 | Distribution | VDHG</t>
        </is>
      </c>
      <c r="I3" t="inlineStr">
        <is>
          <t>VDHG</t>
        </is>
      </c>
      <c r="J3" s="6" t="n">
        <v>43285</v>
      </c>
      <c r="K3" t="n">
        <v>330</v>
      </c>
      <c r="L3" t="inlineStr"/>
      <c r="M3" t="inlineStr">
        <is>
          <t>FY2018/19</t>
        </is>
      </c>
      <c r="N3" t="inlineStr">
        <is>
          <t>AUD</t>
        </is>
      </c>
      <c r="O3" t="n">
        <v>0.372695</v>
      </c>
      <c r="P3" t="inlineStr">
        <is>
          <t>AUD</t>
        </is>
      </c>
      <c r="Q3" t="n">
        <v>0</v>
      </c>
      <c r="R3" t="inlineStr">
        <is>
          <t>AUD</t>
        </is>
      </c>
      <c r="S3" t="n">
        <v>122.98935</v>
      </c>
      <c r="T3" t="inlineStr">
        <is>
          <t>AUD</t>
        </is>
      </c>
      <c r="U3" t="n">
        <v>122.98935</v>
      </c>
    </row>
    <row r="4">
      <c r="A4" s="5" t="inlineStr">
        <is>
          <t>01a152b9-a55a-77db-afe7-9beb95902feb</t>
        </is>
      </c>
      <c r="B4" t="inlineStr">
        <is>
          <t>2018-10-16_VDHG.AX</t>
        </is>
      </c>
      <c r="C4" s="5" t="inlineStr">
        <is>
          <t>01a152b9-6e67-75da-8adb-b03e5d07fd21</t>
        </is>
      </c>
      <c r="D4" s="4" t="n">
        <v>46314.24607216696</v>
      </c>
      <c r="E4" s="4" t="n">
        <v>46314.24607216706</v>
      </c>
      <c r="F4" t="b">
        <v>1</v>
      </c>
      <c r="H4" t="inlineStr">
        <is>
          <t>2018-10-16 | Distribution | VDHG</t>
        </is>
      </c>
      <c r="I4" t="inlineStr">
        <is>
          <t>VDHG</t>
        </is>
      </c>
      <c r="J4" s="6" t="n">
        <v>43389</v>
      </c>
      <c r="K4" t="n">
        <v>330</v>
      </c>
      <c r="L4" t="inlineStr"/>
      <c r="M4" t="inlineStr">
        <is>
          <t>FY2018/19</t>
        </is>
      </c>
      <c r="N4" t="inlineStr">
        <is>
          <t>AUD</t>
        </is>
      </c>
      <c r="O4" t="n">
        <v>0.356152</v>
      </c>
      <c r="P4" t="inlineStr">
        <is>
          <t>AUD</t>
        </is>
      </c>
      <c r="Q4" t="n">
        <v>0</v>
      </c>
      <c r="R4" t="inlineStr">
        <is>
          <t>AUD</t>
        </is>
      </c>
      <c r="S4" t="n">
        <v>117.53016</v>
      </c>
      <c r="T4" t="inlineStr">
        <is>
          <t>AUD</t>
        </is>
      </c>
      <c r="U4" t="n">
        <v>117.53016</v>
      </c>
    </row>
    <row r="5">
      <c r="A5" s="5" t="inlineStr">
        <is>
          <t>01a152b9-a55e-7465-a8ce-bc183accae3a</t>
        </is>
      </c>
      <c r="B5" t="inlineStr">
        <is>
          <t>2019-01-17_VDHG.AX</t>
        </is>
      </c>
      <c r="C5" s="5" t="inlineStr">
        <is>
          <t>01a152b9-6e67-75da-8adb-b03e5d07fd21</t>
        </is>
      </c>
      <c r="D5" s="4" t="n">
        <v>46314.24607220552</v>
      </c>
      <c r="E5" s="4" t="n">
        <v>46314.24607220566</v>
      </c>
      <c r="F5" t="b">
        <v>1</v>
      </c>
      <c r="H5" t="inlineStr">
        <is>
          <t>2019-01-17 | Distribution | VDHG</t>
        </is>
      </c>
      <c r="I5" t="inlineStr">
        <is>
          <t>VDHG</t>
        </is>
      </c>
      <c r="J5" s="6" t="n">
        <v>43482</v>
      </c>
      <c r="K5" t="n">
        <v>330</v>
      </c>
      <c r="L5" t="inlineStr"/>
      <c r="M5" t="inlineStr">
        <is>
          <t>FY2018/19</t>
        </is>
      </c>
      <c r="N5" t="inlineStr">
        <is>
          <t>AUD</t>
        </is>
      </c>
      <c r="O5" t="n">
        <v>0.344362</v>
      </c>
      <c r="P5" t="inlineStr">
        <is>
          <t>AUD</t>
        </is>
      </c>
      <c r="Q5" t="n">
        <v>0</v>
      </c>
      <c r="R5" t="inlineStr">
        <is>
          <t>AUD</t>
        </is>
      </c>
      <c r="S5" t="n">
        <v>113.63946</v>
      </c>
      <c r="T5" t="inlineStr">
        <is>
          <t>AUD</t>
        </is>
      </c>
      <c r="U5" t="n">
        <v>113.63946</v>
      </c>
    </row>
    <row r="6">
      <c r="A6" s="5" t="inlineStr">
        <is>
          <t>01a152b9-a561-7191-b596-59d98173ca7e</t>
        </is>
      </c>
      <c r="B6" t="inlineStr">
        <is>
          <t>2019-04-16_VDHG.AX</t>
        </is>
      </c>
      <c r="C6" s="5" t="inlineStr">
        <is>
          <t>01a152b9-6e67-75da-8adb-b03e5d07fd21</t>
        </is>
      </c>
      <c r="D6" s="4" t="n">
        <v>46314.24607224491</v>
      </c>
      <c r="E6" s="4" t="n">
        <v>46314.24607224502</v>
      </c>
      <c r="F6" t="b">
        <v>1</v>
      </c>
      <c r="H6" t="inlineStr">
        <is>
          <t>2019-04-16 | Distribution | VDHG</t>
        </is>
      </c>
      <c r="I6" t="inlineStr">
        <is>
          <t>VDHG</t>
        </is>
      </c>
      <c r="J6" s="6" t="n">
        <v>43571</v>
      </c>
      <c r="K6" t="n">
        <v>568</v>
      </c>
      <c r="L6" t="inlineStr"/>
      <c r="M6" t="inlineStr">
        <is>
          <t>FY2018/19</t>
        </is>
      </c>
      <c r="N6" t="inlineStr">
        <is>
          <t>AUD</t>
        </is>
      </c>
      <c r="O6" t="n">
        <v>0.448912</v>
      </c>
      <c r="P6" t="inlineStr">
        <is>
          <t>AUD</t>
        </is>
      </c>
      <c r="Q6" t="n">
        <v>0</v>
      </c>
      <c r="R6" t="inlineStr">
        <is>
          <t>AUD</t>
        </is>
      </c>
      <c r="S6" t="n">
        <v>254.982016</v>
      </c>
      <c r="T6" t="inlineStr">
        <is>
          <t>AUD</t>
        </is>
      </c>
      <c r="U6" t="n">
        <v>254.982016</v>
      </c>
    </row>
    <row r="7">
      <c r="A7" s="5" t="inlineStr">
        <is>
          <t>01a152b9-a564-7592-807c-780621dd86c2</t>
        </is>
      </c>
      <c r="B7" t="inlineStr">
        <is>
          <t>2019-07-16_VDHG.AX</t>
        </is>
      </c>
      <c r="C7" s="5" t="inlineStr">
        <is>
          <t>01a152b9-6e67-75da-8adb-b03e5d07fd21</t>
        </is>
      </c>
      <c r="D7" s="4" t="n">
        <v>46314.24607228675</v>
      </c>
      <c r="E7" s="4" t="n">
        <v>46314.24607228689</v>
      </c>
      <c r="F7" t="b">
        <v>1</v>
      </c>
      <c r="H7" t="inlineStr">
        <is>
          <t>2019-07-16 | Distribution | VDHG</t>
        </is>
      </c>
      <c r="I7" t="inlineStr">
        <is>
          <t>VDHG</t>
        </is>
      </c>
      <c r="J7" s="6" t="n">
        <v>43662</v>
      </c>
      <c r="K7" t="n">
        <v>568</v>
      </c>
      <c r="L7" t="inlineStr"/>
      <c r="M7" t="inlineStr">
        <is>
          <t>FY2019/20</t>
        </is>
      </c>
      <c r="N7" t="inlineStr">
        <is>
          <t>AUD</t>
        </is>
      </c>
      <c r="O7" t="n">
        <v>1.048382</v>
      </c>
      <c r="P7" t="inlineStr">
        <is>
          <t>AUD</t>
        </is>
      </c>
      <c r="Q7" t="n">
        <v>0</v>
      </c>
      <c r="R7" t="inlineStr">
        <is>
          <t>AUD</t>
        </is>
      </c>
      <c r="S7" t="n">
        <v>595.4809760000001</v>
      </c>
      <c r="T7" t="inlineStr">
        <is>
          <t>AUD</t>
        </is>
      </c>
      <c r="U7" t="n">
        <v>595.4809760000001</v>
      </c>
    </row>
    <row r="8">
      <c r="A8" s="5" t="inlineStr">
        <is>
          <t>01a152b9-a569-742d-816a-d3a76b9804ae</t>
        </is>
      </c>
      <c r="B8" t="inlineStr">
        <is>
          <t>2019-10-16_VDHG.AX</t>
        </is>
      </c>
      <c r="C8" s="5" t="inlineStr">
        <is>
          <t>01a152b9-6e67-75da-8adb-b03e5d07fd21</t>
        </is>
      </c>
      <c r="D8" s="4" t="n">
        <v>46314.2460723317</v>
      </c>
      <c r="E8" s="4" t="n">
        <v>46314.24607233183</v>
      </c>
      <c r="F8" t="b">
        <v>1</v>
      </c>
      <c r="H8" t="inlineStr">
        <is>
          <t>2019-10-16 | Distribution | VDHG</t>
        </is>
      </c>
      <c r="I8" t="inlineStr">
        <is>
          <t>VDHG</t>
        </is>
      </c>
      <c r="J8" s="6" t="n">
        <v>43754</v>
      </c>
      <c r="K8" t="n">
        <v>1122</v>
      </c>
      <c r="L8" t="inlineStr"/>
      <c r="M8" t="inlineStr">
        <is>
          <t>FY2019/20</t>
        </is>
      </c>
      <c r="N8" t="inlineStr">
        <is>
          <t>AUD</t>
        </is>
      </c>
      <c r="O8" t="n">
        <v>0.380916</v>
      </c>
      <c r="P8" t="inlineStr">
        <is>
          <t>AUD</t>
        </is>
      </c>
      <c r="Q8" t="n">
        <v>0</v>
      </c>
      <c r="R8" t="inlineStr">
        <is>
          <t>AUD</t>
        </is>
      </c>
      <c r="S8" t="n">
        <v>427.387752</v>
      </c>
      <c r="T8" t="inlineStr">
        <is>
          <t>AUD</t>
        </is>
      </c>
      <c r="U8" t="n">
        <v>427.387752</v>
      </c>
    </row>
    <row r="9">
      <c r="A9" s="5" t="inlineStr">
        <is>
          <t>01a152b9-a56c-77d9-9373-9d1dc0c7a168</t>
        </is>
      </c>
      <c r="B9" t="inlineStr">
        <is>
          <t>2020-01-17_VDHG.AX</t>
        </is>
      </c>
      <c r="C9" s="5" t="inlineStr">
        <is>
          <t>01a152b9-6e67-75da-8adb-b03e5d07fd21</t>
        </is>
      </c>
      <c r="D9" s="4" t="n">
        <v>46314.24607237452</v>
      </c>
      <c r="E9" s="4" t="n">
        <v>46314.24607237463</v>
      </c>
      <c r="F9" t="b">
        <v>1</v>
      </c>
      <c r="H9" t="inlineStr">
        <is>
          <t>2020-01-17 | Distribution | VDHG</t>
        </is>
      </c>
      <c r="I9" t="inlineStr">
        <is>
          <t>VDHG</t>
        </is>
      </c>
      <c r="J9" s="6" t="n">
        <v>43847</v>
      </c>
      <c r="K9" t="n">
        <v>1379</v>
      </c>
      <c r="L9" t="inlineStr"/>
      <c r="M9" t="inlineStr">
        <is>
          <t>FY2019/20</t>
        </is>
      </c>
      <c r="N9" t="inlineStr">
        <is>
          <t>AUD</t>
        </is>
      </c>
      <c r="O9" t="n">
        <v>0.332774</v>
      </c>
      <c r="P9" t="inlineStr">
        <is>
          <t>AUD</t>
        </is>
      </c>
      <c r="Q9" t="n">
        <v>0</v>
      </c>
      <c r="R9" t="inlineStr">
        <is>
          <t>AUD</t>
        </is>
      </c>
      <c r="S9" t="n">
        <v>458.895346</v>
      </c>
      <c r="T9" t="inlineStr">
        <is>
          <t>AUD</t>
        </is>
      </c>
      <c r="U9" t="n">
        <v>458.895346</v>
      </c>
    </row>
    <row r="10">
      <c r="A10" s="5" t="inlineStr">
        <is>
          <t>01a152b9-a570-702a-9dde-58199fcb74c6</t>
        </is>
      </c>
      <c r="B10" t="inlineStr">
        <is>
          <t>2020-04-20_VDHG.AX</t>
        </is>
      </c>
      <c r="C10" s="5" t="inlineStr">
        <is>
          <t>01a152b9-6e67-75da-8adb-b03e5d07fd21</t>
        </is>
      </c>
      <c r="D10" s="4" t="n">
        <v>46314.24607241416</v>
      </c>
      <c r="E10" s="4" t="n">
        <v>46314.24607241425</v>
      </c>
      <c r="F10" t="b">
        <v>1</v>
      </c>
      <c r="H10" t="inlineStr">
        <is>
          <t>2020-04-20 | Distribution | VDHG</t>
        </is>
      </c>
      <c r="I10" t="inlineStr">
        <is>
          <t>VDHG</t>
        </is>
      </c>
      <c r="J10" s="6" t="n">
        <v>43941</v>
      </c>
      <c r="K10" t="n">
        <v>1670</v>
      </c>
      <c r="L10" t="inlineStr"/>
      <c r="M10" t="inlineStr">
        <is>
          <t>FY2019/20</t>
        </is>
      </c>
      <c r="N10" t="inlineStr">
        <is>
          <t>AUD</t>
        </is>
      </c>
      <c r="O10" t="n">
        <v>0.449162</v>
      </c>
      <c r="P10" t="inlineStr">
        <is>
          <t>AUD</t>
        </is>
      </c>
      <c r="Q10" t="n">
        <v>0</v>
      </c>
      <c r="R10" t="inlineStr">
        <is>
          <t>AUD</t>
        </is>
      </c>
      <c r="S10" t="n">
        <v>750.10054</v>
      </c>
      <c r="T10" t="inlineStr">
        <is>
          <t>AUD</t>
        </is>
      </c>
      <c r="U10" t="n">
        <v>750.10054</v>
      </c>
    </row>
    <row r="11">
      <c r="A11" s="5" t="inlineStr">
        <is>
          <t>01a152b9-a573-7319-96ed-efebe0d7e26d</t>
        </is>
      </c>
      <c r="B11" t="inlineStr">
        <is>
          <t>2020-07-16_VDHG.AX</t>
        </is>
      </c>
      <c r="C11" s="5" t="inlineStr">
        <is>
          <t>01a152b9-6e67-75da-8adb-b03e5d07fd21</t>
        </is>
      </c>
      <c r="D11" s="4" t="n">
        <v>46314.24607245223</v>
      </c>
      <c r="E11" s="4" t="n">
        <v>46314.24607245233</v>
      </c>
      <c r="F11" t="b">
        <v>1</v>
      </c>
      <c r="H11" t="inlineStr">
        <is>
          <t>2020-07-16 | Distribution | VDHG</t>
        </is>
      </c>
      <c r="I11" t="inlineStr">
        <is>
          <t>VDHG</t>
        </is>
      </c>
      <c r="J11" s="6" t="n">
        <v>44028</v>
      </c>
      <c r="K11" t="n">
        <v>2457</v>
      </c>
      <c r="L11" t="inlineStr"/>
      <c r="M11" t="inlineStr">
        <is>
          <t>FY2020/21</t>
        </is>
      </c>
      <c r="N11" t="inlineStr">
        <is>
          <t>AUD</t>
        </is>
      </c>
      <c r="O11" t="n">
        <v>1.259746</v>
      </c>
      <c r="P11" t="inlineStr">
        <is>
          <t>AUD</t>
        </is>
      </c>
      <c r="Q11" t="n">
        <v>0</v>
      </c>
      <c r="R11" t="inlineStr">
        <is>
          <t>AUD</t>
        </is>
      </c>
      <c r="S11" t="n">
        <v>3095.195922</v>
      </c>
      <c r="T11" t="inlineStr">
        <is>
          <t>AUD</t>
        </is>
      </c>
      <c r="U11" t="n">
        <v>3095.195922</v>
      </c>
    </row>
    <row r="12">
      <c r="A12" s="5" t="inlineStr">
        <is>
          <t>01a152b9-a576-767f-8103-7ca9670630e2</t>
        </is>
      </c>
      <c r="B12" t="inlineStr">
        <is>
          <t>2020-10-16_VDHG.AX</t>
        </is>
      </c>
      <c r="C12" s="5" t="inlineStr">
        <is>
          <t>01a152b9-6e67-75da-8adb-b03e5d07fd21</t>
        </is>
      </c>
      <c r="D12" s="4" t="n">
        <v>46314.24607248943</v>
      </c>
      <c r="E12" s="4" t="n">
        <v>46314.24607248951</v>
      </c>
      <c r="F12" t="b">
        <v>1</v>
      </c>
      <c r="H12" t="inlineStr">
        <is>
          <t>2020-10-16 | Distribution | VDHG</t>
        </is>
      </c>
      <c r="I12" t="inlineStr">
        <is>
          <t>VDHG</t>
        </is>
      </c>
      <c r="J12" s="6" t="n">
        <v>44120</v>
      </c>
      <c r="K12" t="n">
        <v>2457</v>
      </c>
      <c r="L12" t="inlineStr"/>
      <c r="M12" t="inlineStr">
        <is>
          <t>FY2020/21</t>
        </is>
      </c>
      <c r="N12" t="inlineStr">
        <is>
          <t>AUD</t>
        </is>
      </c>
      <c r="O12" t="n">
        <v>0.898915</v>
      </c>
      <c r="P12" t="inlineStr">
        <is>
          <t>AUD</t>
        </is>
      </c>
      <c r="Q12" t="n">
        <v>0</v>
      </c>
      <c r="R12" t="inlineStr">
        <is>
          <t>AUD</t>
        </is>
      </c>
      <c r="S12" t="n">
        <v>2208.634155</v>
      </c>
      <c r="T12" t="inlineStr">
        <is>
          <t>AUD</t>
        </is>
      </c>
      <c r="U12" t="n">
        <v>2208.634155</v>
      </c>
    </row>
    <row r="13">
      <c r="A13" s="5" t="inlineStr">
        <is>
          <t>01a152b9-a579-74f5-8d99-a286b6b34e2b</t>
        </is>
      </c>
      <c r="B13" t="inlineStr">
        <is>
          <t>2021-01-19_VDHG.AX</t>
        </is>
      </c>
      <c r="C13" s="5" t="inlineStr">
        <is>
          <t>01a152b9-6e67-75da-8adb-b03e5d07fd21</t>
        </is>
      </c>
      <c r="D13" s="4" t="n">
        <v>46314.24607252719</v>
      </c>
      <c r="E13" s="4" t="n">
        <v>46314.24607252728</v>
      </c>
      <c r="F13" t="b">
        <v>1</v>
      </c>
      <c r="H13" t="inlineStr">
        <is>
          <t>2021-01-19 | Distribution | VDHG</t>
        </is>
      </c>
      <c r="I13" t="inlineStr">
        <is>
          <t>VDHG</t>
        </is>
      </c>
      <c r="J13" s="6" t="n">
        <v>44215</v>
      </c>
      <c r="K13" t="n">
        <v>2457</v>
      </c>
      <c r="L13" t="inlineStr"/>
      <c r="M13" t="inlineStr">
        <is>
          <t>FY2020/21</t>
        </is>
      </c>
      <c r="N13" t="inlineStr">
        <is>
          <t>AUD</t>
        </is>
      </c>
      <c r="O13" t="n">
        <v>0.993767</v>
      </c>
      <c r="P13" t="inlineStr">
        <is>
          <t>AUD</t>
        </is>
      </c>
      <c r="Q13" t="n">
        <v>0</v>
      </c>
      <c r="R13" t="inlineStr">
        <is>
          <t>AUD</t>
        </is>
      </c>
      <c r="S13" t="n">
        <v>2441.685519</v>
      </c>
      <c r="T13" t="inlineStr">
        <is>
          <t>AUD</t>
        </is>
      </c>
      <c r="U13" t="n">
        <v>2441.685519</v>
      </c>
    </row>
    <row r="14">
      <c r="A14" s="5" t="inlineStr">
        <is>
          <t>01a152b9-a57d-70bc-adad-ba05615763d5</t>
        </is>
      </c>
      <c r="B14" t="inlineStr">
        <is>
          <t>2021-04-20_VDHG.AX</t>
        </is>
      </c>
      <c r="C14" s="5" t="inlineStr">
        <is>
          <t>01a152b9-6e67-75da-8adb-b03e5d07fd21</t>
        </is>
      </c>
      <c r="D14" s="4" t="n">
        <v>46314.24607257024</v>
      </c>
      <c r="E14" s="4" t="n">
        <v>46314.24607257033</v>
      </c>
      <c r="F14" t="b">
        <v>1</v>
      </c>
      <c r="H14" t="inlineStr">
        <is>
          <t>2021-04-20 | Distribution | VDHG</t>
        </is>
      </c>
      <c r="I14" t="inlineStr">
        <is>
          <t>VDHG</t>
        </is>
      </c>
      <c r="J14" s="6" t="n">
        <v>44306</v>
      </c>
      <c r="K14" t="n">
        <v>2457</v>
      </c>
      <c r="L14" t="inlineStr"/>
      <c r="M14" t="inlineStr">
        <is>
          <t>FY2020/21</t>
        </is>
      </c>
      <c r="N14" t="inlineStr">
        <is>
          <t>AUD</t>
        </is>
      </c>
      <c r="O14" t="n">
        <v>2.009896</v>
      </c>
      <c r="P14" t="inlineStr">
        <is>
          <t>AUD</t>
        </is>
      </c>
      <c r="Q14" t="n">
        <v>0</v>
      </c>
      <c r="R14" t="inlineStr">
        <is>
          <t>AUD</t>
        </is>
      </c>
      <c r="S14" t="n">
        <v>4938.314472</v>
      </c>
      <c r="T14" t="inlineStr">
        <is>
          <t>AUD</t>
        </is>
      </c>
      <c r="U14" t="n">
        <v>4938.314472</v>
      </c>
    </row>
    <row r="15">
      <c r="A15" s="5" t="inlineStr">
        <is>
          <t>01a152b9-a581-73ec-b6ed-d0adefd7af47</t>
        </is>
      </c>
      <c r="B15" t="inlineStr">
        <is>
          <t>2021-07-16_VDHG.AX</t>
        </is>
      </c>
      <c r="C15" s="5" t="inlineStr">
        <is>
          <t>01a152b9-6e67-75da-8adb-b03e5d07fd21</t>
        </is>
      </c>
      <c r="D15" s="4" t="n">
        <v>46314.24607261377</v>
      </c>
      <c r="E15" s="4" t="n">
        <v>46314.24607261389</v>
      </c>
      <c r="F15" t="b">
        <v>1</v>
      </c>
      <c r="H15" t="inlineStr">
        <is>
          <t>2021-07-16 | Distribution | VDHG</t>
        </is>
      </c>
      <c r="I15" t="inlineStr">
        <is>
          <t>VDHG</t>
        </is>
      </c>
      <c r="J15" s="6" t="n">
        <v>44393</v>
      </c>
      <c r="K15" t="n">
        <v>2457</v>
      </c>
      <c r="L15" t="inlineStr"/>
      <c r="M15" t="inlineStr">
        <is>
          <t>FY2021/22</t>
        </is>
      </c>
      <c r="N15" t="inlineStr">
        <is>
          <t>AUD</t>
        </is>
      </c>
      <c r="O15" t="n">
        <v>1.624957</v>
      </c>
      <c r="P15" t="inlineStr">
        <is>
          <t>AUD</t>
        </is>
      </c>
      <c r="Q15" t="n">
        <v>0</v>
      </c>
      <c r="R15" t="inlineStr">
        <is>
          <t>AUD</t>
        </is>
      </c>
      <c r="S15" t="n">
        <v>3992.519349</v>
      </c>
      <c r="T15" t="inlineStr">
        <is>
          <t>AUD</t>
        </is>
      </c>
      <c r="U15" t="n">
        <v>3992.519349</v>
      </c>
    </row>
    <row r="16">
      <c r="A16" s="5" t="inlineStr">
        <is>
          <t>01a152b9-a584-76ea-b3cf-5bb7ed2d9d71</t>
        </is>
      </c>
      <c r="B16" t="inlineStr">
        <is>
          <t>2021-10-18_VDHG.AX</t>
        </is>
      </c>
      <c r="C16" s="5" t="inlineStr">
        <is>
          <t>01a152b9-6e67-75da-8adb-b03e5d07fd21</t>
        </is>
      </c>
      <c r="D16" s="4" t="n">
        <v>46314.24607265327</v>
      </c>
      <c r="E16" s="4" t="n">
        <v>46314.24607265335</v>
      </c>
      <c r="F16" t="b">
        <v>1</v>
      </c>
      <c r="H16" t="inlineStr">
        <is>
          <t>2021-10-18 | Distribution | VDHG</t>
        </is>
      </c>
      <c r="I16" t="inlineStr">
        <is>
          <t>VDHG</t>
        </is>
      </c>
      <c r="J16" s="6" t="n">
        <v>44487</v>
      </c>
      <c r="K16" t="n">
        <v>2457</v>
      </c>
      <c r="L16" t="inlineStr"/>
      <c r="M16" t="inlineStr">
        <is>
          <t>FY2021/22</t>
        </is>
      </c>
      <c r="N16" t="inlineStr">
        <is>
          <t>AUD</t>
        </is>
      </c>
      <c r="O16" t="n">
        <v>0.383806</v>
      </c>
      <c r="P16" t="inlineStr">
        <is>
          <t>AUD</t>
        </is>
      </c>
      <c r="Q16" t="n">
        <v>0</v>
      </c>
      <c r="R16" t="inlineStr">
        <is>
          <t>AUD</t>
        </is>
      </c>
      <c r="S16" t="n">
        <v>943.011342</v>
      </c>
      <c r="T16" t="inlineStr">
        <is>
          <t>AUD</t>
        </is>
      </c>
      <c r="U16" t="n">
        <v>943.011342</v>
      </c>
    </row>
    <row r="17">
      <c r="A17" s="5" t="inlineStr">
        <is>
          <t>01a152b9-a587-71d4-9101-4cd541af2b31</t>
        </is>
      </c>
      <c r="B17" t="inlineStr">
        <is>
          <t>2022-01-19_VDHG.AX</t>
        </is>
      </c>
      <c r="C17" s="5" t="inlineStr">
        <is>
          <t>01a152b9-6e67-75da-8adb-b03e5d07fd21</t>
        </is>
      </c>
      <c r="D17" s="4" t="n">
        <v>46314.24607268723</v>
      </c>
      <c r="E17" s="4" t="n">
        <v>46314.24607268732</v>
      </c>
      <c r="F17" t="b">
        <v>1</v>
      </c>
      <c r="H17" t="inlineStr">
        <is>
          <t>2022-01-19 | Distribution | VDHG</t>
        </is>
      </c>
      <c r="I17" t="inlineStr">
        <is>
          <t>VDHG</t>
        </is>
      </c>
      <c r="J17" s="6" t="n">
        <v>44580</v>
      </c>
      <c r="K17" t="n">
        <v>2457</v>
      </c>
      <c r="L17" t="inlineStr"/>
      <c r="M17" t="inlineStr">
        <is>
          <t>FY2021/22</t>
        </is>
      </c>
      <c r="N17" t="inlineStr">
        <is>
          <t>AUD</t>
        </is>
      </c>
      <c r="O17" t="n">
        <v>0.280213</v>
      </c>
      <c r="P17" t="inlineStr">
        <is>
          <t>AUD</t>
        </is>
      </c>
      <c r="Q17" t="n">
        <v>0</v>
      </c>
      <c r="R17" t="inlineStr">
        <is>
          <t>AUD</t>
        </is>
      </c>
      <c r="S17" t="n">
        <v>688.483341</v>
      </c>
      <c r="T17" t="inlineStr">
        <is>
          <t>AUD</t>
        </is>
      </c>
      <c r="U17" t="n">
        <v>688.483341</v>
      </c>
    </row>
    <row r="18">
      <c r="A18" s="5" t="inlineStr">
        <is>
          <t>01a152b9-a58a-72a2-be9e-8171352420da</t>
        </is>
      </c>
      <c r="B18" t="inlineStr">
        <is>
          <t>2022-04-20_VDHG.AX</t>
        </is>
      </c>
      <c r="C18" s="5" t="inlineStr">
        <is>
          <t>01a152b9-6e67-75da-8adb-b03e5d07fd21</t>
        </is>
      </c>
      <c r="D18" s="4" t="n">
        <v>46314.24607272293</v>
      </c>
      <c r="E18" s="4" t="n">
        <v>46314.24607272301</v>
      </c>
      <c r="F18" t="b">
        <v>1</v>
      </c>
      <c r="H18" t="inlineStr">
        <is>
          <t>2022-04-20 | Distribution | VDHG</t>
        </is>
      </c>
      <c r="I18" t="inlineStr">
        <is>
          <t>VDHG</t>
        </is>
      </c>
      <c r="J18" s="6" t="n">
        <v>44671</v>
      </c>
      <c r="K18" t="n">
        <v>2457</v>
      </c>
      <c r="L18" t="inlineStr"/>
      <c r="M18" t="inlineStr">
        <is>
          <t>FY2021/22</t>
        </is>
      </c>
      <c r="N18" t="inlineStr">
        <is>
          <t>AUD</t>
        </is>
      </c>
      <c r="O18" t="n">
        <v>0.7526080000000001</v>
      </c>
      <c r="P18" t="inlineStr">
        <is>
          <t>AUD</t>
        </is>
      </c>
      <c r="Q18" t="n">
        <v>0</v>
      </c>
      <c r="R18" t="inlineStr">
        <is>
          <t>AUD</t>
        </is>
      </c>
      <c r="S18" t="n">
        <v>1849.157856</v>
      </c>
      <c r="T18" t="inlineStr">
        <is>
          <t>AUD</t>
        </is>
      </c>
      <c r="U18" t="n">
        <v>1849.157856</v>
      </c>
    </row>
    <row r="19">
      <c r="A19" s="5" t="inlineStr">
        <is>
          <t>01a152b9-a58e-73b0-8560-a360b67dbf79</t>
        </is>
      </c>
      <c r="B19" t="inlineStr">
        <is>
          <t>2015-07-16_VGS.AX</t>
        </is>
      </c>
      <c r="C19" s="5" t="inlineStr">
        <is>
          <t>01a152b9-6e67-75da-8adb-b03e5d07fd21</t>
        </is>
      </c>
      <c r="D19" s="4" t="n">
        <v>46314.24607276237</v>
      </c>
      <c r="E19" s="4" t="n">
        <v>46314.24607276246</v>
      </c>
      <c r="F19" t="b">
        <v>1</v>
      </c>
      <c r="H19" t="inlineStr">
        <is>
          <t>2015-07-16 | Distribution | VGS</t>
        </is>
      </c>
      <c r="I19" t="inlineStr">
        <is>
          <t>VGS</t>
        </is>
      </c>
      <c r="J19" s="6" t="n">
        <v>42201</v>
      </c>
      <c r="K19" t="n">
        <v>500</v>
      </c>
      <c r="L19" t="inlineStr"/>
      <c r="M19" t="inlineStr">
        <is>
          <t>FY2015/16</t>
        </is>
      </c>
      <c r="N19" t="inlineStr">
        <is>
          <t>AUD</t>
        </is>
      </c>
      <c r="O19" t="n">
        <v>0.718283</v>
      </c>
      <c r="P19" t="inlineStr">
        <is>
          <t>AUD</t>
        </is>
      </c>
      <c r="Q19" t="n">
        <v>0</v>
      </c>
      <c r="R19" t="inlineStr">
        <is>
          <t>AUD</t>
        </is>
      </c>
      <c r="S19" t="n">
        <v>359.1415</v>
      </c>
      <c r="T19" t="inlineStr">
        <is>
          <t>AUD</t>
        </is>
      </c>
      <c r="U19" t="n">
        <v>359.1415</v>
      </c>
    </row>
    <row r="20">
      <c r="A20" s="5" t="inlineStr">
        <is>
          <t>01a152b9-a591-7713-a028-876bb5e13430</t>
        </is>
      </c>
      <c r="B20" t="inlineStr">
        <is>
          <t>2015-10-19_VGS.AX</t>
        </is>
      </c>
      <c r="C20" s="5" t="inlineStr">
        <is>
          <t>01a152b9-6e67-75da-8adb-b03e5d07fd21</t>
        </is>
      </c>
      <c r="D20" s="4" t="n">
        <v>46314.2460727984</v>
      </c>
      <c r="E20" s="4" t="n">
        <v>46314.24607279847</v>
      </c>
      <c r="F20" t="b">
        <v>1</v>
      </c>
      <c r="H20" t="inlineStr">
        <is>
          <t>2015-10-19 | Distribution | VGS</t>
        </is>
      </c>
      <c r="I20" t="inlineStr">
        <is>
          <t>VGS</t>
        </is>
      </c>
      <c r="J20" s="6" t="n">
        <v>42296</v>
      </c>
      <c r="K20" t="n">
        <v>850</v>
      </c>
      <c r="L20" t="inlineStr"/>
      <c r="M20" t="inlineStr">
        <is>
          <t>FY2015/16</t>
        </is>
      </c>
      <c r="N20" t="inlineStr">
        <is>
          <t>AUD</t>
        </is>
      </c>
      <c r="O20" t="n">
        <v>0.298119</v>
      </c>
      <c r="P20" t="inlineStr">
        <is>
          <t>AUD</t>
        </is>
      </c>
      <c r="Q20" t="n">
        <v>0</v>
      </c>
      <c r="R20" t="inlineStr">
        <is>
          <t>AUD</t>
        </is>
      </c>
      <c r="S20" t="n">
        <v>253.40115</v>
      </c>
      <c r="T20" t="inlineStr">
        <is>
          <t>AUD</t>
        </is>
      </c>
      <c r="U20" t="n">
        <v>253.40115</v>
      </c>
    </row>
    <row r="21">
      <c r="A21" s="5" t="inlineStr">
        <is>
          <t>01a152b9-a594-7778-af12-81fe6456256e</t>
        </is>
      </c>
      <c r="B21" t="inlineStr">
        <is>
          <t>2016-01-19_VGS.AX</t>
        </is>
      </c>
      <c r="C21" s="5" t="inlineStr">
        <is>
          <t>01a152b9-6e67-75da-8adb-b03e5d07fd21</t>
        </is>
      </c>
      <c r="D21" s="4" t="n">
        <v>46314.24607282916</v>
      </c>
      <c r="E21" s="4" t="n">
        <v>46314.24607282923</v>
      </c>
      <c r="F21" t="b">
        <v>1</v>
      </c>
      <c r="H21" t="inlineStr">
        <is>
          <t>2016-01-19 | Distribution | VGS</t>
        </is>
      </c>
      <c r="I21" t="inlineStr">
        <is>
          <t>VGS</t>
        </is>
      </c>
      <c r="J21" s="6" t="n">
        <v>42388</v>
      </c>
      <c r="K21" t="n">
        <v>850</v>
      </c>
      <c r="L21" t="inlineStr"/>
      <c r="M21" t="inlineStr">
        <is>
          <t>FY2015/16</t>
        </is>
      </c>
      <c r="N21" t="inlineStr">
        <is>
          <t>AUD</t>
        </is>
      </c>
      <c r="O21" t="n">
        <v>0.267259</v>
      </c>
      <c r="P21" t="inlineStr">
        <is>
          <t>AUD</t>
        </is>
      </c>
      <c r="Q21" t="n">
        <v>0</v>
      </c>
      <c r="R21" t="inlineStr">
        <is>
          <t>AUD</t>
        </is>
      </c>
      <c r="S21" t="n">
        <v>227.17015</v>
      </c>
      <c r="T21" t="inlineStr">
        <is>
          <t>AUD</t>
        </is>
      </c>
      <c r="U21" t="n">
        <v>227.17015</v>
      </c>
    </row>
    <row r="22">
      <c r="A22" s="5" t="inlineStr">
        <is>
          <t>01a152b9-a597-72c5-bf0c-8b8d9e9212b9</t>
        </is>
      </c>
      <c r="B22" t="inlineStr">
        <is>
          <t>2016-04-18_VGS.AX</t>
        </is>
      </c>
      <c r="C22" s="5" t="inlineStr">
        <is>
          <t>01a152b9-6e67-75da-8adb-b03e5d07fd21</t>
        </is>
      </c>
      <c r="D22" s="4" t="n">
        <v>46314.24607286442</v>
      </c>
      <c r="E22" s="4" t="n">
        <v>46314.2460728645</v>
      </c>
      <c r="F22" t="b">
        <v>1</v>
      </c>
      <c r="H22" t="inlineStr">
        <is>
          <t>2016-04-18 | Distribution | VGS</t>
        </is>
      </c>
      <c r="I22" t="inlineStr">
        <is>
          <t>VGS</t>
        </is>
      </c>
      <c r="J22" s="6" t="n">
        <v>42478</v>
      </c>
      <c r="K22" t="n">
        <v>1050</v>
      </c>
      <c r="L22" t="inlineStr"/>
      <c r="M22" t="inlineStr">
        <is>
          <t>FY2015/16</t>
        </is>
      </c>
      <c r="N22" t="inlineStr">
        <is>
          <t>AUD</t>
        </is>
      </c>
      <c r="O22" t="n">
        <v>0.236453</v>
      </c>
      <c r="P22" t="inlineStr">
        <is>
          <t>AUD</t>
        </is>
      </c>
      <c r="Q22" t="n">
        <v>0</v>
      </c>
      <c r="R22" t="inlineStr">
        <is>
          <t>AUD</t>
        </is>
      </c>
      <c r="S22" t="n">
        <v>248.27565</v>
      </c>
      <c r="T22" t="inlineStr">
        <is>
          <t>AUD</t>
        </is>
      </c>
      <c r="U22" t="n">
        <v>248.27565</v>
      </c>
    </row>
    <row r="23">
      <c r="A23" s="5" t="inlineStr">
        <is>
          <t>01a152b9-a59a-71a5-957c-47c6cfdd89eb</t>
        </is>
      </c>
      <c r="B23" t="inlineStr">
        <is>
          <t>2016-07-18_VGS.AX</t>
        </is>
      </c>
      <c r="C23" s="5" t="inlineStr">
        <is>
          <t>01a152b9-6e67-75da-8adb-b03e5d07fd21</t>
        </is>
      </c>
      <c r="D23" s="4" t="n">
        <v>46314.24607290333</v>
      </c>
      <c r="E23" s="4" t="n">
        <v>46314.24607290345</v>
      </c>
      <c r="F23" t="b">
        <v>1</v>
      </c>
      <c r="H23" t="inlineStr">
        <is>
          <t>2016-07-18 | Distribution | VGS</t>
        </is>
      </c>
      <c r="I23" t="inlineStr">
        <is>
          <t>VGS</t>
        </is>
      </c>
      <c r="J23" s="6" t="n">
        <v>42569</v>
      </c>
      <c r="K23" t="n">
        <v>1250</v>
      </c>
      <c r="L23" t="inlineStr"/>
      <c r="M23" t="inlineStr">
        <is>
          <t>FY2016/17</t>
        </is>
      </c>
      <c r="N23" t="inlineStr">
        <is>
          <t>AUD</t>
        </is>
      </c>
      <c r="O23" t="n">
        <v>1.492126</v>
      </c>
      <c r="P23" t="inlineStr">
        <is>
          <t>AUD</t>
        </is>
      </c>
      <c r="Q23" t="n">
        <v>0</v>
      </c>
      <c r="R23" t="inlineStr">
        <is>
          <t>AUD</t>
        </is>
      </c>
      <c r="S23" t="n">
        <v>1865.1575</v>
      </c>
      <c r="T23" t="inlineStr">
        <is>
          <t>AUD</t>
        </is>
      </c>
      <c r="U23" t="n">
        <v>1865.1575</v>
      </c>
    </row>
    <row r="24">
      <c r="A24" s="5" t="inlineStr">
        <is>
          <t>01a152b9-a59d-70a7-b666-3565974de50b</t>
        </is>
      </c>
      <c r="B24" t="inlineStr">
        <is>
          <t>2016-10-19_VGS.AX</t>
        </is>
      </c>
      <c r="C24" s="5" t="inlineStr">
        <is>
          <t>01a152b9-6e67-75da-8adb-b03e5d07fd21</t>
        </is>
      </c>
      <c r="D24" s="4" t="n">
        <v>46314.24607293813</v>
      </c>
      <c r="E24" s="4" t="n">
        <v>46314.24607293821</v>
      </c>
      <c r="F24" t="b">
        <v>1</v>
      </c>
      <c r="H24" t="inlineStr">
        <is>
          <t>2016-10-19 | Distribution | VGS</t>
        </is>
      </c>
      <c r="I24" t="inlineStr">
        <is>
          <t>VGS</t>
        </is>
      </c>
      <c r="J24" s="6" t="n">
        <v>42662</v>
      </c>
      <c r="K24" t="n">
        <v>1450</v>
      </c>
      <c r="L24" t="inlineStr"/>
      <c r="M24" t="inlineStr">
        <is>
          <t>FY2016/17</t>
        </is>
      </c>
      <c r="N24" t="inlineStr">
        <is>
          <t>AUD</t>
        </is>
      </c>
      <c r="O24" t="n">
        <v>0.249066</v>
      </c>
      <c r="P24" t="inlineStr">
        <is>
          <t>AUD</t>
        </is>
      </c>
      <c r="Q24" t="n">
        <v>0</v>
      </c>
      <c r="R24" t="inlineStr">
        <is>
          <t>AUD</t>
        </is>
      </c>
      <c r="S24" t="n">
        <v>361.1457</v>
      </c>
      <c r="T24" t="inlineStr">
        <is>
          <t>AUD</t>
        </is>
      </c>
      <c r="U24" t="n">
        <v>361.1457</v>
      </c>
    </row>
    <row r="25">
      <c r="A25" s="5" t="inlineStr">
        <is>
          <t>01a152b9-a5a0-73ce-8583-5e731cdb4e2a</t>
        </is>
      </c>
      <c r="B25" t="inlineStr">
        <is>
          <t>2017-01-04_VGS.AX</t>
        </is>
      </c>
      <c r="C25" s="5" t="inlineStr">
        <is>
          <t>01a152b9-6e67-75da-8adb-b03e5d07fd21</t>
        </is>
      </c>
      <c r="D25" s="4" t="n">
        <v>46314.24607297469</v>
      </c>
      <c r="E25" s="4" t="n">
        <v>46314.24607297481</v>
      </c>
      <c r="F25" t="b">
        <v>1</v>
      </c>
      <c r="H25" t="inlineStr">
        <is>
          <t>2017-01-04 | Distribution | VGS</t>
        </is>
      </c>
      <c r="I25" t="inlineStr">
        <is>
          <t>VGS</t>
        </is>
      </c>
      <c r="J25" s="6" t="n">
        <v>42739</v>
      </c>
      <c r="K25" t="n">
        <v>1650</v>
      </c>
      <c r="L25" t="inlineStr"/>
      <c r="M25" t="inlineStr">
        <is>
          <t>FY2016/17</t>
        </is>
      </c>
      <c r="N25" t="inlineStr">
        <is>
          <t>AUD</t>
        </is>
      </c>
      <c r="O25" t="n">
        <v>0.355383</v>
      </c>
      <c r="P25" t="inlineStr">
        <is>
          <t>AUD</t>
        </is>
      </c>
      <c r="Q25" t="n">
        <v>0</v>
      </c>
      <c r="R25" t="inlineStr">
        <is>
          <t>AUD</t>
        </is>
      </c>
      <c r="S25" t="n">
        <v>586.38195</v>
      </c>
      <c r="T25" t="inlineStr">
        <is>
          <t>AUD</t>
        </is>
      </c>
      <c r="U25" t="n">
        <v>586.38195</v>
      </c>
    </row>
    <row r="26">
      <c r="A26" s="5" t="inlineStr">
        <is>
          <t>01a152b9-a5a3-7169-9661-86a7063f12ef</t>
        </is>
      </c>
      <c r="B26" t="inlineStr">
        <is>
          <t>2017-04-04_VGS.AX</t>
        </is>
      </c>
      <c r="C26" s="5" t="inlineStr">
        <is>
          <t>01a152b9-6e67-75da-8adb-b03e5d07fd21</t>
        </is>
      </c>
      <c r="D26" s="4" t="n">
        <v>46314.24607300778</v>
      </c>
      <c r="E26" s="4" t="n">
        <v>46314.24607300786</v>
      </c>
      <c r="F26" t="b">
        <v>1</v>
      </c>
      <c r="H26" t="inlineStr">
        <is>
          <t>2017-04-04 | Distribution | VGS</t>
        </is>
      </c>
      <c r="I26" t="inlineStr">
        <is>
          <t>VGS</t>
        </is>
      </c>
      <c r="J26" s="6" t="n">
        <v>42829</v>
      </c>
      <c r="K26" t="n">
        <v>1650</v>
      </c>
      <c r="L26" t="inlineStr"/>
      <c r="M26" t="inlineStr">
        <is>
          <t>FY2016/17</t>
        </is>
      </c>
      <c r="N26" t="inlineStr">
        <is>
          <t>AUD</t>
        </is>
      </c>
      <c r="O26" t="n">
        <v>0.265001</v>
      </c>
      <c r="P26" t="inlineStr">
        <is>
          <t>AUD</t>
        </is>
      </c>
      <c r="Q26" t="n">
        <v>0</v>
      </c>
      <c r="R26" t="inlineStr">
        <is>
          <t>AUD</t>
        </is>
      </c>
      <c r="S26" t="n">
        <v>437.25165</v>
      </c>
      <c r="T26" t="inlineStr">
        <is>
          <t>AUD</t>
        </is>
      </c>
      <c r="U26" t="n">
        <v>437.25165</v>
      </c>
    </row>
    <row r="27">
      <c r="A27" s="5" t="inlineStr">
        <is>
          <t>01a152b9-a5a6-742e-9220-af800cc7da8e</t>
        </is>
      </c>
      <c r="B27" t="inlineStr">
        <is>
          <t>2017-07-04_VGS.AX</t>
        </is>
      </c>
      <c r="C27" s="5" t="inlineStr">
        <is>
          <t>01a152b9-6e67-75da-8adb-b03e5d07fd21</t>
        </is>
      </c>
      <c r="D27" s="4" t="n">
        <v>46314.24607303947</v>
      </c>
      <c r="E27" s="4" t="n">
        <v>46314.24607303955</v>
      </c>
      <c r="F27" t="b">
        <v>1</v>
      </c>
      <c r="H27" t="inlineStr">
        <is>
          <t>2017-07-04 | Distribution | VGS</t>
        </is>
      </c>
      <c r="I27" t="inlineStr">
        <is>
          <t>VGS</t>
        </is>
      </c>
      <c r="J27" s="6" t="n">
        <v>42920</v>
      </c>
      <c r="K27" t="n">
        <v>1650</v>
      </c>
      <c r="L27" t="inlineStr"/>
      <c r="M27" t="inlineStr">
        <is>
          <t>FY2017/18</t>
        </is>
      </c>
      <c r="N27" t="inlineStr">
        <is>
          <t>AUD</t>
        </is>
      </c>
      <c r="O27" t="n">
        <v>0.985136</v>
      </c>
      <c r="P27" t="inlineStr">
        <is>
          <t>AUD</t>
        </is>
      </c>
      <c r="Q27" t="n">
        <v>0</v>
      </c>
      <c r="R27" t="inlineStr">
        <is>
          <t>AUD</t>
        </is>
      </c>
      <c r="S27" t="n">
        <v>1625.4744</v>
      </c>
      <c r="T27" t="inlineStr">
        <is>
          <t>AUD</t>
        </is>
      </c>
      <c r="U27" t="n">
        <v>1625.4744</v>
      </c>
    </row>
    <row r="28">
      <c r="A28" s="5" t="inlineStr">
        <is>
          <t>01a152b9-a5a9-7746-bc81-8f5b40879279</t>
        </is>
      </c>
      <c r="B28" t="inlineStr">
        <is>
          <t>2017-10-03_VGS.AX</t>
        </is>
      </c>
      <c r="C28" s="5" t="inlineStr">
        <is>
          <t>01a152b9-6e67-75da-8adb-b03e5d07fd21</t>
        </is>
      </c>
      <c r="D28" s="4" t="n">
        <v>46314.24607307352</v>
      </c>
      <c r="E28" s="4" t="n">
        <v>46314.2460730736</v>
      </c>
      <c r="F28" t="b">
        <v>1</v>
      </c>
      <c r="H28" t="inlineStr">
        <is>
          <t>2017-10-03 | Distribution | VGS</t>
        </is>
      </c>
      <c r="I28" t="inlineStr">
        <is>
          <t>VGS</t>
        </is>
      </c>
      <c r="J28" s="6" t="n">
        <v>43011</v>
      </c>
      <c r="K28" t="n">
        <v>1650</v>
      </c>
      <c r="L28" t="inlineStr"/>
      <c r="M28" t="inlineStr">
        <is>
          <t>FY2017/18</t>
        </is>
      </c>
      <c r="N28" t="inlineStr">
        <is>
          <t>AUD</t>
        </is>
      </c>
      <c r="O28" t="n">
        <v>0.237575</v>
      </c>
      <c r="P28" t="inlineStr">
        <is>
          <t>AUD</t>
        </is>
      </c>
      <c r="Q28" t="n">
        <v>0</v>
      </c>
      <c r="R28" t="inlineStr">
        <is>
          <t>AUD</t>
        </is>
      </c>
      <c r="S28" t="n">
        <v>391.99875</v>
      </c>
      <c r="T28" t="inlineStr">
        <is>
          <t>AUD</t>
        </is>
      </c>
      <c r="U28" t="n">
        <v>391.99875</v>
      </c>
    </row>
    <row r="29">
      <c r="A29" s="5" t="inlineStr">
        <is>
          <t>01a152b9-a5ab-7796-b8e9-7248732c400c</t>
        </is>
      </c>
      <c r="B29" t="inlineStr">
        <is>
          <t>2018-01-03_VGS.AX</t>
        </is>
      </c>
      <c r="C29" s="5" t="inlineStr">
        <is>
          <t>01a152b9-6e67-75da-8adb-b03e5d07fd21</t>
        </is>
      </c>
      <c r="D29" s="4" t="n">
        <v>46314.24607310436</v>
      </c>
      <c r="E29" s="4" t="n">
        <v>46314.24607310443</v>
      </c>
      <c r="F29" t="b">
        <v>1</v>
      </c>
      <c r="H29" t="inlineStr">
        <is>
          <t>2018-01-03 | Distribution | VGS</t>
        </is>
      </c>
      <c r="I29" t="inlineStr">
        <is>
          <t>VGS</t>
        </is>
      </c>
      <c r="J29" s="6" t="n">
        <v>43103</v>
      </c>
      <c r="K29" t="n">
        <v>1650</v>
      </c>
      <c r="L29" t="inlineStr"/>
      <c r="M29" t="inlineStr">
        <is>
          <t>FY2017/18</t>
        </is>
      </c>
      <c r="N29" t="inlineStr">
        <is>
          <t>AUD</t>
        </is>
      </c>
      <c r="O29" t="n">
        <v>0.303604</v>
      </c>
      <c r="P29" t="inlineStr">
        <is>
          <t>AUD</t>
        </is>
      </c>
      <c r="Q29" t="n">
        <v>0</v>
      </c>
      <c r="R29" t="inlineStr">
        <is>
          <t>AUD</t>
        </is>
      </c>
      <c r="S29" t="n">
        <v>500.9466</v>
      </c>
      <c r="T29" t="inlineStr">
        <is>
          <t>AUD</t>
        </is>
      </c>
      <c r="U29" t="n">
        <v>500.9466</v>
      </c>
    </row>
    <row r="30">
      <c r="A30" s="5" t="inlineStr">
        <is>
          <t>01a152b9-a5af-7546-b4b5-687f5a52581d</t>
        </is>
      </c>
      <c r="B30" t="inlineStr">
        <is>
          <t>2018-04-04_VGS.AX</t>
        </is>
      </c>
      <c r="C30" s="5" t="inlineStr">
        <is>
          <t>01a152b9-6e67-75da-8adb-b03e5d07fd21</t>
        </is>
      </c>
      <c r="D30" s="4" t="n">
        <v>46314.24607314364</v>
      </c>
      <c r="E30" s="4" t="n">
        <v>46314.24607314372</v>
      </c>
      <c r="F30" t="b">
        <v>1</v>
      </c>
      <c r="H30" t="inlineStr">
        <is>
          <t>2018-04-04 | Distribution | VGS</t>
        </is>
      </c>
      <c r="I30" t="inlineStr">
        <is>
          <t>VGS</t>
        </is>
      </c>
      <c r="J30" s="6" t="n">
        <v>43194</v>
      </c>
      <c r="K30" t="n">
        <v>1650</v>
      </c>
      <c r="L30" t="inlineStr"/>
      <c r="M30" t="inlineStr">
        <is>
          <t>FY2017/18</t>
        </is>
      </c>
      <c r="N30" t="inlineStr">
        <is>
          <t>AUD</t>
        </is>
      </c>
      <c r="O30" t="n">
        <v>0.209675</v>
      </c>
      <c r="P30" t="inlineStr">
        <is>
          <t>AUD</t>
        </is>
      </c>
      <c r="Q30" t="n">
        <v>0</v>
      </c>
      <c r="R30" t="inlineStr">
        <is>
          <t>AUD</t>
        </is>
      </c>
      <c r="S30" t="n">
        <v>345.96375</v>
      </c>
      <c r="T30" t="inlineStr">
        <is>
          <t>AUD</t>
        </is>
      </c>
      <c r="U30" t="n">
        <v>345.96375</v>
      </c>
    </row>
    <row r="31">
      <c r="A31" s="5" t="inlineStr">
        <is>
          <t>01a152b9-a5b2-73a7-ab13-caae8c7e3159</t>
        </is>
      </c>
      <c r="B31" t="inlineStr">
        <is>
          <t>2018-07-03_VGS.AX</t>
        </is>
      </c>
      <c r="C31" s="5" t="inlineStr">
        <is>
          <t>01a152b9-6e67-75da-8adb-b03e5d07fd21</t>
        </is>
      </c>
      <c r="D31" s="4" t="n">
        <v>46314.24607317817</v>
      </c>
      <c r="E31" s="4" t="n">
        <v>46314.24607317824</v>
      </c>
      <c r="F31" t="b">
        <v>1</v>
      </c>
      <c r="H31" t="inlineStr">
        <is>
          <t>2018-07-03 | Distribution | VGS</t>
        </is>
      </c>
      <c r="I31" t="inlineStr">
        <is>
          <t>VGS</t>
        </is>
      </c>
      <c r="J31" s="6" t="n">
        <v>43284</v>
      </c>
      <c r="K31" t="n">
        <v>2030</v>
      </c>
      <c r="L31" t="inlineStr"/>
      <c r="M31" t="inlineStr">
        <is>
          <t>FY2018/19</t>
        </is>
      </c>
      <c r="N31" t="inlineStr">
        <is>
          <t>AUD</t>
        </is>
      </c>
      <c r="O31" t="n">
        <v>0.908573</v>
      </c>
      <c r="P31" t="inlineStr">
        <is>
          <t>AUD</t>
        </is>
      </c>
      <c r="Q31" t="n">
        <v>0</v>
      </c>
      <c r="R31" t="inlineStr">
        <is>
          <t>AUD</t>
        </is>
      </c>
      <c r="S31" t="n">
        <v>1844.40319</v>
      </c>
      <c r="T31" t="inlineStr">
        <is>
          <t>AUD</t>
        </is>
      </c>
      <c r="U31" t="n">
        <v>1844.40319</v>
      </c>
    </row>
    <row r="32">
      <c r="A32" s="5" t="inlineStr">
        <is>
          <t>01a152b9-a5b4-71ad-a932-d11dcf4f1a76</t>
        </is>
      </c>
      <c r="B32" t="inlineStr">
        <is>
          <t>2018-10-16_VGS.AX</t>
        </is>
      </c>
      <c r="C32" s="5" t="inlineStr">
        <is>
          <t>01a152b9-6e67-75da-8adb-b03e5d07fd21</t>
        </is>
      </c>
      <c r="D32" s="4" t="n">
        <v>46314.24607320951</v>
      </c>
      <c r="E32" s="4" t="n">
        <v>46314.24607320961</v>
      </c>
      <c r="F32" t="b">
        <v>1</v>
      </c>
      <c r="H32" t="inlineStr">
        <is>
          <t>2018-10-16 | Distribution | VGS</t>
        </is>
      </c>
      <c r="I32" t="inlineStr">
        <is>
          <t>VGS</t>
        </is>
      </c>
      <c r="J32" s="6" t="n">
        <v>43389</v>
      </c>
      <c r="K32" t="n">
        <v>2230</v>
      </c>
      <c r="L32" t="inlineStr"/>
      <c r="M32" t="inlineStr">
        <is>
          <t>FY2018/19</t>
        </is>
      </c>
      <c r="N32" t="inlineStr">
        <is>
          <t>AUD</t>
        </is>
      </c>
      <c r="O32" t="n">
        <v>0.303549</v>
      </c>
      <c r="P32" t="inlineStr">
        <is>
          <t>AUD</t>
        </is>
      </c>
      <c r="Q32" t="n">
        <v>0</v>
      </c>
      <c r="R32" t="inlineStr">
        <is>
          <t>AUD</t>
        </is>
      </c>
      <c r="S32" t="n">
        <v>676.91427</v>
      </c>
      <c r="T32" t="inlineStr">
        <is>
          <t>AUD</t>
        </is>
      </c>
      <c r="U32" t="n">
        <v>676.91427</v>
      </c>
    </row>
    <row r="33">
      <c r="A33" s="5" t="inlineStr">
        <is>
          <t>01a152b9-a5b8-7592-b890-647ea0cf2804</t>
        </is>
      </c>
      <c r="B33" t="inlineStr">
        <is>
          <t>2019-01-17_VGS.AX</t>
        </is>
      </c>
      <c r="C33" s="5" t="inlineStr">
        <is>
          <t>01a152b9-6e67-75da-8adb-b03e5d07fd21</t>
        </is>
      </c>
      <c r="D33" s="4" t="n">
        <v>46314.2460732481</v>
      </c>
      <c r="E33" s="4" t="n">
        <v>46314.24607324821</v>
      </c>
      <c r="F33" t="b">
        <v>1</v>
      </c>
      <c r="H33" t="inlineStr">
        <is>
          <t>2019-01-17 | Distribution | VGS</t>
        </is>
      </c>
      <c r="I33" t="inlineStr">
        <is>
          <t>VGS</t>
        </is>
      </c>
      <c r="J33" s="6" t="n">
        <v>43482</v>
      </c>
      <c r="K33" t="n">
        <v>2230</v>
      </c>
      <c r="L33" t="inlineStr"/>
      <c r="M33" t="inlineStr">
        <is>
          <t>FY2018/19</t>
        </is>
      </c>
      <c r="N33" t="inlineStr">
        <is>
          <t>AUD</t>
        </is>
      </c>
      <c r="O33" t="n">
        <v>0.390286</v>
      </c>
      <c r="P33" t="inlineStr">
        <is>
          <t>AUD</t>
        </is>
      </c>
      <c r="Q33" t="n">
        <v>0</v>
      </c>
      <c r="R33" t="inlineStr">
        <is>
          <t>AUD</t>
        </is>
      </c>
      <c r="S33" t="n">
        <v>870.33778</v>
      </c>
      <c r="T33" t="inlineStr">
        <is>
          <t>AUD</t>
        </is>
      </c>
      <c r="U33" t="n">
        <v>870.33778</v>
      </c>
    </row>
    <row r="34">
      <c r="A34" s="5" t="inlineStr">
        <is>
          <t>01a152b9-a5bb-72ac-9238-606bff0fee3f</t>
        </is>
      </c>
      <c r="B34" t="inlineStr">
        <is>
          <t>2019-04-16_VGS.AX</t>
        </is>
      </c>
      <c r="C34" s="5" t="inlineStr">
        <is>
          <t>01a152b9-6e67-75da-8adb-b03e5d07fd21</t>
        </is>
      </c>
      <c r="D34" s="4" t="n">
        <v>46314.24607329089</v>
      </c>
      <c r="E34" s="4" t="n">
        <v>46314.246073291</v>
      </c>
      <c r="F34" t="b">
        <v>1</v>
      </c>
      <c r="H34" t="inlineStr">
        <is>
          <t>2019-04-16 | Distribution | VGS</t>
        </is>
      </c>
      <c r="I34" t="inlineStr">
        <is>
          <t>VGS</t>
        </is>
      </c>
      <c r="J34" s="6" t="n">
        <v>43571</v>
      </c>
      <c r="K34" t="n">
        <v>2380</v>
      </c>
      <c r="L34" t="inlineStr"/>
      <c r="M34" t="inlineStr">
        <is>
          <t>FY2018/19</t>
        </is>
      </c>
      <c r="N34" t="inlineStr">
        <is>
          <t>AUD</t>
        </is>
      </c>
      <c r="O34" t="n">
        <v>0.484093</v>
      </c>
      <c r="P34" t="inlineStr">
        <is>
          <t>AUD</t>
        </is>
      </c>
      <c r="Q34" t="n">
        <v>0</v>
      </c>
      <c r="R34" t="inlineStr">
        <is>
          <t>AUD</t>
        </is>
      </c>
      <c r="S34" t="n">
        <v>1152.14134</v>
      </c>
      <c r="T34" t="inlineStr">
        <is>
          <t>AUD</t>
        </is>
      </c>
      <c r="U34" t="n">
        <v>1152.14134</v>
      </c>
    </row>
    <row r="35">
      <c r="A35" s="5" t="inlineStr">
        <is>
          <t>01a152b9-a5bf-7594-98cf-17d0cf10d8b8</t>
        </is>
      </c>
      <c r="B35" t="inlineStr">
        <is>
          <t>2019-07-16_VGS.AX</t>
        </is>
      </c>
      <c r="C35" s="5" t="inlineStr">
        <is>
          <t>01a152b9-6e67-75da-8adb-b03e5d07fd21</t>
        </is>
      </c>
      <c r="D35" s="4" t="n">
        <v>46314.24607333884</v>
      </c>
      <c r="E35" s="4" t="n">
        <v>46314.24607333904</v>
      </c>
      <c r="F35" t="b">
        <v>1</v>
      </c>
      <c r="H35" t="inlineStr">
        <is>
          <t>2019-07-16 | Distribution | VGS</t>
        </is>
      </c>
      <c r="I35" t="inlineStr">
        <is>
          <t>VGS</t>
        </is>
      </c>
      <c r="J35" s="6" t="n">
        <v>43662</v>
      </c>
      <c r="K35" t="n">
        <v>2560</v>
      </c>
      <c r="L35" t="inlineStr"/>
      <c r="M35" t="inlineStr">
        <is>
          <t>FY2019/20</t>
        </is>
      </c>
      <c r="N35" t="inlineStr">
        <is>
          <t>AUD</t>
        </is>
      </c>
      <c r="O35" t="n">
        <v>0.729679</v>
      </c>
      <c r="P35" t="inlineStr">
        <is>
          <t>AUD</t>
        </is>
      </c>
      <c r="Q35" t="n">
        <v>0</v>
      </c>
      <c r="R35" t="inlineStr">
        <is>
          <t>AUD</t>
        </is>
      </c>
      <c r="S35" t="n">
        <v>1867.97824</v>
      </c>
      <c r="T35" t="inlineStr">
        <is>
          <t>AUD</t>
        </is>
      </c>
      <c r="U35" t="n">
        <v>1867.97824</v>
      </c>
    </row>
    <row r="36">
      <c r="A36" s="5" t="inlineStr">
        <is>
          <t>01a152b9-a5c6-72a7-a9cb-331a32564c32</t>
        </is>
      </c>
      <c r="B36" t="inlineStr">
        <is>
          <t>2019-10-16_VGS.AX</t>
        </is>
      </c>
      <c r="C36" s="5" t="inlineStr">
        <is>
          <t>01a152b9-6e67-75da-8adb-b03e5d07fd21</t>
        </is>
      </c>
      <c r="D36" s="4" t="n">
        <v>46314.24607341324</v>
      </c>
      <c r="E36" s="4" t="n">
        <v>46314.24607341345</v>
      </c>
      <c r="F36" t="b">
        <v>1</v>
      </c>
      <c r="H36" t="inlineStr">
        <is>
          <t>2019-10-16 | Distribution | VGS</t>
        </is>
      </c>
      <c r="I36" t="inlineStr">
        <is>
          <t>VGS</t>
        </is>
      </c>
      <c r="J36" s="6" t="n">
        <v>43754</v>
      </c>
      <c r="K36" t="n">
        <v>2560</v>
      </c>
      <c r="L36" t="inlineStr"/>
      <c r="M36" t="inlineStr">
        <is>
          <t>FY2019/20</t>
        </is>
      </c>
      <c r="N36" t="inlineStr">
        <is>
          <t>AUD</t>
        </is>
      </c>
      <c r="O36" t="n">
        <v>0.369838</v>
      </c>
      <c r="P36" t="inlineStr">
        <is>
          <t>AUD</t>
        </is>
      </c>
      <c r="Q36" t="n">
        <v>0</v>
      </c>
      <c r="R36" t="inlineStr">
        <is>
          <t>AUD</t>
        </is>
      </c>
      <c r="S36" t="n">
        <v>946.7852799999999</v>
      </c>
      <c r="T36" t="inlineStr">
        <is>
          <t>AUD</t>
        </is>
      </c>
      <c r="U36" t="n">
        <v>946.7852799999999</v>
      </c>
    </row>
    <row r="37">
      <c r="A37" s="5" t="inlineStr">
        <is>
          <t>01a152b9-a5cb-73ab-95d1-6232578465ff</t>
        </is>
      </c>
      <c r="B37" t="inlineStr">
        <is>
          <t>2020-01-17_VGS.AX</t>
        </is>
      </c>
      <c r="C37" s="5" t="inlineStr">
        <is>
          <t>01a152b9-6e67-75da-8adb-b03e5d07fd21</t>
        </is>
      </c>
      <c r="D37" s="4" t="n">
        <v>46314.2460734757</v>
      </c>
      <c r="E37" s="4" t="n">
        <v>46314.24607347584</v>
      </c>
      <c r="F37" t="b">
        <v>1</v>
      </c>
      <c r="H37" t="inlineStr">
        <is>
          <t>2020-01-17 | Distribution | VGS</t>
        </is>
      </c>
      <c r="I37" t="inlineStr">
        <is>
          <t>VGS</t>
        </is>
      </c>
      <c r="J37" s="6" t="n">
        <v>43847</v>
      </c>
      <c r="K37" t="n">
        <v>2760</v>
      </c>
      <c r="L37" t="inlineStr"/>
      <c r="M37" t="inlineStr">
        <is>
          <t>FY2019/20</t>
        </is>
      </c>
      <c r="N37" t="inlineStr">
        <is>
          <t>AUD</t>
        </is>
      </c>
      <c r="O37" t="n">
        <v>0.450855</v>
      </c>
      <c r="P37" t="inlineStr">
        <is>
          <t>AUD</t>
        </is>
      </c>
      <c r="Q37" t="n">
        <v>0</v>
      </c>
      <c r="R37" t="inlineStr">
        <is>
          <t>AUD</t>
        </is>
      </c>
      <c r="S37" t="n">
        <v>1244.3598</v>
      </c>
      <c r="T37" t="inlineStr">
        <is>
          <t>AUD</t>
        </is>
      </c>
      <c r="U37" t="n">
        <v>1244.3598</v>
      </c>
    </row>
    <row r="38">
      <c r="A38" s="5" t="inlineStr">
        <is>
          <t>01a152b9-a5d0-74d8-b76e-d548c285cd47</t>
        </is>
      </c>
      <c r="B38" t="inlineStr">
        <is>
          <t>2020-04-20_VGS.AX</t>
        </is>
      </c>
      <c r="C38" s="5" t="inlineStr">
        <is>
          <t>01a152b9-6e67-75da-8adb-b03e5d07fd21</t>
        </is>
      </c>
      <c r="D38" s="4" t="n">
        <v>46314.24607352823</v>
      </c>
      <c r="E38" s="4" t="n">
        <v>46314.24607352833</v>
      </c>
      <c r="F38" t="b">
        <v>1</v>
      </c>
      <c r="H38" t="inlineStr">
        <is>
          <t>2020-04-20 | Distribution | VGS</t>
        </is>
      </c>
      <c r="I38" t="inlineStr">
        <is>
          <t>VGS</t>
        </is>
      </c>
      <c r="J38" s="6" t="n">
        <v>43941</v>
      </c>
      <c r="K38" t="n">
        <v>2810</v>
      </c>
      <c r="L38" t="inlineStr"/>
      <c r="M38" t="inlineStr">
        <is>
          <t>FY2019/20</t>
        </is>
      </c>
      <c r="N38" t="inlineStr">
        <is>
          <t>AUD</t>
        </is>
      </c>
      <c r="O38" t="n">
        <v>0.454245</v>
      </c>
      <c r="P38" t="inlineStr">
        <is>
          <t>AUD</t>
        </is>
      </c>
      <c r="Q38" t="n">
        <v>0</v>
      </c>
      <c r="R38" t="inlineStr">
        <is>
          <t>AUD</t>
        </is>
      </c>
      <c r="S38" t="n">
        <v>1276.42845</v>
      </c>
      <c r="T38" t="inlineStr">
        <is>
          <t>AUD</t>
        </is>
      </c>
      <c r="U38" t="n">
        <v>1276.42845</v>
      </c>
    </row>
    <row r="39">
      <c r="A39" s="5" t="inlineStr">
        <is>
          <t>01a152b9-a5d4-73de-9f6d-877ce483f2d0</t>
        </is>
      </c>
      <c r="B39" t="inlineStr">
        <is>
          <t>2020-07-16_VGS.AX</t>
        </is>
      </c>
      <c r="C39" s="5" t="inlineStr">
        <is>
          <t>01a152b9-6e67-75da-8adb-b03e5d07fd21</t>
        </is>
      </c>
      <c r="D39" s="4" t="n">
        <v>46314.24607357723</v>
      </c>
      <c r="E39" s="4" t="n">
        <v>46314.24607357737</v>
      </c>
      <c r="F39" t="b">
        <v>1</v>
      </c>
      <c r="H39" t="inlineStr">
        <is>
          <t>2020-07-16 | Distribution | VGS</t>
        </is>
      </c>
      <c r="I39" t="inlineStr">
        <is>
          <t>VGS</t>
        </is>
      </c>
      <c r="J39" s="6" t="n">
        <v>44028</v>
      </c>
      <c r="K39" t="n">
        <v>2810</v>
      </c>
      <c r="L39" t="inlineStr"/>
      <c r="M39" t="inlineStr">
        <is>
          <t>FY2020/21</t>
        </is>
      </c>
      <c r="N39" t="inlineStr">
        <is>
          <t>AUD</t>
        </is>
      </c>
      <c r="O39" t="n">
        <v>0.6355460000000001</v>
      </c>
      <c r="P39" t="inlineStr">
        <is>
          <t>AUD</t>
        </is>
      </c>
      <c r="Q39" t="n">
        <v>0</v>
      </c>
      <c r="R39" t="inlineStr">
        <is>
          <t>AUD</t>
        </is>
      </c>
      <c r="S39" t="n">
        <v>1785.88426</v>
      </c>
      <c r="T39" t="inlineStr">
        <is>
          <t>AUD</t>
        </is>
      </c>
      <c r="U39" t="n">
        <v>1785.88426</v>
      </c>
    </row>
    <row r="40">
      <c r="A40" s="5" t="inlineStr">
        <is>
          <t>01a152b9-a5d8-7014-9102-07c5512e849d</t>
        </is>
      </c>
      <c r="B40" t="inlineStr">
        <is>
          <t>2020-10-16_VGS.AX</t>
        </is>
      </c>
      <c r="C40" s="5" t="inlineStr">
        <is>
          <t>01a152b9-6e67-75da-8adb-b03e5d07fd21</t>
        </is>
      </c>
      <c r="D40" s="4" t="n">
        <v>46314.24607362963</v>
      </c>
      <c r="E40" s="4" t="n">
        <v>46314.24607362978</v>
      </c>
      <c r="F40" t="b">
        <v>1</v>
      </c>
      <c r="H40" t="inlineStr">
        <is>
          <t>2020-10-16 | Distribution | VGS</t>
        </is>
      </c>
      <c r="I40" t="inlineStr">
        <is>
          <t>VGS</t>
        </is>
      </c>
      <c r="J40" s="6" t="n">
        <v>44120</v>
      </c>
      <c r="K40" t="n">
        <v>3010</v>
      </c>
      <c r="L40" t="inlineStr"/>
      <c r="M40" t="inlineStr">
        <is>
          <t>FY2020/21</t>
        </is>
      </c>
      <c r="N40" t="inlineStr">
        <is>
          <t>AUD</t>
        </is>
      </c>
      <c r="O40" t="n">
        <v>0.345002</v>
      </c>
      <c r="P40" t="inlineStr">
        <is>
          <t>AUD</t>
        </is>
      </c>
      <c r="Q40" t="n">
        <v>0</v>
      </c>
      <c r="R40" t="inlineStr">
        <is>
          <t>AUD</t>
        </is>
      </c>
      <c r="S40" t="n">
        <v>1038.45602</v>
      </c>
      <c r="T40" t="inlineStr">
        <is>
          <t>AUD</t>
        </is>
      </c>
      <c r="U40" t="n">
        <v>1038.45602</v>
      </c>
    </row>
    <row r="41">
      <c r="A41" s="5" t="inlineStr">
        <is>
          <t>01a152b9-a5dc-71db-9de9-08f47d06bded</t>
        </is>
      </c>
      <c r="B41" t="inlineStr">
        <is>
          <t>2021-01-19_VGS.AX</t>
        </is>
      </c>
      <c r="C41" s="5" t="inlineStr">
        <is>
          <t>01a152b9-6e67-75da-8adb-b03e5d07fd21</t>
        </is>
      </c>
      <c r="D41" s="4" t="n">
        <v>46314.2460736719</v>
      </c>
      <c r="E41" s="4" t="n">
        <v>46314.24607367205</v>
      </c>
      <c r="F41" t="b">
        <v>1</v>
      </c>
      <c r="H41" t="inlineStr">
        <is>
          <t>2021-01-19 | Distribution | VGS</t>
        </is>
      </c>
      <c r="I41" t="inlineStr">
        <is>
          <t>VGS</t>
        </is>
      </c>
      <c r="J41" s="6" t="n">
        <v>44215</v>
      </c>
      <c r="K41" t="n">
        <v>3210</v>
      </c>
      <c r="L41" t="inlineStr"/>
      <c r="M41" t="inlineStr">
        <is>
          <t>FY2020/21</t>
        </is>
      </c>
      <c r="N41" t="inlineStr">
        <is>
          <t>AUD</t>
        </is>
      </c>
      <c r="O41" t="n">
        <v>0.403359</v>
      </c>
      <c r="P41" t="inlineStr">
        <is>
          <t>AUD</t>
        </is>
      </c>
      <c r="Q41" t="n">
        <v>0</v>
      </c>
      <c r="R41" t="inlineStr">
        <is>
          <t>AUD</t>
        </is>
      </c>
      <c r="S41" t="n">
        <v>1294.78239</v>
      </c>
      <c r="T41" t="inlineStr">
        <is>
          <t>AUD</t>
        </is>
      </c>
      <c r="U41" t="n">
        <v>1294.78239</v>
      </c>
    </row>
    <row r="42">
      <c r="A42" s="5" t="inlineStr">
        <is>
          <t>01a152b9-a5df-7362-8513-743e427c92d8</t>
        </is>
      </c>
      <c r="B42" t="inlineStr">
        <is>
          <t>2021-04-20_VGS.AX</t>
        </is>
      </c>
      <c r="C42" s="5" t="inlineStr">
        <is>
          <t>01a152b9-6e67-75da-8adb-b03e5d07fd21</t>
        </is>
      </c>
      <c r="D42" s="4" t="n">
        <v>46314.24607370838</v>
      </c>
      <c r="E42" s="4" t="n">
        <v>46314.2460737085</v>
      </c>
      <c r="F42" t="b">
        <v>1</v>
      </c>
      <c r="H42" t="inlineStr">
        <is>
          <t>2021-04-20 | Distribution | VGS</t>
        </is>
      </c>
      <c r="I42" t="inlineStr">
        <is>
          <t>VGS</t>
        </is>
      </c>
      <c r="J42" s="6" t="n">
        <v>44306</v>
      </c>
      <c r="K42" t="n">
        <v>3360</v>
      </c>
      <c r="L42" t="inlineStr"/>
      <c r="M42" t="inlineStr">
        <is>
          <t>FY2020/21</t>
        </is>
      </c>
      <c r="N42" t="inlineStr">
        <is>
          <t>AUD</t>
        </is>
      </c>
      <c r="O42" t="n">
        <v>0.315584</v>
      </c>
      <c r="P42" t="inlineStr">
        <is>
          <t>AUD</t>
        </is>
      </c>
      <c r="Q42" t="n">
        <v>0</v>
      </c>
      <c r="R42" t="inlineStr">
        <is>
          <t>AUD</t>
        </is>
      </c>
      <c r="S42" t="n">
        <v>1060.36224</v>
      </c>
      <c r="T42" t="inlineStr">
        <is>
          <t>AUD</t>
        </is>
      </c>
      <c r="U42" t="n">
        <v>1060.36224</v>
      </c>
    </row>
    <row r="43">
      <c r="A43" s="5" t="inlineStr">
        <is>
          <t>01a152b9-a5e3-7296-a459-0510c99e5a58</t>
        </is>
      </c>
      <c r="B43" t="inlineStr">
        <is>
          <t>2021-07-16_VGS.AX</t>
        </is>
      </c>
      <c r="C43" s="5" t="inlineStr">
        <is>
          <t>01a152b9-6e67-75da-8adb-b03e5d07fd21</t>
        </is>
      </c>
      <c r="D43" s="4" t="n">
        <v>46314.24607374308</v>
      </c>
      <c r="E43" s="4" t="n">
        <v>46314.24607374315</v>
      </c>
      <c r="F43" t="b">
        <v>1</v>
      </c>
      <c r="H43" t="inlineStr">
        <is>
          <t>2021-07-16 | Distribution | VGS</t>
        </is>
      </c>
      <c r="I43" t="inlineStr">
        <is>
          <t>VGS</t>
        </is>
      </c>
      <c r="J43" s="6" t="n">
        <v>44393</v>
      </c>
      <c r="K43" t="n">
        <v>3410</v>
      </c>
      <c r="L43" t="inlineStr"/>
      <c r="M43" t="inlineStr">
        <is>
          <t>FY2021/22</t>
        </is>
      </c>
      <c r="N43" t="inlineStr">
        <is>
          <t>AUD</t>
        </is>
      </c>
      <c r="O43" t="n">
        <v>0.813028</v>
      </c>
      <c r="P43" t="inlineStr">
        <is>
          <t>AUD</t>
        </is>
      </c>
      <c r="Q43" t="n">
        <v>0</v>
      </c>
      <c r="R43" t="inlineStr">
        <is>
          <t>AUD</t>
        </is>
      </c>
      <c r="S43" t="n">
        <v>2772.42548</v>
      </c>
      <c r="T43" t="inlineStr">
        <is>
          <t>AUD</t>
        </is>
      </c>
      <c r="U43" t="n">
        <v>2772.42548</v>
      </c>
    </row>
    <row r="44">
      <c r="A44" s="5" t="inlineStr">
        <is>
          <t>01a152b9-a5e6-7212-a527-54559a3e0c84</t>
        </is>
      </c>
      <c r="B44" t="inlineStr">
        <is>
          <t>2021-10-18_VGS.AX</t>
        </is>
      </c>
      <c r="C44" s="5" t="inlineStr">
        <is>
          <t>01a152b9-6e67-75da-8adb-b03e5d07fd21</t>
        </is>
      </c>
      <c r="D44" s="4" t="n">
        <v>46314.246073779</v>
      </c>
      <c r="E44" s="4" t="n">
        <v>46314.24607377911</v>
      </c>
      <c r="F44" t="b">
        <v>1</v>
      </c>
      <c r="H44" t="inlineStr">
        <is>
          <t>2021-10-18 | Distribution | VGS</t>
        </is>
      </c>
      <c r="I44" t="inlineStr">
        <is>
          <t>VGS</t>
        </is>
      </c>
      <c r="J44" s="6" t="n">
        <v>44487</v>
      </c>
      <c r="K44" t="n">
        <v>3410</v>
      </c>
      <c r="L44" t="inlineStr"/>
      <c r="M44" t="inlineStr">
        <is>
          <t>FY2021/22</t>
        </is>
      </c>
      <c r="N44" t="inlineStr">
        <is>
          <t>AUD</t>
        </is>
      </c>
      <c r="O44" t="n">
        <v>0.342594</v>
      </c>
      <c r="P44" t="inlineStr">
        <is>
          <t>AUD</t>
        </is>
      </c>
      <c r="Q44" t="n">
        <v>0</v>
      </c>
      <c r="R44" t="inlineStr">
        <is>
          <t>AUD</t>
        </is>
      </c>
      <c r="S44" t="n">
        <v>1168.24554</v>
      </c>
      <c r="T44" t="inlineStr">
        <is>
          <t>AUD</t>
        </is>
      </c>
      <c r="U44" t="n">
        <v>1168.24554</v>
      </c>
    </row>
    <row r="45">
      <c r="A45" s="5" t="inlineStr">
        <is>
          <t>01a152b9-a5e9-7490-9b1a-47f981425ea0</t>
        </is>
      </c>
      <c r="B45" t="inlineStr">
        <is>
          <t>2022-01-19_VGS.AX</t>
        </is>
      </c>
      <c r="C45" s="5" t="inlineStr">
        <is>
          <t>01a152b9-6e67-75da-8adb-b03e5d07fd21</t>
        </is>
      </c>
      <c r="D45" s="4" t="n">
        <v>46314.24607381391</v>
      </c>
      <c r="E45" s="4" t="n">
        <v>46314.24607381399</v>
      </c>
      <c r="F45" t="b">
        <v>1</v>
      </c>
      <c r="H45" t="inlineStr">
        <is>
          <t>2022-01-19 | Distribution | VGS</t>
        </is>
      </c>
      <c r="I45" t="inlineStr">
        <is>
          <t>VGS</t>
        </is>
      </c>
      <c r="J45" s="6" t="n">
        <v>44580</v>
      </c>
      <c r="K45" t="n">
        <v>3410</v>
      </c>
      <c r="L45" t="inlineStr"/>
      <c r="M45" t="inlineStr">
        <is>
          <t>FY2021/22</t>
        </is>
      </c>
      <c r="N45" t="inlineStr">
        <is>
          <t>AUD</t>
        </is>
      </c>
      <c r="O45" t="n">
        <v>0.431163</v>
      </c>
      <c r="P45" t="inlineStr">
        <is>
          <t>AUD</t>
        </is>
      </c>
      <c r="Q45" t="n">
        <v>0</v>
      </c>
      <c r="R45" t="inlineStr">
        <is>
          <t>AUD</t>
        </is>
      </c>
      <c r="S45" t="n">
        <v>1470.26583</v>
      </c>
      <c r="T45" t="inlineStr">
        <is>
          <t>AUD</t>
        </is>
      </c>
      <c r="U45" t="n">
        <v>1470.26583</v>
      </c>
    </row>
    <row r="46">
      <c r="A46" s="5" t="inlineStr">
        <is>
          <t>01a152b9-a5eb-7426-b1bf-ab995ac0d3c5</t>
        </is>
      </c>
      <c r="B46" t="inlineStr">
        <is>
          <t>2022-04-20_VGS.AX</t>
        </is>
      </c>
      <c r="C46" s="5" t="inlineStr">
        <is>
          <t>01a152b9-6e67-75da-8adb-b03e5d07fd21</t>
        </is>
      </c>
      <c r="D46" s="4" t="n">
        <v>46314.24607384484</v>
      </c>
      <c r="E46" s="4" t="n">
        <v>46314.24607384492</v>
      </c>
      <c r="F46" t="b">
        <v>1</v>
      </c>
      <c r="H46" t="inlineStr">
        <is>
          <t>2022-04-20 | Distribution | VGS</t>
        </is>
      </c>
      <c r="I46" t="inlineStr">
        <is>
          <t>VGS</t>
        </is>
      </c>
      <c r="J46" s="6" t="n">
        <v>44671</v>
      </c>
      <c r="K46" t="n">
        <v>3410</v>
      </c>
      <c r="L46" t="inlineStr"/>
      <c r="M46" t="inlineStr">
        <is>
          <t>FY2021/22</t>
        </is>
      </c>
      <c r="N46" t="inlineStr">
        <is>
          <t>AUD</t>
        </is>
      </c>
      <c r="O46" t="n">
        <v>0.407722</v>
      </c>
      <c r="P46" t="inlineStr">
        <is>
          <t>AUD</t>
        </is>
      </c>
      <c r="Q46" t="n">
        <v>0</v>
      </c>
      <c r="R46" t="inlineStr">
        <is>
          <t>AUD</t>
        </is>
      </c>
      <c r="S46" t="n">
        <v>1390.33202</v>
      </c>
      <c r="T46" t="inlineStr">
        <is>
          <t>AUD</t>
        </is>
      </c>
      <c r="U46" t="n">
        <v>1390.33202</v>
      </c>
    </row>
    <row r="47">
      <c r="A47" s="5" t="inlineStr">
        <is>
          <t>01a152b9-a5ee-771f-9e7f-c05fd0247957</t>
        </is>
      </c>
      <c r="B47" t="inlineStr">
        <is>
          <t>2022-07-18_VGS.AX</t>
        </is>
      </c>
      <c r="C47" s="5" t="inlineStr">
        <is>
          <t>01a152b9-6e67-75da-8adb-b03e5d07fd21</t>
        </is>
      </c>
      <c r="D47" s="4" t="n">
        <v>46314.24607387732</v>
      </c>
      <c r="E47" s="4" t="n">
        <v>46314.24607387738</v>
      </c>
      <c r="F47" t="b">
        <v>1</v>
      </c>
      <c r="H47" t="inlineStr">
        <is>
          <t>2022-07-18 | Distribution | VGS</t>
        </is>
      </c>
      <c r="I47" t="inlineStr">
        <is>
          <t>VGS</t>
        </is>
      </c>
      <c r="J47" s="6" t="n">
        <v>44760</v>
      </c>
      <c r="K47" t="n">
        <v>3410</v>
      </c>
      <c r="L47" t="inlineStr"/>
      <c r="M47" t="inlineStr">
        <is>
          <t>FY2022/23</t>
        </is>
      </c>
      <c r="N47" t="inlineStr">
        <is>
          <t>AUD</t>
        </is>
      </c>
      <c r="O47" t="n">
        <v>0.54834</v>
      </c>
      <c r="P47" t="inlineStr">
        <is>
          <t>AUD</t>
        </is>
      </c>
      <c r="Q47" t="n">
        <v>0</v>
      </c>
      <c r="R47" t="inlineStr">
        <is>
          <t>AUD</t>
        </is>
      </c>
      <c r="S47" t="n">
        <v>1869.8394</v>
      </c>
      <c r="T47" t="inlineStr">
        <is>
          <t>AUD</t>
        </is>
      </c>
      <c r="U47" t="n">
        <v>1869.8394</v>
      </c>
    </row>
    <row r="48">
      <c r="A48" s="5" t="inlineStr">
        <is>
          <t>01a152b9-a5f1-7211-bd33-dbc5f5d10208</t>
        </is>
      </c>
      <c r="B48" t="inlineStr">
        <is>
          <t>2022-10-18_VGS.AX</t>
        </is>
      </c>
      <c r="C48" s="5" t="inlineStr">
        <is>
          <t>01a152b9-6e67-75da-8adb-b03e5d07fd21</t>
        </is>
      </c>
      <c r="D48" s="4" t="n">
        <v>46314.24607390743</v>
      </c>
      <c r="E48" s="4" t="n">
        <v>46314.24607390751</v>
      </c>
      <c r="F48" t="b">
        <v>1</v>
      </c>
      <c r="H48" t="inlineStr">
        <is>
          <t>2022-10-18 | Distribution | VGS</t>
        </is>
      </c>
      <c r="I48" t="inlineStr">
        <is>
          <t>VGS</t>
        </is>
      </c>
      <c r="J48" s="6" t="n">
        <v>44852</v>
      </c>
      <c r="K48" t="n">
        <v>3410</v>
      </c>
      <c r="L48" t="inlineStr"/>
      <c r="M48" t="inlineStr">
        <is>
          <t>FY2022/23</t>
        </is>
      </c>
      <c r="N48" t="inlineStr">
        <is>
          <t>AUD</t>
        </is>
      </c>
      <c r="O48" t="n">
        <v>0.348331</v>
      </c>
      <c r="P48" t="inlineStr">
        <is>
          <t>AUD</t>
        </is>
      </c>
      <c r="Q48" t="n">
        <v>0</v>
      </c>
      <c r="R48" t="inlineStr">
        <is>
          <t>AUD</t>
        </is>
      </c>
      <c r="S48" t="n">
        <v>1187.80871</v>
      </c>
      <c r="T48" t="inlineStr">
        <is>
          <t>AUD</t>
        </is>
      </c>
      <c r="U48" t="n">
        <v>1187.80871</v>
      </c>
    </row>
    <row r="49">
      <c r="A49" s="5" t="inlineStr">
        <is>
          <t>01a152b9-a5f4-72e0-a0b0-14b55b6f1956</t>
        </is>
      </c>
      <c r="B49" t="inlineStr">
        <is>
          <t>2023-01-18_VGS.AX</t>
        </is>
      </c>
      <c r="C49" s="5" t="inlineStr">
        <is>
          <t>01a152b9-6e67-75da-8adb-b03e5d07fd21</t>
        </is>
      </c>
      <c r="D49" s="4" t="n">
        <v>46314.24607394102</v>
      </c>
      <c r="E49" s="4" t="n">
        <v>46314.24607394111</v>
      </c>
      <c r="F49" t="b">
        <v>1</v>
      </c>
      <c r="H49" t="inlineStr">
        <is>
          <t>2023-01-18 | Distribution | VGS</t>
        </is>
      </c>
      <c r="I49" t="inlineStr">
        <is>
          <t>VGS</t>
        </is>
      </c>
      <c r="J49" s="6" t="n">
        <v>44944</v>
      </c>
      <c r="K49" t="n">
        <v>3410</v>
      </c>
      <c r="L49" t="inlineStr"/>
      <c r="M49" t="inlineStr">
        <is>
          <t>FY2022/23</t>
        </is>
      </c>
      <c r="N49" t="inlineStr">
        <is>
          <t>AUD</t>
        </is>
      </c>
      <c r="O49" t="n">
        <v>0.303465</v>
      </c>
      <c r="P49" t="inlineStr">
        <is>
          <t>AUD</t>
        </is>
      </c>
      <c r="Q49" t="n">
        <v>0</v>
      </c>
      <c r="R49" t="inlineStr">
        <is>
          <t>AUD</t>
        </is>
      </c>
      <c r="S49" t="n">
        <v>1034.81565</v>
      </c>
      <c r="T49" t="inlineStr">
        <is>
          <t>AUD</t>
        </is>
      </c>
      <c r="U49" t="n">
        <v>1034.81565</v>
      </c>
    </row>
    <row r="50">
      <c r="A50" s="5" t="inlineStr">
        <is>
          <t>01a152b9-a5f7-734c-b13e-b15173e249b4</t>
        </is>
      </c>
      <c r="B50" t="inlineStr">
        <is>
          <t>2023-04-20_VGS.AX</t>
        </is>
      </c>
      <c r="C50" s="5" t="inlineStr">
        <is>
          <t>01a152b9-6e67-75da-8adb-b03e5d07fd21</t>
        </is>
      </c>
      <c r="D50" s="4" t="n">
        <v>46314.24607397526</v>
      </c>
      <c r="E50" s="4" t="n">
        <v>46314.24607397537</v>
      </c>
      <c r="F50" t="b">
        <v>1</v>
      </c>
      <c r="H50" t="inlineStr">
        <is>
          <t>2023-04-20 | Distribution | VGS</t>
        </is>
      </c>
      <c r="I50" t="inlineStr">
        <is>
          <t>VGS</t>
        </is>
      </c>
      <c r="J50" s="6" t="n">
        <v>45036</v>
      </c>
      <c r="K50" t="n">
        <v>3410</v>
      </c>
      <c r="L50" t="inlineStr"/>
      <c r="M50" t="inlineStr">
        <is>
          <t>FY2022/23</t>
        </is>
      </c>
      <c r="N50" t="inlineStr">
        <is>
          <t>AUD</t>
        </is>
      </c>
      <c r="O50" t="n">
        <v>0.224212</v>
      </c>
      <c r="P50" t="inlineStr">
        <is>
          <t>AUD</t>
        </is>
      </c>
      <c r="Q50" t="n">
        <v>0</v>
      </c>
      <c r="R50" t="inlineStr">
        <is>
          <t>AUD</t>
        </is>
      </c>
      <c r="S50" t="n">
        <v>764.56292</v>
      </c>
      <c r="T50" t="inlineStr">
        <is>
          <t>AUD</t>
        </is>
      </c>
      <c r="U50" t="n">
        <v>764.56292</v>
      </c>
    </row>
    <row r="51">
      <c r="A51" s="5" t="inlineStr">
        <is>
          <t>01a152b9-a5fa-7666-ad0a-aa8c48dcd91a</t>
        </is>
      </c>
      <c r="B51" t="inlineStr">
        <is>
          <t>2023-07-18_VGS.AX</t>
        </is>
      </c>
      <c r="C51" s="5" t="inlineStr">
        <is>
          <t>01a152b9-6e67-75da-8adb-b03e5d07fd21</t>
        </is>
      </c>
      <c r="D51" s="4" t="n">
        <v>46314.24607401494</v>
      </c>
      <c r="E51" s="4" t="n">
        <v>46314.24607401503</v>
      </c>
      <c r="F51" t="b">
        <v>1</v>
      </c>
      <c r="H51" t="inlineStr">
        <is>
          <t>2023-07-18 | Distribution | VGS</t>
        </is>
      </c>
      <c r="I51" t="inlineStr">
        <is>
          <t>VGS</t>
        </is>
      </c>
      <c r="J51" s="6" t="n">
        <v>45125</v>
      </c>
      <c r="K51" t="n">
        <v>3410</v>
      </c>
      <c r="L51" t="inlineStr"/>
      <c r="M51" t="inlineStr">
        <is>
          <t>FY2023/24</t>
        </is>
      </c>
      <c r="N51" t="inlineStr">
        <is>
          <t>AUD</t>
        </is>
      </c>
      <c r="O51" t="n">
        <v>1.116569</v>
      </c>
      <c r="P51" t="inlineStr">
        <is>
          <t>AUD</t>
        </is>
      </c>
      <c r="Q51" t="n">
        <v>0</v>
      </c>
      <c r="R51" t="inlineStr">
        <is>
          <t>AUD</t>
        </is>
      </c>
      <c r="S51" t="n">
        <v>3807.50029</v>
      </c>
      <c r="T51" t="inlineStr">
        <is>
          <t>AUD</t>
        </is>
      </c>
      <c r="U51" t="n">
        <v>3807.50029</v>
      </c>
    </row>
    <row r="52">
      <c r="A52" s="5" t="inlineStr">
        <is>
          <t>01a152b9-a5fd-7086-9d8e-baf1329f6df4</t>
        </is>
      </c>
      <c r="B52" t="inlineStr">
        <is>
          <t>2023-10-17_VGS.AX</t>
        </is>
      </c>
      <c r="C52" s="5" t="inlineStr">
        <is>
          <t>01a152b9-6e67-75da-8adb-b03e5d07fd21</t>
        </is>
      </c>
      <c r="D52" s="4" t="n">
        <v>46314.24607405479</v>
      </c>
      <c r="E52" s="4" t="n">
        <v>46314.24607405491</v>
      </c>
      <c r="F52" t="b">
        <v>1</v>
      </c>
      <c r="H52" t="inlineStr">
        <is>
          <t>2023-10-17 | Distribution | VGS</t>
        </is>
      </c>
      <c r="I52" t="inlineStr">
        <is>
          <t>VGS</t>
        </is>
      </c>
      <c r="J52" s="6" t="n">
        <v>45216</v>
      </c>
      <c r="K52" t="n">
        <v>3410</v>
      </c>
      <c r="L52" t="inlineStr"/>
      <c r="M52" t="inlineStr">
        <is>
          <t>FY2023/24</t>
        </is>
      </c>
      <c r="N52" t="inlineStr">
        <is>
          <t>AUD</t>
        </is>
      </c>
      <c r="O52" t="n">
        <v>0.671912</v>
      </c>
      <c r="P52" t="inlineStr">
        <is>
          <t>AUD</t>
        </is>
      </c>
      <c r="Q52" t="n">
        <v>0</v>
      </c>
      <c r="R52" t="inlineStr">
        <is>
          <t>AUD</t>
        </is>
      </c>
      <c r="S52" t="n">
        <v>2291.21992</v>
      </c>
      <c r="T52" t="inlineStr">
        <is>
          <t>AUD</t>
        </is>
      </c>
      <c r="U52" t="n">
        <v>2291.21992</v>
      </c>
    </row>
    <row r="53">
      <c r="A53" s="5" t="inlineStr">
        <is>
          <t>01a152b9-a602-753e-ba61-03ec8492eaf7</t>
        </is>
      </c>
      <c r="B53" t="inlineStr">
        <is>
          <t>2024-01-17_VGS.AX</t>
        </is>
      </c>
      <c r="C53" s="5" t="inlineStr">
        <is>
          <t>01a152b9-6e67-75da-8adb-b03e5d07fd21</t>
        </is>
      </c>
      <c r="D53" s="4" t="n">
        <v>46314.24607410453</v>
      </c>
      <c r="E53" s="4" t="n">
        <v>46314.24607410463</v>
      </c>
      <c r="F53" t="b">
        <v>1</v>
      </c>
      <c r="H53" t="inlineStr">
        <is>
          <t>2024-01-17 | Distribution | VGS</t>
        </is>
      </c>
      <c r="I53" t="inlineStr">
        <is>
          <t>VGS</t>
        </is>
      </c>
      <c r="J53" s="6" t="n">
        <v>45308</v>
      </c>
      <c r="K53" t="n">
        <v>3410</v>
      </c>
      <c r="L53" t="inlineStr"/>
      <c r="M53" t="inlineStr">
        <is>
          <t>FY2023/24</t>
        </is>
      </c>
      <c r="N53" t="inlineStr">
        <is>
          <t>AUD</t>
        </is>
      </c>
      <c r="O53" t="n">
        <v>0.552993</v>
      </c>
      <c r="P53" t="inlineStr">
        <is>
          <t>AUD</t>
        </is>
      </c>
      <c r="Q53" t="n">
        <v>0</v>
      </c>
      <c r="R53" t="inlineStr">
        <is>
          <t>AUD</t>
        </is>
      </c>
      <c r="S53" t="n">
        <v>1885.70613</v>
      </c>
      <c r="T53" t="inlineStr">
        <is>
          <t>AUD</t>
        </is>
      </c>
      <c r="U53" t="n">
        <v>1885.70613</v>
      </c>
    </row>
    <row r="54">
      <c r="A54" s="5" t="inlineStr">
        <is>
          <t>01a152b9-a606-722c-a82d-4ad900216b57</t>
        </is>
      </c>
      <c r="B54" t="inlineStr">
        <is>
          <t>2024-04-17_VGS.AX</t>
        </is>
      </c>
      <c r="C54" s="5" t="inlineStr">
        <is>
          <t>01a152b9-6e67-75da-8adb-b03e5d07fd21</t>
        </is>
      </c>
      <c r="D54" s="4" t="n">
        <v>46314.24607415393</v>
      </c>
      <c r="E54" s="4" t="n">
        <v>46314.24607415407</v>
      </c>
      <c r="F54" t="b">
        <v>1</v>
      </c>
      <c r="H54" t="inlineStr">
        <is>
          <t>2024-04-17 | Distribution | VGS</t>
        </is>
      </c>
      <c r="I54" t="inlineStr">
        <is>
          <t>VGS</t>
        </is>
      </c>
      <c r="J54" s="6" t="n">
        <v>45399</v>
      </c>
      <c r="K54" t="n">
        <v>3410</v>
      </c>
      <c r="L54" t="inlineStr"/>
      <c r="M54" t="inlineStr">
        <is>
          <t>FY2023/24</t>
        </is>
      </c>
      <c r="N54" t="inlineStr">
        <is>
          <t>AUD</t>
        </is>
      </c>
      <c r="O54" t="n">
        <v>1.002912</v>
      </c>
      <c r="P54" t="inlineStr">
        <is>
          <t>AUD</t>
        </is>
      </c>
      <c r="Q54" t="n">
        <v>0</v>
      </c>
      <c r="R54" t="inlineStr">
        <is>
          <t>AUD</t>
        </is>
      </c>
      <c r="S54" t="n">
        <v>3419.92992</v>
      </c>
      <c r="T54" t="inlineStr">
        <is>
          <t>AUD</t>
        </is>
      </c>
      <c r="U54" t="n">
        <v>3419.92992</v>
      </c>
    </row>
    <row r="55">
      <c r="A55" s="5" t="inlineStr">
        <is>
          <t>01a152b9-a60a-7359-840b-6c1a40b0f3bf</t>
        </is>
      </c>
      <c r="B55" t="inlineStr">
        <is>
          <t>2024-07-16_VGS.AX</t>
        </is>
      </c>
      <c r="C55" s="5" t="inlineStr">
        <is>
          <t>01a152b9-6e67-75da-8adb-b03e5d07fd21</t>
        </is>
      </c>
      <c r="D55" s="4" t="n">
        <v>46314.24607419735</v>
      </c>
      <c r="E55" s="4" t="n">
        <v>46314.24607419746</v>
      </c>
      <c r="F55" t="b">
        <v>1</v>
      </c>
      <c r="H55" t="inlineStr">
        <is>
          <t>2024-07-16 | Distribution | VGS</t>
        </is>
      </c>
      <c r="I55" t="inlineStr">
        <is>
          <t>VGS</t>
        </is>
      </c>
      <c r="J55" s="6" t="n">
        <v>45489</v>
      </c>
      <c r="K55" t="n">
        <v>3410</v>
      </c>
      <c r="L55" t="inlineStr"/>
      <c r="M55" t="inlineStr">
        <is>
          <t>FY2024/25</t>
        </is>
      </c>
      <c r="N55" t="inlineStr">
        <is>
          <t>AUD</t>
        </is>
      </c>
      <c r="O55" t="n">
        <v>2.181273</v>
      </c>
      <c r="P55" t="inlineStr">
        <is>
          <t>AUD</t>
        </is>
      </c>
      <c r="Q55" t="n">
        <v>0</v>
      </c>
      <c r="R55" t="inlineStr">
        <is>
          <t>AUD</t>
        </is>
      </c>
      <c r="S55" t="n">
        <v>7438.14093</v>
      </c>
      <c r="T55" t="inlineStr">
        <is>
          <t>AUD</t>
        </is>
      </c>
      <c r="U55" t="n">
        <v>7438.14093</v>
      </c>
    </row>
    <row r="56">
      <c r="A56" s="5" t="inlineStr">
        <is>
          <t>01a152b9-a60d-76f0-95e2-7b96631ee8f7</t>
        </is>
      </c>
      <c r="B56" t="inlineStr">
        <is>
          <t>2024-10-16_VGS.AX</t>
        </is>
      </c>
      <c r="C56" s="5" t="inlineStr">
        <is>
          <t>01a152b9-6e67-75da-8adb-b03e5d07fd21</t>
        </is>
      </c>
      <c r="D56" s="4" t="n">
        <v>46314.24607423332</v>
      </c>
      <c r="E56" s="4" t="n">
        <v>46314.24607423346</v>
      </c>
      <c r="F56" t="b">
        <v>1</v>
      </c>
      <c r="H56" t="inlineStr">
        <is>
          <t>2024-10-16 | Distribution | VGS</t>
        </is>
      </c>
      <c r="I56" t="inlineStr">
        <is>
          <t>VGS</t>
        </is>
      </c>
      <c r="J56" s="6" t="n">
        <v>45581</v>
      </c>
      <c r="K56" t="n">
        <v>3410</v>
      </c>
      <c r="L56" t="inlineStr"/>
      <c r="M56" t="inlineStr">
        <is>
          <t>FY2024/25</t>
        </is>
      </c>
      <c r="N56" t="inlineStr">
        <is>
          <t>AUD</t>
        </is>
      </c>
      <c r="O56" t="n">
        <v>0.287066</v>
      </c>
      <c r="P56" t="inlineStr">
        <is>
          <t>AUD</t>
        </is>
      </c>
      <c r="Q56" t="n">
        <v>0</v>
      </c>
      <c r="R56" t="inlineStr">
        <is>
          <t>AUD</t>
        </is>
      </c>
      <c r="S56" t="n">
        <v>978.8950599999999</v>
      </c>
      <c r="T56" t="inlineStr">
        <is>
          <t>AUD</t>
        </is>
      </c>
      <c r="U56" t="n">
        <v>978.8950599999999</v>
      </c>
    </row>
    <row r="57">
      <c r="A57" s="5" t="inlineStr">
        <is>
          <t>01a152b9-a610-740c-b748-bd070bcdad29</t>
        </is>
      </c>
      <c r="B57" t="inlineStr">
        <is>
          <t>2025-01-17_VGS.AX</t>
        </is>
      </c>
      <c r="C57" s="5" t="inlineStr">
        <is>
          <t>01a152b9-6e67-75da-8adb-b03e5d07fd21</t>
        </is>
      </c>
      <c r="D57" s="4" t="n">
        <v>46314.24607427174</v>
      </c>
      <c r="E57" s="4" t="n">
        <v>46314.24607427188</v>
      </c>
      <c r="F57" t="b">
        <v>1</v>
      </c>
      <c r="H57" t="inlineStr">
        <is>
          <t>2025-01-17 | Distribution | VGS</t>
        </is>
      </c>
      <c r="I57" t="inlineStr">
        <is>
          <t>VGS</t>
        </is>
      </c>
      <c r="J57" s="6" t="n">
        <v>45674</v>
      </c>
      <c r="K57" t="n">
        <v>3410</v>
      </c>
      <c r="L57" t="inlineStr"/>
      <c r="M57" t="inlineStr">
        <is>
          <t>FY2024/25</t>
        </is>
      </c>
      <c r="N57" t="inlineStr">
        <is>
          <t>AUD</t>
        </is>
      </c>
      <c r="O57" t="n">
        <v>0.716777</v>
      </c>
      <c r="P57" t="inlineStr">
        <is>
          <t>AUD</t>
        </is>
      </c>
      <c r="Q57" t="n">
        <v>0</v>
      </c>
      <c r="R57" t="inlineStr">
        <is>
          <t>AUD</t>
        </is>
      </c>
      <c r="S57" t="n">
        <v>2444.20957</v>
      </c>
      <c r="T57" t="inlineStr">
        <is>
          <t>AUD</t>
        </is>
      </c>
      <c r="U57" t="n">
        <v>2444.20957</v>
      </c>
    </row>
    <row r="58">
      <c r="A58" s="5" t="inlineStr">
        <is>
          <t>01a152b9-a614-73fc-8c3c-62200e04bca5</t>
        </is>
      </c>
      <c r="B58" t="inlineStr">
        <is>
          <t>2025-04-16_VGS.AX</t>
        </is>
      </c>
      <c r="C58" s="5" t="inlineStr">
        <is>
          <t>01a152b9-6e67-75da-8adb-b03e5d07fd21</t>
        </is>
      </c>
      <c r="D58" s="4" t="n">
        <v>46314.24607431445</v>
      </c>
      <c r="E58" s="4" t="n">
        <v>46314.24607431455</v>
      </c>
      <c r="F58" t="b">
        <v>1</v>
      </c>
      <c r="H58" t="inlineStr">
        <is>
          <t>2025-04-16 | Distribution | VGS</t>
        </is>
      </c>
      <c r="I58" t="inlineStr">
        <is>
          <t>VGS</t>
        </is>
      </c>
      <c r="J58" s="6" t="n">
        <v>45763</v>
      </c>
      <c r="K58" t="n">
        <v>3410</v>
      </c>
      <c r="L58" t="inlineStr"/>
      <c r="M58" t="inlineStr">
        <is>
          <t>FY2024/25</t>
        </is>
      </c>
      <c r="N58" t="inlineStr">
        <is>
          <t>AUD</t>
        </is>
      </c>
      <c r="O58" t="n">
        <v>1.470283</v>
      </c>
      <c r="P58" t="inlineStr">
        <is>
          <t>AUD</t>
        </is>
      </c>
      <c r="Q58" t="n">
        <v>0</v>
      </c>
      <c r="R58" t="inlineStr">
        <is>
          <t>AUD</t>
        </is>
      </c>
      <c r="S58" t="n">
        <v>5013.66503</v>
      </c>
      <c r="T58" t="inlineStr">
        <is>
          <t>AUD</t>
        </is>
      </c>
      <c r="U58" t="n">
        <v>5013.66503</v>
      </c>
    </row>
    <row r="59">
      <c r="A59" s="5" t="inlineStr">
        <is>
          <t>01a152b9-a618-7515-b86c-4f7db7699bc5</t>
        </is>
      </c>
      <c r="B59" t="inlineStr">
        <is>
          <t>2025-07-17_VGS.AX</t>
        </is>
      </c>
      <c r="C59" s="5" t="inlineStr">
        <is>
          <t>01a152b9-6e67-75da-8adb-b03e5d07fd21</t>
        </is>
      </c>
      <c r="D59" s="4" t="n">
        <v>46314.24607435787</v>
      </c>
      <c r="E59" s="4" t="n">
        <v>46314.24607435797</v>
      </c>
      <c r="F59" t="b">
        <v>1</v>
      </c>
      <c r="H59" t="inlineStr">
        <is>
          <t>2025-07-16 | Distribution | VGS</t>
        </is>
      </c>
      <c r="I59" t="inlineStr">
        <is>
          <t>VGS</t>
        </is>
      </c>
      <c r="J59" s="6" t="n">
        <v>45854</v>
      </c>
      <c r="K59" t="n">
        <v>3410</v>
      </c>
      <c r="L59" t="inlineStr"/>
      <c r="M59" t="inlineStr">
        <is>
          <t>FY2025/26</t>
        </is>
      </c>
      <c r="N59" t="inlineStr">
        <is>
          <t>AUD</t>
        </is>
      </c>
      <c r="O59" t="n">
        <v>1.278703</v>
      </c>
      <c r="P59" t="inlineStr">
        <is>
          <t>AUD</t>
        </is>
      </c>
      <c r="Q59" t="n">
        <v>0</v>
      </c>
      <c r="R59" t="inlineStr">
        <is>
          <t>AUD</t>
        </is>
      </c>
      <c r="S59" t="n">
        <v>4360.37723</v>
      </c>
      <c r="T59" t="inlineStr">
        <is>
          <t>AUD</t>
        </is>
      </c>
      <c r="U59" t="n">
        <v>4360.37723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2" customWidth="1" min="1" max="1"/>
    <col width="11.2" customWidth="1" min="2" max="2"/>
    <col width="13.2" customWidth="1" min="3" max="3"/>
    <col width="28.2" customWidth="1" min="4" max="4"/>
    <col width="28.2" customWidth="1" min="5" max="5"/>
    <col width="11.2" customWidth="1" min="6" max="6"/>
    <col width="7.2" customWidth="1" min="7" max="7"/>
    <col width="6.2" customWidth="1" min="8" max="8"/>
    <col width="38.2" customWidth="1" min="9" max="9"/>
    <col width="23.2" customWidth="1" min="10" max="10"/>
  </cols>
  <sheetData>
    <row r="1" ht="32" customHeight="1">
      <c r="A1" s="1" t="inlineStr">
        <is>
          <t>id</t>
        </is>
      </c>
      <c r="B1" s="1" t="inlineStr">
        <is>
          <t>legacy_id</t>
        </is>
      </c>
      <c r="C1" s="1" t="inlineStr">
        <is>
          <t>description</t>
        </is>
      </c>
      <c r="D1" s="1" t="inlineStr">
        <is>
          <t>created_at</t>
        </is>
      </c>
      <c r="E1" s="1" t="inlineStr">
        <is>
          <t>updated_at</t>
        </is>
      </c>
      <c r="F1" s="1" t="inlineStr">
        <is>
          <t>is_active</t>
        </is>
      </c>
      <c r="G1" s="1" t="inlineStr">
        <is>
          <t>notes</t>
        </is>
      </c>
      <c r="H1" s="1" t="inlineStr">
        <is>
          <t>file</t>
        </is>
      </c>
      <c r="I1" s="1" t="inlineStr">
        <is>
          <t>account_id</t>
        </is>
      </c>
      <c r="J1" s="1" t="inlineStr">
        <is>
          <t>include_price_history</t>
        </is>
      </c>
    </row>
    <row r="2">
      <c r="A2" s="5" t="inlineStr">
        <is>
          <t>01a152b9-a621-749e-8afe-705498f71b72</t>
        </is>
      </c>
      <c r="D2" s="4" t="n">
        <v>46314.24607446352</v>
      </c>
      <c r="E2" s="4" t="n">
        <v>46314.24607446373</v>
      </c>
      <c r="F2" t="b">
        <v>1</v>
      </c>
      <c r="H2" t="inlineStr"/>
      <c r="I2" s="5" t="inlineStr">
        <is>
          <t>01a152b9-6e67-75da-8adb-b03e5d07fd21</t>
        </is>
      </c>
      <c r="J2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2" customWidth="1" min="1" max="1"/>
    <col width="12.2" customWidth="1" min="2" max="2"/>
    <col width="15.2" customWidth="1" min="3" max="3"/>
    <col width="38.2" customWidth="1" min="4" max="4"/>
    <col width="38.2" customWidth="1" min="5" max="5"/>
    <col width="38.2" customWidth="1" min="6" max="6"/>
    <col width="38.2" customWidth="1" min="7" max="7"/>
    <col width="12.2" customWidth="1" min="8" max="8"/>
    <col width="11.2" customWidth="1" min="9" max="9"/>
    <col width="12.2" customWidth="1" min="10" max="10"/>
    <col width="12.2" customWidth="1" min="11" max="11"/>
    <col width="14.2" customWidth="1" min="12" max="12"/>
    <col width="13.2" customWidth="1" min="13" max="13"/>
  </cols>
  <sheetData>
    <row r="1" ht="32" customHeight="1">
      <c r="A1" s="1" t="inlineStr">
        <is>
          <t>sell_date</t>
        </is>
      </c>
      <c r="B1" s="1" t="inlineStr">
        <is>
          <t>instrument</t>
        </is>
      </c>
      <c r="C1" s="1" t="inlineStr">
        <is>
          <t>quantity_sold</t>
        </is>
      </c>
      <c r="D1" s="1" t="inlineStr">
        <is>
          <t>buy_id</t>
        </is>
      </c>
      <c r="E1" s="1" t="inlineStr">
        <is>
          <t>parcel_id</t>
        </is>
      </c>
      <c r="F1" s="1" t="inlineStr">
        <is>
          <t>sell_id</t>
        </is>
      </c>
      <c r="G1" s="1" t="inlineStr">
        <is>
          <t>sell_allocation_id</t>
        </is>
      </c>
      <c r="H1" s="1" t="inlineStr">
        <is>
          <t>buy_date</t>
        </is>
      </c>
      <c r="I1" s="1" t="inlineStr">
        <is>
          <t>days_held</t>
        </is>
      </c>
      <c r="J1" s="1" t="inlineStr">
        <is>
          <t>proceeds</t>
        </is>
      </c>
      <c r="K1" s="1" t="inlineStr">
        <is>
          <t>cost_base</t>
        </is>
      </c>
      <c r="L1" s="1" t="inlineStr">
        <is>
          <t>capital_gain</t>
        </is>
      </c>
      <c r="M1" s="1" t="inlineStr">
        <is>
          <t>fiscal_year</t>
        </is>
      </c>
    </row>
    <row r="2">
      <c r="A2" s="6" t="n">
        <v>44742</v>
      </c>
      <c r="B2" t="inlineStr">
        <is>
          <t>VDHG</t>
        </is>
      </c>
      <c r="C2" t="n">
        <v>121</v>
      </c>
      <c r="D2" s="5" t="inlineStr">
        <is>
          <t>01a152b9-930e-76a5-a206-8651f5a88b67</t>
        </is>
      </c>
      <c r="E2" s="5" t="inlineStr">
        <is>
          <t>01a152b9-9310-73e5-9fb3-d0a2d881b358</t>
        </is>
      </c>
      <c r="F2" s="5" t="inlineStr">
        <is>
          <t>01a152b9-9dd9-7425-a1d1-cb0364de5dbd</t>
        </is>
      </c>
      <c r="G2" s="5" t="inlineStr">
        <is>
          <t>01a152b9-9de3-76d9-a096-e6c3fa1d7326</t>
        </is>
      </c>
      <c r="H2" s="6" t="n">
        <v>43188</v>
      </c>
      <c r="I2" t="n">
        <v>1554</v>
      </c>
      <c r="J2" t="n">
        <v>6622.1764</v>
      </c>
      <c r="K2" t="n">
        <v>6269.8866</v>
      </c>
      <c r="L2" t="n">
        <v>352.2898</v>
      </c>
      <c r="M2" t="inlineStr">
        <is>
          <t>FY2021/22</t>
        </is>
      </c>
    </row>
    <row r="3">
      <c r="A3" s="6" t="n">
        <v>44742</v>
      </c>
      <c r="B3" t="inlineStr">
        <is>
          <t>VDHG</t>
        </is>
      </c>
      <c r="C3" t="n">
        <v>209</v>
      </c>
      <c r="D3" s="5" t="inlineStr">
        <is>
          <t>01a152b9-932f-71ec-b951-af21325f2f72</t>
        </is>
      </c>
      <c r="E3" s="5" t="inlineStr">
        <is>
          <t>01a152b9-9330-70a0-a8f8-e4bd1c0a37d1</t>
        </is>
      </c>
      <c r="F3" s="5" t="inlineStr">
        <is>
          <t>01a152b9-9dd9-7425-a1d1-cb0364de5dbd</t>
        </is>
      </c>
      <c r="G3" s="5" t="inlineStr">
        <is>
          <t>01a152b9-9dfa-7299-ba8f-074ca4e5a9c1</t>
        </is>
      </c>
      <c r="H3" s="6" t="n">
        <v>43214</v>
      </c>
      <c r="I3" t="n">
        <v>1528</v>
      </c>
      <c r="J3" t="n">
        <v>11438.3047</v>
      </c>
      <c r="K3" t="n">
        <v>10570.8842</v>
      </c>
      <c r="L3" t="n">
        <v>867.4204999999999</v>
      </c>
      <c r="M3" t="inlineStr">
        <is>
          <t>FY2021/22</t>
        </is>
      </c>
    </row>
    <row r="4">
      <c r="A4" s="6" t="n">
        <v>44742</v>
      </c>
      <c r="B4" t="inlineStr">
        <is>
          <t>VDHG</t>
        </is>
      </c>
      <c r="C4" t="n">
        <v>238</v>
      </c>
      <c r="D4" s="5" t="inlineStr">
        <is>
          <t>01a152b9-9349-71d4-a1a4-446ca10de05b</t>
        </is>
      </c>
      <c r="E4" s="5" t="inlineStr">
        <is>
          <t>01a152b9-934b-7247-b088-6dad534183ec</t>
        </is>
      </c>
      <c r="F4" s="5" t="inlineStr">
        <is>
          <t>01a152b9-9dd9-7425-a1d1-cb0364de5dbd</t>
        </is>
      </c>
      <c r="G4" s="5" t="inlineStr">
        <is>
          <t>01a152b9-9e0d-7690-9c09-8fe2530562ee</t>
        </is>
      </c>
      <c r="H4" s="6" t="n">
        <v>43553</v>
      </c>
      <c r="I4" t="n">
        <v>1189</v>
      </c>
      <c r="J4" t="n">
        <v>13025.4379</v>
      </c>
      <c r="K4" t="n">
        <v>12586.2623</v>
      </c>
      <c r="L4" t="n">
        <v>439.1756</v>
      </c>
      <c r="M4" t="inlineStr">
        <is>
          <t>FY2021/22</t>
        </is>
      </c>
    </row>
    <row r="5">
      <c r="A5" s="6" t="n">
        <v>44742</v>
      </c>
      <c r="B5" t="inlineStr">
        <is>
          <t>VDHG</t>
        </is>
      </c>
      <c r="C5" t="n">
        <v>210</v>
      </c>
      <c r="D5" s="5" t="inlineStr">
        <is>
          <t>01a152b9-936a-7333-a2f3-0672697b503f</t>
        </is>
      </c>
      <c r="E5" s="5" t="inlineStr">
        <is>
          <t>01a152b9-936b-763f-b2ea-0377d064edc9</t>
        </is>
      </c>
      <c r="F5" s="5" t="inlineStr">
        <is>
          <t>01a152b9-9dd9-7425-a1d1-cb0364de5dbd</t>
        </is>
      </c>
      <c r="G5" s="5" t="inlineStr">
        <is>
          <t>01a152b9-9e23-70dd-9e00-16a8e6b9b268</t>
        </is>
      </c>
      <c r="H5" s="6" t="n">
        <v>43683</v>
      </c>
      <c r="I5" t="n">
        <v>1059</v>
      </c>
      <c r="J5" t="n">
        <v>11493.0335</v>
      </c>
      <c r="K5" t="n">
        <v>11914.496</v>
      </c>
      <c r="L5" t="n">
        <v>-421.4625</v>
      </c>
      <c r="M5" t="inlineStr">
        <is>
          <t>FY2021/22</t>
        </is>
      </c>
    </row>
    <row r="6">
      <c r="A6" s="6" t="n">
        <v>44742</v>
      </c>
      <c r="B6" t="inlineStr">
        <is>
          <t>VDHG</t>
        </is>
      </c>
      <c r="C6" t="n">
        <v>65</v>
      </c>
      <c r="D6" s="5" t="inlineStr">
        <is>
          <t>01a152b9-9385-7669-9dc7-938a9e56f393</t>
        </is>
      </c>
      <c r="E6" s="5" t="inlineStr">
        <is>
          <t>01a152b9-9e3b-705d-8c1e-253f5175eee2</t>
        </is>
      </c>
      <c r="F6" s="5" t="inlineStr">
        <is>
          <t>01a152b9-9dd9-7425-a1d1-cb0364de5dbd</t>
        </is>
      </c>
      <c r="G6" s="5" t="inlineStr">
        <is>
          <t>01a152b9-9e38-77b7-8a42-e712092593b2</t>
        </is>
      </c>
      <c r="H6" s="6" t="n">
        <v>43738</v>
      </c>
      <c r="I6" t="n">
        <v>1004</v>
      </c>
      <c r="J6" t="n">
        <v>3557.3675</v>
      </c>
      <c r="K6" t="n">
        <v>3673.474</v>
      </c>
      <c r="L6" t="n">
        <v>-116.1065</v>
      </c>
      <c r="M6" t="inlineStr">
        <is>
          <t>FY2021/22</t>
        </is>
      </c>
    </row>
    <row r="7">
      <c r="A7" s="6" t="n">
        <v>44747</v>
      </c>
      <c r="B7" t="inlineStr">
        <is>
          <t>VDHG</t>
        </is>
      </c>
      <c r="C7" t="n">
        <v>279</v>
      </c>
      <c r="D7" s="5" t="inlineStr">
        <is>
          <t>01a152b9-9385-7669-9dc7-938a9e56f393</t>
        </is>
      </c>
      <c r="E7" s="5" t="inlineStr">
        <is>
          <t>01a152b9-9e42-72a2-9279-21d4ef4be340</t>
        </is>
      </c>
      <c r="F7" s="5" t="inlineStr">
        <is>
          <t>01a152b9-a0d1-7675-a126-6ddbd81a1037</t>
        </is>
      </c>
      <c r="G7" s="5" t="inlineStr">
        <is>
          <t>01a152b9-a0d9-735d-ab02-05296e664437</t>
        </is>
      </c>
      <c r="H7" s="6" t="n">
        <v>43738</v>
      </c>
      <c r="I7" t="n">
        <v>1009</v>
      </c>
      <c r="J7" t="n">
        <v>15396.4832</v>
      </c>
      <c r="K7" t="n">
        <v>15767.6805</v>
      </c>
      <c r="L7" t="n">
        <v>-371.1973</v>
      </c>
      <c r="M7" t="inlineStr">
        <is>
          <t>FY2022/23</t>
        </is>
      </c>
    </row>
    <row r="8">
      <c r="A8" s="6" t="n">
        <v>44747</v>
      </c>
      <c r="B8" t="inlineStr">
        <is>
          <t>VDHG</t>
        </is>
      </c>
      <c r="C8" t="n">
        <v>257</v>
      </c>
      <c r="D8" s="5" t="inlineStr">
        <is>
          <t>01a152b9-939f-70b9-b79f-99c79cb22c94</t>
        </is>
      </c>
      <c r="E8" s="5" t="inlineStr">
        <is>
          <t>01a152b9-93a0-7020-914d-afff81d3a029</t>
        </is>
      </c>
      <c r="F8" s="5" t="inlineStr">
        <is>
          <t>01a152b9-a0d1-7675-a126-6ddbd81a1037</t>
        </is>
      </c>
      <c r="G8" s="5" t="inlineStr">
        <is>
          <t>01a152b9-a0f3-7410-8d67-6f26f92bdaf7</t>
        </is>
      </c>
      <c r="H8" s="6" t="n">
        <v>43759</v>
      </c>
      <c r="I8" t="n">
        <v>988</v>
      </c>
      <c r="J8" t="n">
        <v>14182.4236</v>
      </c>
      <c r="K8" t="n">
        <v>15014.47</v>
      </c>
      <c r="L8" t="n">
        <v>-832.0463999999999</v>
      </c>
      <c r="M8" t="inlineStr">
        <is>
          <t>FY2022/23</t>
        </is>
      </c>
    </row>
    <row r="9">
      <c r="A9" s="6" t="n">
        <v>44747</v>
      </c>
      <c r="B9" t="inlineStr">
        <is>
          <t>VDHG</t>
        </is>
      </c>
      <c r="C9" t="n">
        <v>78</v>
      </c>
      <c r="D9" s="5" t="inlineStr">
        <is>
          <t>01a152b9-93b9-717c-8479-12853d9d78ff</t>
        </is>
      </c>
      <c r="E9" s="5" t="inlineStr">
        <is>
          <t>01a152b9-a109-726b-9c25-da3204f138b9</t>
        </is>
      </c>
      <c r="F9" s="5" t="inlineStr">
        <is>
          <t>01a152b9-a0d1-7675-a126-6ddbd81a1037</t>
        </is>
      </c>
      <c r="G9" s="5" t="inlineStr">
        <is>
          <t>01a152b9-a107-7100-8153-2c853fbd12f0</t>
        </is>
      </c>
      <c r="H9" s="6" t="n">
        <v>43923</v>
      </c>
      <c r="I9" t="n">
        <v>824</v>
      </c>
      <c r="J9" t="n">
        <v>4304.3932</v>
      </c>
      <c r="K9" t="n">
        <v>3272.2124</v>
      </c>
      <c r="L9" t="n">
        <v>1032.1808</v>
      </c>
      <c r="M9" t="inlineStr">
        <is>
          <t>FY2022/23</t>
        </is>
      </c>
    </row>
    <row r="10">
      <c r="A10" s="6" t="n">
        <v>44749</v>
      </c>
      <c r="B10" t="inlineStr">
        <is>
          <t>VDHG</t>
        </is>
      </c>
      <c r="C10" t="n">
        <v>213</v>
      </c>
      <c r="D10" s="5" t="inlineStr">
        <is>
          <t>01a152b9-93b9-717c-8479-12853d9d78ff</t>
        </is>
      </c>
      <c r="E10" s="5" t="inlineStr">
        <is>
          <t>01a152b9-a110-72b2-aa42-12d813cddfe5</t>
        </is>
      </c>
      <c r="F10" s="5" t="inlineStr">
        <is>
          <t>01a152b9-a190-713f-aedd-ef36ed5a01a0</t>
        </is>
      </c>
      <c r="G10" s="5" t="inlineStr">
        <is>
          <t>01a152b9-a196-719d-8bac-aed3dfd35f4d</t>
        </is>
      </c>
      <c r="H10" s="6" t="n">
        <v>43923</v>
      </c>
      <c r="I10" t="n">
        <v>826</v>
      </c>
      <c r="J10" t="n">
        <v>11276.3265</v>
      </c>
      <c r="K10" t="n">
        <v>8935.656800000001</v>
      </c>
      <c r="L10" t="n">
        <v>2340.6697</v>
      </c>
      <c r="M10" t="inlineStr">
        <is>
          <t>FY2022/23</t>
        </is>
      </c>
    </row>
    <row r="11">
      <c r="A11" s="6" t="n">
        <v>44749</v>
      </c>
      <c r="B11" t="inlineStr">
        <is>
          <t>VDHG</t>
        </is>
      </c>
      <c r="C11" t="n">
        <v>233</v>
      </c>
      <c r="D11" s="5" t="inlineStr">
        <is>
          <t>01a152b9-93d7-7607-b7c6-0685cb21a90b</t>
        </is>
      </c>
      <c r="E11" s="5" t="inlineStr">
        <is>
          <t>01a152b9-93d8-741c-b03f-96b816de68cf</t>
        </is>
      </c>
      <c r="F11" s="5" t="inlineStr">
        <is>
          <t>01a152b9-a190-713f-aedd-ef36ed5a01a0</t>
        </is>
      </c>
      <c r="G11" s="5" t="inlineStr">
        <is>
          <t>01a152b9-a1ad-76e0-929a-235d3b02b1dd</t>
        </is>
      </c>
      <c r="H11" s="6" t="n">
        <v>43956</v>
      </c>
      <c r="I11" t="n">
        <v>793</v>
      </c>
      <c r="J11" t="n">
        <v>12335.1365</v>
      </c>
      <c r="K11" t="n">
        <v>11356.8192</v>
      </c>
      <c r="L11" t="n">
        <v>978.3173</v>
      </c>
      <c r="M11" t="inlineStr">
        <is>
          <t>FY2022/23</t>
        </is>
      </c>
    </row>
    <row r="12">
      <c r="A12" s="6" t="n">
        <v>44749</v>
      </c>
      <c r="B12" t="inlineStr">
        <is>
          <t>VDHG</t>
        </is>
      </c>
      <c r="C12" t="n">
        <v>400</v>
      </c>
      <c r="D12" s="5" t="inlineStr">
        <is>
          <t>01a152b9-942d-721c-89d5-7d0f8660454c</t>
        </is>
      </c>
      <c r="E12" s="5" t="inlineStr">
        <is>
          <t>01a152b9-942e-76dc-a2de-ceec571c1474</t>
        </is>
      </c>
      <c r="F12" s="5" t="inlineStr">
        <is>
          <t>01a152b9-a190-713f-aedd-ef36ed5a01a0</t>
        </is>
      </c>
      <c r="G12" s="5" t="inlineStr">
        <is>
          <t>01a152b9-a1c3-74ed-8f2e-91316707bb2d</t>
        </is>
      </c>
      <c r="H12" s="6" t="n">
        <v>43990</v>
      </c>
      <c r="I12" t="n">
        <v>759</v>
      </c>
      <c r="J12" t="n">
        <v>21176.2</v>
      </c>
      <c r="K12" t="n">
        <v>21593.5489</v>
      </c>
      <c r="L12" t="n">
        <v>-417.3489</v>
      </c>
      <c r="M12" t="inlineStr">
        <is>
          <t>FY2022/23</t>
        </is>
      </c>
    </row>
    <row r="13">
      <c r="A13" s="6" t="n">
        <v>44749</v>
      </c>
      <c r="B13" t="inlineStr">
        <is>
          <t>VDHG</t>
        </is>
      </c>
      <c r="C13" t="n">
        <v>154</v>
      </c>
      <c r="D13" s="5" t="inlineStr">
        <is>
          <t>01a152b9-944d-7661-9576-87d9b8a34bc7</t>
        </is>
      </c>
      <c r="E13" s="5" t="inlineStr">
        <is>
          <t>01a152b9-944e-753e-b691-b12012b84d66</t>
        </is>
      </c>
      <c r="F13" s="5" t="inlineStr">
        <is>
          <t>01a152b9-a190-713f-aedd-ef36ed5a01a0</t>
        </is>
      </c>
      <c r="G13" s="5" t="inlineStr">
        <is>
          <t>01a152b9-a1d7-7183-bfad-de3bd1ddecd0</t>
        </is>
      </c>
      <c r="H13" s="6" t="n">
        <v>44008</v>
      </c>
      <c r="I13" t="n">
        <v>741</v>
      </c>
      <c r="J13" t="n">
        <v>8152.837</v>
      </c>
      <c r="K13" t="n">
        <v>8214.1191</v>
      </c>
      <c r="L13" t="n">
        <v>-61.2821</v>
      </c>
      <c r="M13" t="inlineStr">
        <is>
          <t>FY2022/23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2026-10-19T05:54:20Z</dcterms:created>
  <dcterms:modified xsi:type="dcterms:W3CDTF">2026-10-19T05:54:21Z</dcterms:modified>
</cp:coreProperties>
</file>